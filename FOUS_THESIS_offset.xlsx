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verl\Documents\CWU\Thesis_Project\"/>
    </mc:Choice>
  </mc:AlternateContent>
  <xr:revisionPtr revIDLastSave="0" documentId="13_ncr:1_{AB9C3B91-D37D-4282-A8DD-71FE5F87D7AF}" xr6:coauthVersionLast="47" xr6:coauthVersionMax="47" xr10:uidLastSave="{00000000-0000-0000-0000-000000000000}"/>
  <bookViews>
    <workbookView xWindow="9420" yWindow="10690" windowWidth="19420" windowHeight="11500" activeTab="1" xr2:uid="{00000000-000D-0000-FFFF-FFFF00000000}"/>
  </bookViews>
  <sheets>
    <sheet name="Sheet1" sheetId="1" r:id="rId1"/>
    <sheet name="700mb+90%growth" sheetId="3" r:id="rId2"/>
    <sheet name="Sheet2" sheetId="2" r:id="rId3"/>
  </sheets>
  <definedNames>
    <definedName name="_xlnm._FilterDatabase" localSheetId="1" hidden="1">'700mb+90%growth'!$B$2:$L$2</definedName>
    <definedName name="_xlnm._FilterDatabase" localSheetId="0" hidden="1">Sheet1!$A$1:$AG$1645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650" i="1" l="1"/>
  <c r="AA1649" i="1"/>
  <c r="AA1648" i="1"/>
  <c r="AA1647" i="1"/>
  <c r="Z1650" i="1" l="1"/>
  <c r="Z1649" i="1"/>
  <c r="Z1648" i="1"/>
  <c r="Z1647" i="1"/>
  <c r="Q78" i="1" l="1"/>
  <c r="Q122" i="1"/>
  <c r="R122" i="1" s="1"/>
  <c r="Q150" i="1"/>
  <c r="R150" i="1" s="1"/>
  <c r="Q225" i="1"/>
  <c r="Q261" i="1"/>
  <c r="R261" i="1" s="1"/>
  <c r="Q308" i="1"/>
  <c r="R308" i="1" s="1"/>
  <c r="Q362" i="1"/>
  <c r="Q400" i="1"/>
  <c r="Q418" i="1"/>
  <c r="Q486" i="1"/>
  <c r="S486" i="1" s="1"/>
  <c r="Q487" i="1"/>
  <c r="S487" i="1" s="1"/>
  <c r="Q596" i="1"/>
  <c r="Q624" i="1"/>
  <c r="Q705" i="1"/>
  <c r="S705" i="1" s="1"/>
  <c r="Q810" i="1"/>
  <c r="Q885" i="1"/>
  <c r="S885" i="1" s="1"/>
  <c r="Q919" i="1"/>
  <c r="R919" i="1" s="1"/>
  <c r="Q969" i="1"/>
  <c r="S969" i="1" s="1"/>
  <c r="Q1045" i="1"/>
  <c r="Q1090" i="1"/>
  <c r="R1090" i="1" s="1"/>
  <c r="Q1177" i="1"/>
  <c r="S1177" i="1" s="1"/>
  <c r="Q1287" i="1"/>
  <c r="Q1333" i="1"/>
  <c r="Q1387" i="1"/>
  <c r="R1387" i="1" s="1"/>
  <c r="Q1401" i="1"/>
  <c r="R1401" i="1" s="1"/>
  <c r="Q1446" i="1"/>
  <c r="R1446" i="1" s="1"/>
  <c r="Q1498" i="1"/>
  <c r="R1498" i="1" s="1"/>
  <c r="Q1568" i="1"/>
  <c r="Q1598" i="1"/>
  <c r="R1598" i="1" s="1"/>
  <c r="Q1607" i="1"/>
  <c r="S1607" i="1" s="1"/>
  <c r="Q2" i="1"/>
  <c r="R2" i="1" s="1"/>
  <c r="P676" i="1"/>
  <c r="Q676" i="1" s="1"/>
  <c r="R676" i="1" s="1"/>
  <c r="P668" i="1"/>
  <c r="Q668" i="1" s="1"/>
  <c r="R668" i="1" s="1"/>
  <c r="P1645" i="1"/>
  <c r="Q1645" i="1" s="1"/>
  <c r="R1645" i="1" s="1"/>
  <c r="P1644" i="1"/>
  <c r="Q1644" i="1" s="1"/>
  <c r="R1644" i="1" s="1"/>
  <c r="P1643" i="1"/>
  <c r="Q1643" i="1" s="1"/>
  <c r="R1643" i="1" s="1"/>
  <c r="P1642" i="1"/>
  <c r="Q1642" i="1" s="1"/>
  <c r="R1642" i="1" s="1"/>
  <c r="P1641" i="1"/>
  <c r="Q1641" i="1" s="1"/>
  <c r="R1641" i="1" s="1"/>
  <c r="P1640" i="1"/>
  <c r="Q1640" i="1" s="1"/>
  <c r="R1640" i="1" s="1"/>
  <c r="P1639" i="1"/>
  <c r="Q1639" i="1" s="1"/>
  <c r="R1639" i="1" s="1"/>
  <c r="P1638" i="1"/>
  <c r="Q1638" i="1" s="1"/>
  <c r="R1638" i="1" s="1"/>
  <c r="P1637" i="1"/>
  <c r="P1636" i="1"/>
  <c r="Q1636" i="1" s="1"/>
  <c r="R1636" i="1" s="1"/>
  <c r="P1635" i="1"/>
  <c r="P1634" i="1"/>
  <c r="P1633" i="1"/>
  <c r="P1632" i="1"/>
  <c r="P1631" i="1"/>
  <c r="Q1631" i="1" s="1"/>
  <c r="R1631" i="1" s="1"/>
  <c r="P1630" i="1"/>
  <c r="Q1630" i="1" s="1"/>
  <c r="R1630" i="1" s="1"/>
  <c r="P1629" i="1"/>
  <c r="Q1629" i="1" s="1"/>
  <c r="R1629" i="1" s="1"/>
  <c r="P1628" i="1"/>
  <c r="Q1628" i="1" s="1"/>
  <c r="R1628" i="1" s="1"/>
  <c r="P1627" i="1"/>
  <c r="Q1627" i="1" s="1"/>
  <c r="R1627" i="1" s="1"/>
  <c r="P1626" i="1"/>
  <c r="Q1626" i="1" s="1"/>
  <c r="R1626" i="1" s="1"/>
  <c r="P1625" i="1"/>
  <c r="Q1625" i="1" s="1"/>
  <c r="R1625" i="1" s="1"/>
  <c r="P1624" i="1"/>
  <c r="Q1624" i="1" s="1"/>
  <c r="R1624" i="1" s="1"/>
  <c r="P1623" i="1"/>
  <c r="Q1623" i="1" s="1"/>
  <c r="R1623" i="1" s="1"/>
  <c r="P1622" i="1"/>
  <c r="Q1622" i="1" s="1"/>
  <c r="R1622" i="1" s="1"/>
  <c r="P1621" i="1"/>
  <c r="Q1621" i="1" s="1"/>
  <c r="R1621" i="1" s="1"/>
  <c r="P1620" i="1"/>
  <c r="Q1620" i="1" s="1"/>
  <c r="R1620" i="1" s="1"/>
  <c r="P1619" i="1"/>
  <c r="Q1619" i="1" s="1"/>
  <c r="R1619" i="1" s="1"/>
  <c r="P1618" i="1"/>
  <c r="Q1618" i="1" s="1"/>
  <c r="R1618" i="1" s="1"/>
  <c r="P1617" i="1"/>
  <c r="Q1617" i="1" s="1"/>
  <c r="R1617" i="1" s="1"/>
  <c r="P1616" i="1"/>
  <c r="Q1616" i="1" s="1"/>
  <c r="R1616" i="1" s="1"/>
  <c r="P1615" i="1"/>
  <c r="P1614" i="1"/>
  <c r="Q1614" i="1" s="1"/>
  <c r="R1614" i="1" s="1"/>
  <c r="P1613" i="1"/>
  <c r="P1612" i="1"/>
  <c r="Q1612" i="1" s="1"/>
  <c r="R1612" i="1" s="1"/>
  <c r="P1611" i="1"/>
  <c r="P1610" i="1"/>
  <c r="P1609" i="1"/>
  <c r="Q1609" i="1" s="1"/>
  <c r="R1609" i="1" s="1"/>
  <c r="P1608" i="1"/>
  <c r="Q1608" i="1" s="1"/>
  <c r="R1608" i="1" s="1"/>
  <c r="P1606" i="1"/>
  <c r="Q1606" i="1" s="1"/>
  <c r="R1606" i="1" s="1"/>
  <c r="P1605" i="1"/>
  <c r="Q1605" i="1" s="1"/>
  <c r="R1605" i="1" s="1"/>
  <c r="P1604" i="1"/>
  <c r="Q1604" i="1" s="1"/>
  <c r="R1604" i="1" s="1"/>
  <c r="P1603" i="1"/>
  <c r="Q1603" i="1" s="1"/>
  <c r="R1603" i="1" s="1"/>
  <c r="P1602" i="1"/>
  <c r="Q1602" i="1" s="1"/>
  <c r="R1602" i="1" s="1"/>
  <c r="P1601" i="1"/>
  <c r="Q1601" i="1" s="1"/>
  <c r="R1601" i="1" s="1"/>
  <c r="P1600" i="1"/>
  <c r="Q1600" i="1" s="1"/>
  <c r="R1600" i="1" s="1"/>
  <c r="P1599" i="1"/>
  <c r="Q1599" i="1" s="1"/>
  <c r="R1599" i="1" s="1"/>
  <c r="P1597" i="1"/>
  <c r="Q1597" i="1" s="1"/>
  <c r="R1597" i="1" s="1"/>
  <c r="P1596" i="1"/>
  <c r="Q1596" i="1" s="1"/>
  <c r="R1596" i="1" s="1"/>
  <c r="P1595" i="1"/>
  <c r="Q1595" i="1" s="1"/>
  <c r="R1595" i="1" s="1"/>
  <c r="P1594" i="1"/>
  <c r="Q1594" i="1" s="1"/>
  <c r="R1594" i="1" s="1"/>
  <c r="P1593" i="1"/>
  <c r="Q1593" i="1" s="1"/>
  <c r="R1593" i="1" s="1"/>
  <c r="P1592" i="1"/>
  <c r="Q1592" i="1" s="1"/>
  <c r="R1592" i="1" s="1"/>
  <c r="P1591" i="1"/>
  <c r="P1590" i="1"/>
  <c r="Q1590" i="1" s="1"/>
  <c r="R1590" i="1" s="1"/>
  <c r="P1589" i="1"/>
  <c r="P1588" i="1"/>
  <c r="P1587" i="1"/>
  <c r="P1586" i="1"/>
  <c r="Q1586" i="1" s="1"/>
  <c r="R1586" i="1" s="1"/>
  <c r="P1585" i="1"/>
  <c r="Q1585" i="1" s="1"/>
  <c r="R1585" i="1" s="1"/>
  <c r="P1584" i="1"/>
  <c r="Q1584" i="1" s="1"/>
  <c r="R1584" i="1" s="1"/>
  <c r="P1583" i="1"/>
  <c r="Q1583" i="1" s="1"/>
  <c r="R1583" i="1" s="1"/>
  <c r="P1582" i="1"/>
  <c r="Q1582" i="1" s="1"/>
  <c r="R1582" i="1" s="1"/>
  <c r="P1581" i="1"/>
  <c r="Q1581" i="1" s="1"/>
  <c r="R1581" i="1" s="1"/>
  <c r="P1580" i="1"/>
  <c r="Q1580" i="1" s="1"/>
  <c r="R1580" i="1" s="1"/>
  <c r="P1579" i="1"/>
  <c r="Q1579" i="1" s="1"/>
  <c r="R1579" i="1" s="1"/>
  <c r="P1578" i="1"/>
  <c r="Q1578" i="1" s="1"/>
  <c r="R1578" i="1" s="1"/>
  <c r="P1577" i="1"/>
  <c r="P1576" i="1"/>
  <c r="P1575" i="1"/>
  <c r="Q1575" i="1" s="1"/>
  <c r="R1575" i="1" s="1"/>
  <c r="P1574" i="1"/>
  <c r="Q1574" i="1" s="1"/>
  <c r="R1574" i="1" s="1"/>
  <c r="P1573" i="1"/>
  <c r="Q1573" i="1" s="1"/>
  <c r="R1573" i="1" s="1"/>
  <c r="P1572" i="1"/>
  <c r="Q1572" i="1" s="1"/>
  <c r="R1572" i="1" s="1"/>
  <c r="P1571" i="1"/>
  <c r="Q1571" i="1" s="1"/>
  <c r="R1571" i="1" s="1"/>
  <c r="P1570" i="1"/>
  <c r="Q1570" i="1" s="1"/>
  <c r="R1570" i="1" s="1"/>
  <c r="P1569" i="1"/>
  <c r="P1567" i="1"/>
  <c r="P1566" i="1"/>
  <c r="P1565" i="1"/>
  <c r="P1564" i="1"/>
  <c r="Q1564" i="1" s="1"/>
  <c r="R1564" i="1" s="1"/>
  <c r="P1563" i="1"/>
  <c r="Q1563" i="1" s="1"/>
  <c r="R1563" i="1" s="1"/>
  <c r="P1562" i="1"/>
  <c r="Q1562" i="1" s="1"/>
  <c r="R1562" i="1" s="1"/>
  <c r="P1561" i="1"/>
  <c r="Q1561" i="1" s="1"/>
  <c r="R1561" i="1" s="1"/>
  <c r="P1560" i="1"/>
  <c r="Q1560" i="1" s="1"/>
  <c r="R1560" i="1" s="1"/>
  <c r="P1559" i="1"/>
  <c r="Q1559" i="1" s="1"/>
  <c r="R1559" i="1" s="1"/>
  <c r="P1558" i="1"/>
  <c r="Q1558" i="1" s="1"/>
  <c r="R1558" i="1" s="1"/>
  <c r="P1557" i="1"/>
  <c r="Q1557" i="1" s="1"/>
  <c r="R1557" i="1" s="1"/>
  <c r="P1556" i="1"/>
  <c r="Q1556" i="1" s="1"/>
  <c r="R1556" i="1" s="1"/>
  <c r="P1555" i="1"/>
  <c r="Q1555" i="1" s="1"/>
  <c r="R1555" i="1" s="1"/>
  <c r="P1554" i="1"/>
  <c r="P1553" i="1"/>
  <c r="Q1553" i="1" s="1"/>
  <c r="R1553" i="1" s="1"/>
  <c r="P1552" i="1"/>
  <c r="Q1552" i="1" s="1"/>
  <c r="R1552" i="1" s="1"/>
  <c r="P1551" i="1"/>
  <c r="Q1551" i="1" s="1"/>
  <c r="R1551" i="1" s="1"/>
  <c r="P1550" i="1"/>
  <c r="Q1550" i="1" s="1"/>
  <c r="R1550" i="1" s="1"/>
  <c r="P1549" i="1"/>
  <c r="Q1549" i="1" s="1"/>
  <c r="R1549" i="1" s="1"/>
  <c r="P1548" i="1"/>
  <c r="Q1548" i="1" s="1"/>
  <c r="R1548" i="1" s="1"/>
  <c r="P1547" i="1"/>
  <c r="Q1547" i="1" s="1"/>
  <c r="R1547" i="1" s="1"/>
  <c r="P1546" i="1"/>
  <c r="Q1546" i="1" s="1"/>
  <c r="R1546" i="1" s="1"/>
  <c r="P1545" i="1"/>
  <c r="P1544" i="1"/>
  <c r="P1543" i="1"/>
  <c r="P1542" i="1"/>
  <c r="Q1542" i="1" s="1"/>
  <c r="R1542" i="1" s="1"/>
  <c r="P1541" i="1"/>
  <c r="Q1541" i="1" s="1"/>
  <c r="R1541" i="1" s="1"/>
  <c r="P1540" i="1"/>
  <c r="Q1540" i="1" s="1"/>
  <c r="R1540" i="1" s="1"/>
  <c r="P1539" i="1"/>
  <c r="Q1539" i="1" s="1"/>
  <c r="R1539" i="1" s="1"/>
  <c r="P1538" i="1"/>
  <c r="Q1538" i="1" s="1"/>
  <c r="R1538" i="1" s="1"/>
  <c r="P1537" i="1"/>
  <c r="Q1537" i="1" s="1"/>
  <c r="R1537" i="1" s="1"/>
  <c r="P1536" i="1"/>
  <c r="Q1536" i="1" s="1"/>
  <c r="R1536" i="1" s="1"/>
  <c r="P1535" i="1"/>
  <c r="Q1535" i="1" s="1"/>
  <c r="R1535" i="1" s="1"/>
  <c r="P1534" i="1"/>
  <c r="Q1534" i="1" s="1"/>
  <c r="R1534" i="1" s="1"/>
  <c r="P1533" i="1"/>
  <c r="Q1533" i="1" s="1"/>
  <c r="R1533" i="1" s="1"/>
  <c r="P1532" i="1"/>
  <c r="P1531" i="1"/>
  <c r="Q1531" i="1" s="1"/>
  <c r="R1531" i="1" s="1"/>
  <c r="P1530" i="1"/>
  <c r="Q1530" i="1" s="1"/>
  <c r="R1530" i="1" s="1"/>
  <c r="P1529" i="1"/>
  <c r="Q1529" i="1" s="1"/>
  <c r="R1529" i="1" s="1"/>
  <c r="P1528" i="1"/>
  <c r="Q1528" i="1" s="1"/>
  <c r="R1528" i="1" s="1"/>
  <c r="P1527" i="1"/>
  <c r="Q1527" i="1" s="1"/>
  <c r="R1527" i="1" s="1"/>
  <c r="P1526" i="1"/>
  <c r="Q1526" i="1" s="1"/>
  <c r="R1526" i="1" s="1"/>
  <c r="P1525" i="1"/>
  <c r="Q1525" i="1" s="1"/>
  <c r="R1525" i="1" s="1"/>
  <c r="P1524" i="1"/>
  <c r="P1523" i="1"/>
  <c r="P1522" i="1"/>
  <c r="P1521" i="1"/>
  <c r="Q1521" i="1" s="1"/>
  <c r="R1521" i="1" s="1"/>
  <c r="P1520" i="1"/>
  <c r="Q1520" i="1" s="1"/>
  <c r="R1520" i="1" s="1"/>
  <c r="P1519" i="1"/>
  <c r="Q1519" i="1" s="1"/>
  <c r="R1519" i="1" s="1"/>
  <c r="P1518" i="1"/>
  <c r="Q1518" i="1" s="1"/>
  <c r="R1518" i="1" s="1"/>
  <c r="P1517" i="1"/>
  <c r="Q1517" i="1" s="1"/>
  <c r="R1517" i="1" s="1"/>
  <c r="P1516" i="1"/>
  <c r="Q1516" i="1" s="1"/>
  <c r="R1516" i="1" s="1"/>
  <c r="P1515" i="1"/>
  <c r="Q1515" i="1" s="1"/>
  <c r="R1515" i="1" s="1"/>
  <c r="P1514" i="1"/>
  <c r="Q1514" i="1" s="1"/>
  <c r="R1514" i="1" s="1"/>
  <c r="P1513" i="1"/>
  <c r="Q1513" i="1" s="1"/>
  <c r="R1513" i="1" s="1"/>
  <c r="P1512" i="1"/>
  <c r="Q1512" i="1" s="1"/>
  <c r="R1512" i="1" s="1"/>
  <c r="P1511" i="1"/>
  <c r="Q1511" i="1" s="1"/>
  <c r="R1511" i="1" s="1"/>
  <c r="P1510" i="1"/>
  <c r="P1509" i="1"/>
  <c r="P1508" i="1"/>
  <c r="Q1508" i="1" s="1"/>
  <c r="R1508" i="1" s="1"/>
  <c r="P1507" i="1"/>
  <c r="Q1507" i="1" s="1"/>
  <c r="R1507" i="1" s="1"/>
  <c r="P1506" i="1"/>
  <c r="Q1506" i="1" s="1"/>
  <c r="R1506" i="1" s="1"/>
  <c r="P1505" i="1"/>
  <c r="Q1505" i="1" s="1"/>
  <c r="R1505" i="1" s="1"/>
  <c r="P1504" i="1"/>
  <c r="Q1504" i="1" s="1"/>
  <c r="R1504" i="1" s="1"/>
  <c r="P1503" i="1"/>
  <c r="Q1503" i="1" s="1"/>
  <c r="R1503" i="1" s="1"/>
  <c r="P1502" i="1"/>
  <c r="Q1502" i="1" s="1"/>
  <c r="R1502" i="1" s="1"/>
  <c r="P1501" i="1"/>
  <c r="P1500" i="1"/>
  <c r="P1499" i="1"/>
  <c r="P1497" i="1"/>
  <c r="Q1497" i="1" s="1"/>
  <c r="R1497" i="1" s="1"/>
  <c r="P1496" i="1"/>
  <c r="Q1496" i="1" s="1"/>
  <c r="R1496" i="1" s="1"/>
  <c r="P1495" i="1"/>
  <c r="Q1495" i="1" s="1"/>
  <c r="R1495" i="1" s="1"/>
  <c r="P1494" i="1"/>
  <c r="Q1494" i="1" s="1"/>
  <c r="R1494" i="1" s="1"/>
  <c r="P1493" i="1"/>
  <c r="Q1493" i="1" s="1"/>
  <c r="R1493" i="1" s="1"/>
  <c r="P1492" i="1"/>
  <c r="Q1492" i="1" s="1"/>
  <c r="R1492" i="1" s="1"/>
  <c r="P1491" i="1"/>
  <c r="Q1491" i="1" s="1"/>
  <c r="R1491" i="1" s="1"/>
  <c r="P1490" i="1"/>
  <c r="Q1490" i="1" s="1"/>
  <c r="R1490" i="1" s="1"/>
  <c r="P1489" i="1"/>
  <c r="Q1489" i="1" s="1"/>
  <c r="R1489" i="1" s="1"/>
  <c r="P1488" i="1"/>
  <c r="P1487" i="1"/>
  <c r="P1486" i="1"/>
  <c r="Q1486" i="1" s="1"/>
  <c r="R1486" i="1" s="1"/>
  <c r="P1485" i="1"/>
  <c r="Q1485" i="1" s="1"/>
  <c r="R1485" i="1" s="1"/>
  <c r="P1484" i="1"/>
  <c r="Q1484" i="1" s="1"/>
  <c r="R1484" i="1" s="1"/>
  <c r="P1483" i="1"/>
  <c r="Q1483" i="1" s="1"/>
  <c r="R1483" i="1" s="1"/>
  <c r="P1482" i="1"/>
  <c r="Q1482" i="1" s="1"/>
  <c r="R1482" i="1" s="1"/>
  <c r="P1481" i="1"/>
  <c r="P1480" i="1"/>
  <c r="Q1480" i="1" s="1"/>
  <c r="R1480" i="1" s="1"/>
  <c r="P1479" i="1"/>
  <c r="Q1479" i="1" s="1"/>
  <c r="R1479" i="1" s="1"/>
  <c r="P1478" i="1"/>
  <c r="P1477" i="1"/>
  <c r="Q1477" i="1" s="1"/>
  <c r="R1477" i="1" s="1"/>
  <c r="P1476" i="1"/>
  <c r="Q1476" i="1" s="1"/>
  <c r="R1476" i="1" s="1"/>
  <c r="P1475" i="1"/>
  <c r="Q1475" i="1" s="1"/>
  <c r="R1475" i="1" s="1"/>
  <c r="P1474" i="1"/>
  <c r="Q1474" i="1" s="1"/>
  <c r="R1474" i="1" s="1"/>
  <c r="P1473" i="1"/>
  <c r="Q1473" i="1" s="1"/>
  <c r="R1473" i="1" s="1"/>
  <c r="P1472" i="1"/>
  <c r="Q1472" i="1" s="1"/>
  <c r="R1472" i="1" s="1"/>
  <c r="P1471" i="1"/>
  <c r="Q1471" i="1" s="1"/>
  <c r="R1471" i="1" s="1"/>
  <c r="P1470" i="1"/>
  <c r="Q1470" i="1" s="1"/>
  <c r="R1470" i="1" s="1"/>
  <c r="P1469" i="1"/>
  <c r="Q1469" i="1" s="1"/>
  <c r="R1469" i="1" s="1"/>
  <c r="P1468" i="1"/>
  <c r="Q1468" i="1" s="1"/>
  <c r="R1468" i="1" s="1"/>
  <c r="P1467" i="1"/>
  <c r="Q1467" i="1" s="1"/>
  <c r="R1467" i="1" s="1"/>
  <c r="P1466" i="1"/>
  <c r="Q1466" i="1" s="1"/>
  <c r="R1466" i="1" s="1"/>
  <c r="P1465" i="1"/>
  <c r="P1464" i="1"/>
  <c r="Q1464" i="1" s="1"/>
  <c r="R1464" i="1" s="1"/>
  <c r="P1463" i="1"/>
  <c r="Q1463" i="1" s="1"/>
  <c r="R1463" i="1" s="1"/>
  <c r="P1462" i="1"/>
  <c r="Q1462" i="1" s="1"/>
  <c r="R1462" i="1" s="1"/>
  <c r="P1461" i="1"/>
  <c r="Q1461" i="1" s="1"/>
  <c r="R1461" i="1" s="1"/>
  <c r="P1460" i="1"/>
  <c r="Q1460" i="1" s="1"/>
  <c r="R1460" i="1" s="1"/>
  <c r="P1459" i="1"/>
  <c r="Q1459" i="1" s="1"/>
  <c r="R1459" i="1" s="1"/>
  <c r="P1458" i="1"/>
  <c r="Q1458" i="1" s="1"/>
  <c r="R1458" i="1" s="1"/>
  <c r="P1457" i="1"/>
  <c r="Q1457" i="1" s="1"/>
  <c r="R1457" i="1" s="1"/>
  <c r="P1456" i="1"/>
  <c r="P1455" i="1"/>
  <c r="Q1455" i="1" s="1"/>
  <c r="R1455" i="1" s="1"/>
  <c r="P1454" i="1"/>
  <c r="Q1454" i="1" s="1"/>
  <c r="R1454" i="1" s="1"/>
  <c r="P1453" i="1"/>
  <c r="Q1453" i="1" s="1"/>
  <c r="R1453" i="1" s="1"/>
  <c r="P1452" i="1"/>
  <c r="Q1452" i="1" s="1"/>
  <c r="R1452" i="1" s="1"/>
  <c r="P1451" i="1"/>
  <c r="Q1451" i="1" s="1"/>
  <c r="R1451" i="1" s="1"/>
  <c r="P1450" i="1"/>
  <c r="Q1450" i="1" s="1"/>
  <c r="R1450" i="1" s="1"/>
  <c r="P1449" i="1"/>
  <c r="Q1449" i="1" s="1"/>
  <c r="R1449" i="1" s="1"/>
  <c r="P1448" i="1"/>
  <c r="Q1448" i="1" s="1"/>
  <c r="R1448" i="1" s="1"/>
  <c r="P1447" i="1"/>
  <c r="Q1447" i="1" s="1"/>
  <c r="R1447" i="1" s="1"/>
  <c r="P1445" i="1"/>
  <c r="Q1445" i="1" s="1"/>
  <c r="R1445" i="1" s="1"/>
  <c r="P1444" i="1"/>
  <c r="Q1444" i="1" s="1"/>
  <c r="R1444" i="1" s="1"/>
  <c r="P1443" i="1"/>
  <c r="P1442" i="1"/>
  <c r="P1441" i="1"/>
  <c r="Q1441" i="1" s="1"/>
  <c r="R1441" i="1" s="1"/>
  <c r="P1440" i="1"/>
  <c r="Q1440" i="1" s="1"/>
  <c r="R1440" i="1" s="1"/>
  <c r="P1439" i="1"/>
  <c r="Q1439" i="1" s="1"/>
  <c r="R1439" i="1" s="1"/>
  <c r="P1438" i="1"/>
  <c r="Q1438" i="1" s="1"/>
  <c r="R1438" i="1" s="1"/>
  <c r="P1437" i="1"/>
  <c r="P1436" i="1"/>
  <c r="Q1436" i="1" s="1"/>
  <c r="R1436" i="1" s="1"/>
  <c r="P1435" i="1"/>
  <c r="Q1435" i="1" s="1"/>
  <c r="R1435" i="1" s="1"/>
  <c r="P1434" i="1"/>
  <c r="P1433" i="1"/>
  <c r="P1432" i="1"/>
  <c r="Q1432" i="1" s="1"/>
  <c r="R1432" i="1" s="1"/>
  <c r="P1431" i="1"/>
  <c r="Q1431" i="1" s="1"/>
  <c r="R1431" i="1" s="1"/>
  <c r="P1430" i="1"/>
  <c r="Q1430" i="1" s="1"/>
  <c r="R1430" i="1" s="1"/>
  <c r="P1429" i="1"/>
  <c r="Q1429" i="1" s="1"/>
  <c r="R1429" i="1" s="1"/>
  <c r="P1428" i="1"/>
  <c r="Q1428" i="1" s="1"/>
  <c r="R1428" i="1" s="1"/>
  <c r="P1427" i="1"/>
  <c r="Q1427" i="1" s="1"/>
  <c r="R1427" i="1" s="1"/>
  <c r="P1426" i="1"/>
  <c r="Q1426" i="1" s="1"/>
  <c r="R1426" i="1" s="1"/>
  <c r="P1425" i="1"/>
  <c r="Q1425" i="1" s="1"/>
  <c r="R1425" i="1" s="1"/>
  <c r="P1424" i="1"/>
  <c r="Q1424" i="1" s="1"/>
  <c r="R1424" i="1" s="1"/>
  <c r="P1423" i="1"/>
  <c r="Q1423" i="1" s="1"/>
  <c r="R1423" i="1" s="1"/>
  <c r="P1422" i="1"/>
  <c r="Q1422" i="1" s="1"/>
  <c r="R1422" i="1" s="1"/>
  <c r="P1421" i="1"/>
  <c r="Q1421" i="1" s="1"/>
  <c r="R1421" i="1" s="1"/>
  <c r="P1420" i="1"/>
  <c r="P1419" i="1"/>
  <c r="Q1419" i="1" s="1"/>
  <c r="R1419" i="1" s="1"/>
  <c r="P1418" i="1"/>
  <c r="Q1418" i="1" s="1"/>
  <c r="R1418" i="1" s="1"/>
  <c r="P1417" i="1"/>
  <c r="Q1417" i="1" s="1"/>
  <c r="R1417" i="1" s="1"/>
  <c r="P1416" i="1"/>
  <c r="Q1416" i="1" s="1"/>
  <c r="R1416" i="1" s="1"/>
  <c r="P1415" i="1"/>
  <c r="Q1415" i="1" s="1"/>
  <c r="R1415" i="1" s="1"/>
  <c r="P1414" i="1"/>
  <c r="Q1414" i="1" s="1"/>
  <c r="R1414" i="1" s="1"/>
  <c r="P1413" i="1"/>
  <c r="Q1413" i="1" s="1"/>
  <c r="R1413" i="1" s="1"/>
  <c r="P1412" i="1"/>
  <c r="Q1412" i="1" s="1"/>
  <c r="R1412" i="1" s="1"/>
  <c r="P1411" i="1"/>
  <c r="Q1411" i="1" s="1"/>
  <c r="R1411" i="1" s="1"/>
  <c r="P1410" i="1"/>
  <c r="Q1410" i="1" s="1"/>
  <c r="R1410" i="1" s="1"/>
  <c r="P1409" i="1"/>
  <c r="Q1409" i="1" s="1"/>
  <c r="R1409" i="1" s="1"/>
  <c r="P1408" i="1"/>
  <c r="Q1408" i="1" s="1"/>
  <c r="R1408" i="1" s="1"/>
  <c r="P1407" i="1"/>
  <c r="Q1407" i="1" s="1"/>
  <c r="R1407" i="1" s="1"/>
  <c r="P1406" i="1"/>
  <c r="Q1406" i="1" s="1"/>
  <c r="R1406" i="1" s="1"/>
  <c r="P1405" i="1"/>
  <c r="Q1405" i="1" s="1"/>
  <c r="R1405" i="1" s="1"/>
  <c r="P1404" i="1"/>
  <c r="Q1404" i="1" s="1"/>
  <c r="R1404" i="1" s="1"/>
  <c r="P1403" i="1"/>
  <c r="Q1403" i="1" s="1"/>
  <c r="R1403" i="1" s="1"/>
  <c r="P1402" i="1"/>
  <c r="Q1402" i="1" s="1"/>
  <c r="R1402" i="1" s="1"/>
  <c r="P1400" i="1"/>
  <c r="Q1400" i="1" s="1"/>
  <c r="R1400" i="1" s="1"/>
  <c r="P1399" i="1"/>
  <c r="Q1399" i="1" s="1"/>
  <c r="R1399" i="1" s="1"/>
  <c r="P1398" i="1"/>
  <c r="Q1398" i="1" s="1"/>
  <c r="R1398" i="1" s="1"/>
  <c r="P1397" i="1"/>
  <c r="P1396" i="1"/>
  <c r="Q1396" i="1" s="1"/>
  <c r="R1396" i="1" s="1"/>
  <c r="P1395" i="1"/>
  <c r="Q1395" i="1" s="1"/>
  <c r="R1395" i="1" s="1"/>
  <c r="P1394" i="1"/>
  <c r="Q1394" i="1" s="1"/>
  <c r="R1394" i="1" s="1"/>
  <c r="P1393" i="1"/>
  <c r="Q1393" i="1" s="1"/>
  <c r="R1393" i="1" s="1"/>
  <c r="P1392" i="1"/>
  <c r="Q1392" i="1" s="1"/>
  <c r="R1392" i="1" s="1"/>
  <c r="P1391" i="1"/>
  <c r="Q1391" i="1" s="1"/>
  <c r="R1391" i="1" s="1"/>
  <c r="P1390" i="1"/>
  <c r="Q1390" i="1" s="1"/>
  <c r="R1390" i="1" s="1"/>
  <c r="P1389" i="1"/>
  <c r="P1388" i="1"/>
  <c r="Q1388" i="1" s="1"/>
  <c r="R1388" i="1" s="1"/>
  <c r="P1386" i="1"/>
  <c r="Q1386" i="1" s="1"/>
  <c r="R1386" i="1" s="1"/>
  <c r="P1385" i="1"/>
  <c r="Q1385" i="1" s="1"/>
  <c r="R1385" i="1" s="1"/>
  <c r="P1384" i="1"/>
  <c r="Q1384" i="1" s="1"/>
  <c r="R1384" i="1" s="1"/>
  <c r="P1383" i="1"/>
  <c r="Q1383" i="1" s="1"/>
  <c r="R1383" i="1" s="1"/>
  <c r="P1382" i="1"/>
  <c r="Q1382" i="1" s="1"/>
  <c r="R1382" i="1" s="1"/>
  <c r="P1381" i="1"/>
  <c r="Q1381" i="1" s="1"/>
  <c r="R1381" i="1" s="1"/>
  <c r="P1380" i="1"/>
  <c r="Q1380" i="1" s="1"/>
  <c r="R1380" i="1" s="1"/>
  <c r="P1379" i="1"/>
  <c r="Q1379" i="1" s="1"/>
  <c r="R1379" i="1" s="1"/>
  <c r="P1378" i="1"/>
  <c r="Q1378" i="1" s="1"/>
  <c r="R1378" i="1" s="1"/>
  <c r="P1377" i="1"/>
  <c r="Q1377" i="1" s="1"/>
  <c r="R1377" i="1" s="1"/>
  <c r="P1376" i="1"/>
  <c r="Q1376" i="1" s="1"/>
  <c r="R1376" i="1" s="1"/>
  <c r="P1375" i="1"/>
  <c r="Q1375" i="1" s="1"/>
  <c r="R1375" i="1" s="1"/>
  <c r="P1374" i="1"/>
  <c r="P1373" i="1"/>
  <c r="Q1373" i="1" s="1"/>
  <c r="R1373" i="1" s="1"/>
  <c r="P1372" i="1"/>
  <c r="Q1372" i="1" s="1"/>
  <c r="R1372" i="1" s="1"/>
  <c r="P1371" i="1"/>
  <c r="Q1371" i="1" s="1"/>
  <c r="R1371" i="1" s="1"/>
  <c r="P1370" i="1"/>
  <c r="Q1370" i="1" s="1"/>
  <c r="R1370" i="1" s="1"/>
  <c r="P1369" i="1"/>
  <c r="P1368" i="1"/>
  <c r="P1367" i="1"/>
  <c r="Q1367" i="1" s="1"/>
  <c r="R1367" i="1" s="1"/>
  <c r="P1366" i="1"/>
  <c r="Q1366" i="1" s="1"/>
  <c r="R1366" i="1" s="1"/>
  <c r="P1365" i="1"/>
  <c r="Q1365" i="1" s="1"/>
  <c r="R1365" i="1" s="1"/>
  <c r="P1364" i="1"/>
  <c r="Q1364" i="1" s="1"/>
  <c r="R1364" i="1" s="1"/>
  <c r="P1363" i="1"/>
  <c r="Q1363" i="1" s="1"/>
  <c r="R1363" i="1" s="1"/>
  <c r="P1362" i="1"/>
  <c r="Q1362" i="1" s="1"/>
  <c r="R1362" i="1" s="1"/>
  <c r="P1361" i="1"/>
  <c r="Q1361" i="1" s="1"/>
  <c r="R1361" i="1" s="1"/>
  <c r="P1360" i="1"/>
  <c r="Q1360" i="1" s="1"/>
  <c r="R1360" i="1" s="1"/>
  <c r="P1359" i="1"/>
  <c r="Q1359" i="1" s="1"/>
  <c r="R1359" i="1" s="1"/>
  <c r="P1358" i="1"/>
  <c r="Q1358" i="1" s="1"/>
  <c r="R1358" i="1" s="1"/>
  <c r="P1357" i="1"/>
  <c r="Q1357" i="1" s="1"/>
  <c r="R1357" i="1" s="1"/>
  <c r="P1356" i="1"/>
  <c r="Q1356" i="1" s="1"/>
  <c r="R1356" i="1" s="1"/>
  <c r="P1355" i="1"/>
  <c r="Q1355" i="1" s="1"/>
  <c r="R1355" i="1" s="1"/>
  <c r="P1354" i="1"/>
  <c r="Q1354" i="1" s="1"/>
  <c r="R1354" i="1" s="1"/>
  <c r="P1353" i="1"/>
  <c r="P1352" i="1"/>
  <c r="P1351" i="1"/>
  <c r="Q1351" i="1" s="1"/>
  <c r="R1351" i="1" s="1"/>
  <c r="P1350" i="1"/>
  <c r="Q1350" i="1" s="1"/>
  <c r="R1350" i="1" s="1"/>
  <c r="P1349" i="1"/>
  <c r="Q1349" i="1" s="1"/>
  <c r="R1349" i="1" s="1"/>
  <c r="P1348" i="1"/>
  <c r="P1347" i="1"/>
  <c r="Q1347" i="1" s="1"/>
  <c r="R1347" i="1" s="1"/>
  <c r="P1346" i="1"/>
  <c r="P1345" i="1"/>
  <c r="Q1345" i="1" s="1"/>
  <c r="R1345" i="1" s="1"/>
  <c r="P1344" i="1"/>
  <c r="Q1344" i="1" s="1"/>
  <c r="R1344" i="1" s="1"/>
  <c r="P1343" i="1"/>
  <c r="Q1343" i="1" s="1"/>
  <c r="R1343" i="1" s="1"/>
  <c r="P1342" i="1"/>
  <c r="Q1342" i="1" s="1"/>
  <c r="R1342" i="1" s="1"/>
  <c r="P1341" i="1"/>
  <c r="Q1341" i="1" s="1"/>
  <c r="R1341" i="1" s="1"/>
  <c r="P1340" i="1"/>
  <c r="Q1340" i="1" s="1"/>
  <c r="R1340" i="1" s="1"/>
  <c r="P1339" i="1"/>
  <c r="Q1339" i="1" s="1"/>
  <c r="R1339" i="1" s="1"/>
  <c r="P1338" i="1"/>
  <c r="Q1338" i="1" s="1"/>
  <c r="R1338" i="1" s="1"/>
  <c r="P1337" i="1"/>
  <c r="Q1337" i="1" s="1"/>
  <c r="R1337" i="1" s="1"/>
  <c r="P1336" i="1"/>
  <c r="Q1336" i="1" s="1"/>
  <c r="R1336" i="1" s="1"/>
  <c r="P1335" i="1"/>
  <c r="Q1335" i="1" s="1"/>
  <c r="R1335" i="1" s="1"/>
  <c r="P1334" i="1"/>
  <c r="Q1334" i="1" s="1"/>
  <c r="R1334" i="1" s="1"/>
  <c r="P1332" i="1"/>
  <c r="Q1332" i="1" s="1"/>
  <c r="R1332" i="1" s="1"/>
  <c r="P1331" i="1"/>
  <c r="Q1331" i="1" s="1"/>
  <c r="R1331" i="1" s="1"/>
  <c r="P1330" i="1"/>
  <c r="P1329" i="1"/>
  <c r="P1328" i="1"/>
  <c r="Q1328" i="1" s="1"/>
  <c r="R1328" i="1" s="1"/>
  <c r="P1327" i="1"/>
  <c r="Q1327" i="1" s="1"/>
  <c r="R1327" i="1" s="1"/>
  <c r="P1326" i="1"/>
  <c r="Q1326" i="1" s="1"/>
  <c r="R1326" i="1" s="1"/>
  <c r="P1325" i="1"/>
  <c r="P1324" i="1"/>
  <c r="P1323" i="1"/>
  <c r="P1322" i="1"/>
  <c r="Q1322" i="1" s="1"/>
  <c r="R1322" i="1" s="1"/>
  <c r="P1321" i="1"/>
  <c r="Q1321" i="1" s="1"/>
  <c r="R1321" i="1" s="1"/>
  <c r="P1320" i="1"/>
  <c r="Q1320" i="1" s="1"/>
  <c r="R1320" i="1" s="1"/>
  <c r="P1319" i="1"/>
  <c r="Q1319" i="1" s="1"/>
  <c r="R1319" i="1" s="1"/>
  <c r="P1318" i="1"/>
  <c r="Q1318" i="1" s="1"/>
  <c r="R1318" i="1" s="1"/>
  <c r="P1317" i="1"/>
  <c r="Q1317" i="1" s="1"/>
  <c r="R1317" i="1" s="1"/>
  <c r="P1316" i="1"/>
  <c r="Q1316" i="1" s="1"/>
  <c r="R1316" i="1" s="1"/>
  <c r="P1315" i="1"/>
  <c r="Q1315" i="1" s="1"/>
  <c r="R1315" i="1" s="1"/>
  <c r="P1314" i="1"/>
  <c r="Q1314" i="1" s="1"/>
  <c r="R1314" i="1" s="1"/>
  <c r="P1313" i="1"/>
  <c r="Q1313" i="1" s="1"/>
  <c r="R1313" i="1" s="1"/>
  <c r="P1312" i="1"/>
  <c r="Q1312" i="1" s="1"/>
  <c r="R1312" i="1" s="1"/>
  <c r="P1311" i="1"/>
  <c r="Q1311" i="1" s="1"/>
  <c r="R1311" i="1" s="1"/>
  <c r="P1310" i="1"/>
  <c r="Q1310" i="1" s="1"/>
  <c r="R1310" i="1" s="1"/>
  <c r="P1309" i="1"/>
  <c r="Q1309" i="1" s="1"/>
  <c r="R1309" i="1" s="1"/>
  <c r="P1308" i="1"/>
  <c r="Q1308" i="1" s="1"/>
  <c r="R1308" i="1" s="1"/>
  <c r="P1307" i="1"/>
  <c r="P1306" i="1"/>
  <c r="Q1306" i="1" s="1"/>
  <c r="R1306" i="1" s="1"/>
  <c r="P1305" i="1"/>
  <c r="Q1305" i="1" s="1"/>
  <c r="R1305" i="1" s="1"/>
  <c r="P1304" i="1"/>
  <c r="Q1304" i="1" s="1"/>
  <c r="R1304" i="1" s="1"/>
  <c r="P1303" i="1"/>
  <c r="P1302" i="1"/>
  <c r="P1301" i="1"/>
  <c r="P1300" i="1"/>
  <c r="Q1300" i="1" s="1"/>
  <c r="R1300" i="1" s="1"/>
  <c r="P1299" i="1"/>
  <c r="Q1299" i="1" s="1"/>
  <c r="R1299" i="1" s="1"/>
  <c r="P1298" i="1"/>
  <c r="Q1298" i="1" s="1"/>
  <c r="R1298" i="1" s="1"/>
  <c r="P1297" i="1"/>
  <c r="Q1297" i="1" s="1"/>
  <c r="R1297" i="1" s="1"/>
  <c r="P1296" i="1"/>
  <c r="Q1296" i="1" s="1"/>
  <c r="R1296" i="1" s="1"/>
  <c r="P1295" i="1"/>
  <c r="Q1295" i="1" s="1"/>
  <c r="R1295" i="1" s="1"/>
  <c r="P1294" i="1"/>
  <c r="Q1294" i="1" s="1"/>
  <c r="R1294" i="1" s="1"/>
  <c r="P1293" i="1"/>
  <c r="Q1293" i="1" s="1"/>
  <c r="R1293" i="1" s="1"/>
  <c r="P1292" i="1"/>
  <c r="Q1292" i="1" s="1"/>
  <c r="R1292" i="1" s="1"/>
  <c r="P1291" i="1"/>
  <c r="Q1291" i="1" s="1"/>
  <c r="R1291" i="1" s="1"/>
  <c r="P1290" i="1"/>
  <c r="Q1290" i="1" s="1"/>
  <c r="R1290" i="1" s="1"/>
  <c r="P1289" i="1"/>
  <c r="Q1289" i="1" s="1"/>
  <c r="R1289" i="1" s="1"/>
  <c r="P1288" i="1"/>
  <c r="Q1288" i="1" s="1"/>
  <c r="P1286" i="1"/>
  <c r="Q1286" i="1" s="1"/>
  <c r="R1286" i="1" s="1"/>
  <c r="P1285" i="1"/>
  <c r="Q1285" i="1" s="1"/>
  <c r="R1285" i="1" s="1"/>
  <c r="P1284" i="1"/>
  <c r="Q1284" i="1" s="1"/>
  <c r="R1284" i="1" s="1"/>
  <c r="P1283" i="1"/>
  <c r="Q1283" i="1" s="1"/>
  <c r="R1283" i="1" s="1"/>
  <c r="P1282" i="1"/>
  <c r="Q1282" i="1" s="1"/>
  <c r="R1282" i="1" s="1"/>
  <c r="P1281" i="1"/>
  <c r="P1280" i="1"/>
  <c r="P1279" i="1"/>
  <c r="Q1279" i="1" s="1"/>
  <c r="R1279" i="1" s="1"/>
  <c r="P1278" i="1"/>
  <c r="Q1278" i="1" s="1"/>
  <c r="R1278" i="1" s="1"/>
  <c r="P1277" i="1"/>
  <c r="Q1277" i="1" s="1"/>
  <c r="R1277" i="1" s="1"/>
  <c r="P1276" i="1"/>
  <c r="Q1276" i="1" s="1"/>
  <c r="R1276" i="1" s="1"/>
  <c r="P1275" i="1"/>
  <c r="Q1275" i="1" s="1"/>
  <c r="R1275" i="1" s="1"/>
  <c r="P1274" i="1"/>
  <c r="Q1274" i="1" s="1"/>
  <c r="R1274" i="1" s="1"/>
  <c r="P1273" i="1"/>
  <c r="Q1273" i="1" s="1"/>
  <c r="R1273" i="1" s="1"/>
  <c r="P1272" i="1"/>
  <c r="Q1272" i="1" s="1"/>
  <c r="R1272" i="1" s="1"/>
  <c r="P1271" i="1"/>
  <c r="Q1271" i="1" s="1"/>
  <c r="R1271" i="1" s="1"/>
  <c r="P1270" i="1"/>
  <c r="Q1270" i="1" s="1"/>
  <c r="R1270" i="1" s="1"/>
  <c r="P1269" i="1"/>
  <c r="Q1269" i="1" s="1"/>
  <c r="R1269" i="1" s="1"/>
  <c r="P1268" i="1"/>
  <c r="Q1268" i="1" s="1"/>
  <c r="R1268" i="1" s="1"/>
  <c r="P1267" i="1"/>
  <c r="P1266" i="1"/>
  <c r="Q1266" i="1" s="1"/>
  <c r="R1266" i="1" s="1"/>
  <c r="P1265" i="1"/>
  <c r="Q1265" i="1" s="1"/>
  <c r="R1265" i="1" s="1"/>
  <c r="P1264" i="1"/>
  <c r="Q1264" i="1" s="1"/>
  <c r="R1264" i="1" s="1"/>
  <c r="P1263" i="1"/>
  <c r="P1262" i="1"/>
  <c r="P1261" i="1"/>
  <c r="Q1261" i="1" s="1"/>
  <c r="R1261" i="1" s="1"/>
  <c r="P1260" i="1"/>
  <c r="Q1260" i="1" s="1"/>
  <c r="R1260" i="1" s="1"/>
  <c r="P1259" i="1"/>
  <c r="Q1259" i="1" s="1"/>
  <c r="R1259" i="1" s="1"/>
  <c r="P1258" i="1"/>
  <c r="Q1258" i="1" s="1"/>
  <c r="R1258" i="1" s="1"/>
  <c r="P1257" i="1"/>
  <c r="Q1257" i="1" s="1"/>
  <c r="R1257" i="1" s="1"/>
  <c r="P1256" i="1"/>
  <c r="Q1256" i="1" s="1"/>
  <c r="R1256" i="1" s="1"/>
  <c r="P1255" i="1"/>
  <c r="Q1255" i="1" s="1"/>
  <c r="R1255" i="1" s="1"/>
  <c r="P1254" i="1"/>
  <c r="Q1254" i="1" s="1"/>
  <c r="R1254" i="1" s="1"/>
  <c r="P1253" i="1"/>
  <c r="Q1253" i="1" s="1"/>
  <c r="R1253" i="1" s="1"/>
  <c r="P1252" i="1"/>
  <c r="Q1252" i="1" s="1"/>
  <c r="R1252" i="1" s="1"/>
  <c r="P1251" i="1"/>
  <c r="Q1251" i="1" s="1"/>
  <c r="R1251" i="1" s="1"/>
  <c r="P1250" i="1"/>
  <c r="Q1250" i="1" s="1"/>
  <c r="R1250" i="1" s="1"/>
  <c r="P1249" i="1"/>
  <c r="Q1249" i="1" s="1"/>
  <c r="R1249" i="1" s="1"/>
  <c r="P1248" i="1"/>
  <c r="Q1248" i="1" s="1"/>
  <c r="R1248" i="1" s="1"/>
  <c r="P1247" i="1"/>
  <c r="Q1247" i="1" s="1"/>
  <c r="R1247" i="1" s="1"/>
  <c r="P1246" i="1"/>
  <c r="Q1246" i="1" s="1"/>
  <c r="R1246" i="1" s="1"/>
  <c r="P1245" i="1"/>
  <c r="Q1245" i="1" s="1"/>
  <c r="R1245" i="1" s="1"/>
  <c r="P1244" i="1"/>
  <c r="Q1244" i="1" s="1"/>
  <c r="R1244" i="1" s="1"/>
  <c r="P1243" i="1"/>
  <c r="Q1243" i="1" s="1"/>
  <c r="R1243" i="1" s="1"/>
  <c r="P1242" i="1"/>
  <c r="Q1242" i="1" s="1"/>
  <c r="R1242" i="1" s="1"/>
  <c r="P1241" i="1"/>
  <c r="P1240" i="1"/>
  <c r="P1239" i="1"/>
  <c r="Q1239" i="1" s="1"/>
  <c r="R1239" i="1" s="1"/>
  <c r="P1238" i="1"/>
  <c r="Q1238" i="1" s="1"/>
  <c r="R1238" i="1" s="1"/>
  <c r="P1237" i="1"/>
  <c r="P1236" i="1"/>
  <c r="P1235" i="1"/>
  <c r="Q1235" i="1" s="1"/>
  <c r="R1235" i="1" s="1"/>
  <c r="P1234" i="1"/>
  <c r="Q1234" i="1" s="1"/>
  <c r="R1234" i="1" s="1"/>
  <c r="P1233" i="1"/>
  <c r="Q1233" i="1" s="1"/>
  <c r="R1233" i="1" s="1"/>
  <c r="P1232" i="1"/>
  <c r="Q1232" i="1" s="1"/>
  <c r="R1232" i="1" s="1"/>
  <c r="P1231" i="1"/>
  <c r="Q1231" i="1" s="1"/>
  <c r="R1231" i="1" s="1"/>
  <c r="P1230" i="1"/>
  <c r="Q1230" i="1" s="1"/>
  <c r="R1230" i="1" s="1"/>
  <c r="P1229" i="1"/>
  <c r="Q1229" i="1" s="1"/>
  <c r="R1229" i="1" s="1"/>
  <c r="P1228" i="1"/>
  <c r="Q1228" i="1" s="1"/>
  <c r="R1228" i="1" s="1"/>
  <c r="P1227" i="1"/>
  <c r="Q1227" i="1" s="1"/>
  <c r="R1227" i="1" s="1"/>
  <c r="P1226" i="1"/>
  <c r="Q1226" i="1" s="1"/>
  <c r="R1226" i="1" s="1"/>
  <c r="P1225" i="1"/>
  <c r="Q1225" i="1" s="1"/>
  <c r="R1225" i="1" s="1"/>
  <c r="P1224" i="1"/>
  <c r="Q1224" i="1" s="1"/>
  <c r="R1224" i="1" s="1"/>
  <c r="P1223" i="1"/>
  <c r="Q1223" i="1" s="1"/>
  <c r="R1223" i="1" s="1"/>
  <c r="P1222" i="1"/>
  <c r="Q1222" i="1" s="1"/>
  <c r="R1222" i="1" s="1"/>
  <c r="P1221" i="1"/>
  <c r="Q1221" i="1" s="1"/>
  <c r="R1221" i="1" s="1"/>
  <c r="P1220" i="1"/>
  <c r="Q1220" i="1" s="1"/>
  <c r="R1220" i="1" s="1"/>
  <c r="P1219" i="1"/>
  <c r="Q1219" i="1" s="1"/>
  <c r="R1219" i="1" s="1"/>
  <c r="P1218" i="1"/>
  <c r="Q1218" i="1" s="1"/>
  <c r="R1218" i="1" s="1"/>
  <c r="P1217" i="1"/>
  <c r="Q1217" i="1" s="1"/>
  <c r="R1217" i="1" s="1"/>
  <c r="P1216" i="1"/>
  <c r="Q1216" i="1" s="1"/>
  <c r="R1216" i="1" s="1"/>
  <c r="P1215" i="1"/>
  <c r="Q1215" i="1" s="1"/>
  <c r="R1215" i="1" s="1"/>
  <c r="P1214" i="1"/>
  <c r="P1213" i="1"/>
  <c r="P1212" i="1"/>
  <c r="Q1212" i="1" s="1"/>
  <c r="R1212" i="1" s="1"/>
  <c r="P1211" i="1"/>
  <c r="Q1211" i="1" s="1"/>
  <c r="R1211" i="1" s="1"/>
  <c r="P1210" i="1"/>
  <c r="Q1210" i="1" s="1"/>
  <c r="R1210" i="1" s="1"/>
  <c r="P1209" i="1"/>
  <c r="Q1209" i="1" s="1"/>
  <c r="R1209" i="1" s="1"/>
  <c r="P1208" i="1"/>
  <c r="Q1208" i="1" s="1"/>
  <c r="R1208" i="1" s="1"/>
  <c r="P1207" i="1"/>
  <c r="Q1207" i="1" s="1"/>
  <c r="R1207" i="1" s="1"/>
  <c r="P1206" i="1"/>
  <c r="Q1206" i="1" s="1"/>
  <c r="R1206" i="1" s="1"/>
  <c r="P1205" i="1"/>
  <c r="Q1205" i="1" s="1"/>
  <c r="R1205" i="1" s="1"/>
  <c r="P1204" i="1"/>
  <c r="Q1204" i="1" s="1"/>
  <c r="R1204" i="1" s="1"/>
  <c r="P1203" i="1"/>
  <c r="Q1203" i="1" s="1"/>
  <c r="R1203" i="1" s="1"/>
  <c r="P1202" i="1"/>
  <c r="Q1202" i="1" s="1"/>
  <c r="R1202" i="1" s="1"/>
  <c r="P1201" i="1"/>
  <c r="Q1201" i="1" s="1"/>
  <c r="R1201" i="1" s="1"/>
  <c r="P1200" i="1"/>
  <c r="Q1200" i="1" s="1"/>
  <c r="R1200" i="1" s="1"/>
  <c r="P1199" i="1"/>
  <c r="Q1199" i="1" s="1"/>
  <c r="R1199" i="1" s="1"/>
  <c r="P1198" i="1"/>
  <c r="Q1198" i="1" s="1"/>
  <c r="R1198" i="1" s="1"/>
  <c r="P1197" i="1"/>
  <c r="P1196" i="1"/>
  <c r="Q1196" i="1" s="1"/>
  <c r="R1196" i="1" s="1"/>
  <c r="P1195" i="1"/>
  <c r="Q1195" i="1" s="1"/>
  <c r="R1195" i="1" s="1"/>
  <c r="P1194" i="1"/>
  <c r="Q1194" i="1" s="1"/>
  <c r="R1194" i="1" s="1"/>
  <c r="P1193" i="1"/>
  <c r="Q1193" i="1" s="1"/>
  <c r="R1193" i="1" s="1"/>
  <c r="P1192" i="1"/>
  <c r="P1191" i="1"/>
  <c r="P1190" i="1"/>
  <c r="Q1190" i="1" s="1"/>
  <c r="R1190" i="1" s="1"/>
  <c r="P1189" i="1"/>
  <c r="Q1189" i="1" s="1"/>
  <c r="R1189" i="1" s="1"/>
  <c r="P1188" i="1"/>
  <c r="Q1188" i="1" s="1"/>
  <c r="R1188" i="1" s="1"/>
  <c r="P1187" i="1"/>
  <c r="Q1187" i="1" s="1"/>
  <c r="R1187" i="1" s="1"/>
  <c r="P1186" i="1"/>
  <c r="Q1186" i="1" s="1"/>
  <c r="R1186" i="1" s="1"/>
  <c r="P1185" i="1"/>
  <c r="Q1185" i="1" s="1"/>
  <c r="R1185" i="1" s="1"/>
  <c r="P1184" i="1"/>
  <c r="Q1184" i="1" s="1"/>
  <c r="R1184" i="1" s="1"/>
  <c r="P1183" i="1"/>
  <c r="Q1183" i="1" s="1"/>
  <c r="R1183" i="1" s="1"/>
  <c r="P1182" i="1"/>
  <c r="Q1182" i="1" s="1"/>
  <c r="R1182" i="1" s="1"/>
  <c r="P1181" i="1"/>
  <c r="Q1181" i="1" s="1"/>
  <c r="R1181" i="1" s="1"/>
  <c r="P1180" i="1"/>
  <c r="Q1180" i="1" s="1"/>
  <c r="R1180" i="1" s="1"/>
  <c r="P1179" i="1"/>
  <c r="P1178" i="1"/>
  <c r="Q1178" i="1" s="1"/>
  <c r="R1178" i="1" s="1"/>
  <c r="P1176" i="1"/>
  <c r="Q1176" i="1" s="1"/>
  <c r="R1176" i="1" s="1"/>
  <c r="P1175" i="1"/>
  <c r="Q1175" i="1" s="1"/>
  <c r="R1175" i="1" s="1"/>
  <c r="P1174" i="1"/>
  <c r="Q1174" i="1" s="1"/>
  <c r="R1174" i="1" s="1"/>
  <c r="P1173" i="1"/>
  <c r="Q1173" i="1" s="1"/>
  <c r="R1173" i="1" s="1"/>
  <c r="P1172" i="1"/>
  <c r="Q1172" i="1" s="1"/>
  <c r="R1172" i="1" s="1"/>
  <c r="P1171" i="1"/>
  <c r="Q1171" i="1" s="1"/>
  <c r="R1171" i="1" s="1"/>
  <c r="P1170" i="1"/>
  <c r="Q1170" i="1" s="1"/>
  <c r="R1170" i="1" s="1"/>
  <c r="P1169" i="1"/>
  <c r="Q1169" i="1" s="1"/>
  <c r="R1169" i="1" s="1"/>
  <c r="P1168" i="1"/>
  <c r="Q1168" i="1" s="1"/>
  <c r="R1168" i="1" s="1"/>
  <c r="P1167" i="1"/>
  <c r="Q1167" i="1" s="1"/>
  <c r="R1167" i="1" s="1"/>
  <c r="P1166" i="1"/>
  <c r="Q1166" i="1" s="1"/>
  <c r="R1166" i="1" s="1"/>
  <c r="P1165" i="1"/>
  <c r="Q1165" i="1" s="1"/>
  <c r="R1165" i="1" s="1"/>
  <c r="P1164" i="1"/>
  <c r="Q1164" i="1" s="1"/>
  <c r="R1164" i="1" s="1"/>
  <c r="P1163" i="1"/>
  <c r="Q1163" i="1" s="1"/>
  <c r="R1163" i="1" s="1"/>
  <c r="P1162" i="1"/>
  <c r="Q1162" i="1" s="1"/>
  <c r="R1162" i="1" s="1"/>
  <c r="P1161" i="1"/>
  <c r="Q1161" i="1" s="1"/>
  <c r="R1161" i="1" s="1"/>
  <c r="P1160" i="1"/>
  <c r="Q1160" i="1" s="1"/>
  <c r="R1160" i="1" s="1"/>
  <c r="P1159" i="1"/>
  <c r="Q1159" i="1" s="1"/>
  <c r="R1159" i="1" s="1"/>
  <c r="P1158" i="1"/>
  <c r="Q1158" i="1" s="1"/>
  <c r="R1158" i="1" s="1"/>
  <c r="P1157" i="1"/>
  <c r="Q1157" i="1" s="1"/>
  <c r="R1157" i="1" s="1"/>
  <c r="P1156" i="1"/>
  <c r="Q1156" i="1" s="1"/>
  <c r="R1156" i="1" s="1"/>
  <c r="P1155" i="1"/>
  <c r="Q1155" i="1" s="1"/>
  <c r="R1155" i="1" s="1"/>
  <c r="P1154" i="1"/>
  <c r="Q1154" i="1" s="1"/>
  <c r="R1154" i="1" s="1"/>
  <c r="P1153" i="1"/>
  <c r="Q1153" i="1" s="1"/>
  <c r="R1153" i="1" s="1"/>
  <c r="P1152" i="1"/>
  <c r="Q1152" i="1" s="1"/>
  <c r="R1152" i="1" s="1"/>
  <c r="P1151" i="1"/>
  <c r="Q1151" i="1" s="1"/>
  <c r="R1151" i="1" s="1"/>
  <c r="P1150" i="1"/>
  <c r="Q1150" i="1" s="1"/>
  <c r="R1150" i="1" s="1"/>
  <c r="P1149" i="1"/>
  <c r="Q1149" i="1" s="1"/>
  <c r="R1149" i="1" s="1"/>
  <c r="P1148" i="1"/>
  <c r="Q1148" i="1" s="1"/>
  <c r="R1148" i="1" s="1"/>
  <c r="P1147" i="1"/>
  <c r="Q1147" i="1" s="1"/>
  <c r="R1147" i="1" s="1"/>
  <c r="P1146" i="1"/>
  <c r="Q1146" i="1" s="1"/>
  <c r="R1146" i="1" s="1"/>
  <c r="P1145" i="1"/>
  <c r="Q1145" i="1" s="1"/>
  <c r="R1145" i="1" s="1"/>
  <c r="P1144" i="1"/>
  <c r="Q1144" i="1" s="1"/>
  <c r="R1144" i="1" s="1"/>
  <c r="P1143" i="1"/>
  <c r="Q1143" i="1" s="1"/>
  <c r="R1143" i="1" s="1"/>
  <c r="P1142" i="1"/>
  <c r="Q1142" i="1" s="1"/>
  <c r="R1142" i="1" s="1"/>
  <c r="P1141" i="1"/>
  <c r="Q1141" i="1" s="1"/>
  <c r="R1141" i="1" s="1"/>
  <c r="P1140" i="1"/>
  <c r="Q1140" i="1" s="1"/>
  <c r="R1140" i="1" s="1"/>
  <c r="P1139" i="1"/>
  <c r="Q1139" i="1" s="1"/>
  <c r="R1139" i="1" s="1"/>
  <c r="P1138" i="1"/>
  <c r="Q1138" i="1" s="1"/>
  <c r="R1138" i="1" s="1"/>
  <c r="P1137" i="1"/>
  <c r="Q1137" i="1" s="1"/>
  <c r="R1137" i="1" s="1"/>
  <c r="P1136" i="1"/>
  <c r="Q1136" i="1" s="1"/>
  <c r="R1136" i="1" s="1"/>
  <c r="P1135" i="1"/>
  <c r="Q1135" i="1" s="1"/>
  <c r="R1135" i="1" s="1"/>
  <c r="P1134" i="1"/>
  <c r="Q1134" i="1" s="1"/>
  <c r="R1134" i="1" s="1"/>
  <c r="P1133" i="1"/>
  <c r="Q1133" i="1" s="1"/>
  <c r="R1133" i="1" s="1"/>
  <c r="P1132" i="1"/>
  <c r="Q1132" i="1" s="1"/>
  <c r="R1132" i="1" s="1"/>
  <c r="P1131" i="1"/>
  <c r="Q1131" i="1" s="1"/>
  <c r="R1131" i="1" s="1"/>
  <c r="P1130" i="1"/>
  <c r="Q1130" i="1" s="1"/>
  <c r="R1130" i="1" s="1"/>
  <c r="P1129" i="1"/>
  <c r="Q1129" i="1" s="1"/>
  <c r="R1129" i="1" s="1"/>
  <c r="P1128" i="1"/>
  <c r="Q1128" i="1" s="1"/>
  <c r="R1128" i="1" s="1"/>
  <c r="P1127" i="1"/>
  <c r="Q1127" i="1" s="1"/>
  <c r="R1127" i="1" s="1"/>
  <c r="P1126" i="1"/>
  <c r="Q1126" i="1" s="1"/>
  <c r="R1126" i="1" s="1"/>
  <c r="P1125" i="1"/>
  <c r="Q1125" i="1" s="1"/>
  <c r="R1125" i="1" s="1"/>
  <c r="P1124" i="1"/>
  <c r="Q1124" i="1" s="1"/>
  <c r="R1124" i="1" s="1"/>
  <c r="P1123" i="1"/>
  <c r="Q1123" i="1" s="1"/>
  <c r="R1123" i="1" s="1"/>
  <c r="P1122" i="1"/>
  <c r="Q1122" i="1" s="1"/>
  <c r="R1122" i="1" s="1"/>
  <c r="P1121" i="1"/>
  <c r="Q1121" i="1" s="1"/>
  <c r="R1121" i="1" s="1"/>
  <c r="P1120" i="1"/>
  <c r="Q1120" i="1" s="1"/>
  <c r="R1120" i="1" s="1"/>
  <c r="P1119" i="1"/>
  <c r="Q1119" i="1" s="1"/>
  <c r="R1119" i="1" s="1"/>
  <c r="P1118" i="1"/>
  <c r="Q1118" i="1" s="1"/>
  <c r="R1118" i="1" s="1"/>
  <c r="P1117" i="1"/>
  <c r="Q1117" i="1" s="1"/>
  <c r="R1117" i="1" s="1"/>
  <c r="P1116" i="1"/>
  <c r="Q1116" i="1" s="1"/>
  <c r="R1116" i="1" s="1"/>
  <c r="P1115" i="1"/>
  <c r="Q1115" i="1" s="1"/>
  <c r="R1115" i="1" s="1"/>
  <c r="P1114" i="1"/>
  <c r="Q1114" i="1" s="1"/>
  <c r="R1114" i="1" s="1"/>
  <c r="P1113" i="1"/>
  <c r="Q1113" i="1" s="1"/>
  <c r="R1113" i="1" s="1"/>
  <c r="P1112" i="1"/>
  <c r="Q1112" i="1" s="1"/>
  <c r="R1112" i="1" s="1"/>
  <c r="P1111" i="1"/>
  <c r="Q1111" i="1" s="1"/>
  <c r="R1111" i="1" s="1"/>
  <c r="P1110" i="1"/>
  <c r="Q1110" i="1" s="1"/>
  <c r="R1110" i="1" s="1"/>
  <c r="P1109" i="1"/>
  <c r="Q1109" i="1" s="1"/>
  <c r="R1109" i="1" s="1"/>
  <c r="P1108" i="1"/>
  <c r="Q1108" i="1" s="1"/>
  <c r="R1108" i="1" s="1"/>
  <c r="P1107" i="1"/>
  <c r="Q1107" i="1" s="1"/>
  <c r="R1107" i="1" s="1"/>
  <c r="P1106" i="1"/>
  <c r="Q1106" i="1" s="1"/>
  <c r="R1106" i="1" s="1"/>
  <c r="P1105" i="1"/>
  <c r="Q1105" i="1" s="1"/>
  <c r="R1105" i="1" s="1"/>
  <c r="P1104" i="1"/>
  <c r="Q1104" i="1" s="1"/>
  <c r="R1104" i="1" s="1"/>
  <c r="P1103" i="1"/>
  <c r="Q1103" i="1" s="1"/>
  <c r="R1103" i="1" s="1"/>
  <c r="P1102" i="1"/>
  <c r="Q1102" i="1" s="1"/>
  <c r="R1102" i="1" s="1"/>
  <c r="P1101" i="1"/>
  <c r="Q1101" i="1" s="1"/>
  <c r="R1101" i="1" s="1"/>
  <c r="P1100" i="1"/>
  <c r="Q1100" i="1" s="1"/>
  <c r="R1100" i="1" s="1"/>
  <c r="P1099" i="1"/>
  <c r="Q1099" i="1" s="1"/>
  <c r="R1099" i="1" s="1"/>
  <c r="P1098" i="1"/>
  <c r="Q1098" i="1" s="1"/>
  <c r="R1098" i="1" s="1"/>
  <c r="P1097" i="1"/>
  <c r="Q1097" i="1" s="1"/>
  <c r="R1097" i="1" s="1"/>
  <c r="P1096" i="1"/>
  <c r="Q1096" i="1" s="1"/>
  <c r="R1096" i="1" s="1"/>
  <c r="P1095" i="1"/>
  <c r="Q1095" i="1" s="1"/>
  <c r="R1095" i="1" s="1"/>
  <c r="P1094" i="1"/>
  <c r="Q1094" i="1" s="1"/>
  <c r="R1094" i="1" s="1"/>
  <c r="P1093" i="1"/>
  <c r="Q1093" i="1" s="1"/>
  <c r="R1093" i="1" s="1"/>
  <c r="P1092" i="1"/>
  <c r="Q1092" i="1" s="1"/>
  <c r="R1092" i="1" s="1"/>
  <c r="P1091" i="1"/>
  <c r="Q1091" i="1" s="1"/>
  <c r="R1091" i="1" s="1"/>
  <c r="P1089" i="1"/>
  <c r="Q1089" i="1" s="1"/>
  <c r="R1089" i="1" s="1"/>
  <c r="P1088" i="1"/>
  <c r="Q1088" i="1" s="1"/>
  <c r="R1088" i="1" s="1"/>
  <c r="P1087" i="1"/>
  <c r="Q1087" i="1" s="1"/>
  <c r="R1087" i="1" s="1"/>
  <c r="P1086" i="1"/>
  <c r="Q1086" i="1" s="1"/>
  <c r="R1086" i="1" s="1"/>
  <c r="P1085" i="1"/>
  <c r="P1084" i="1"/>
  <c r="Q1084" i="1" s="1"/>
  <c r="R1084" i="1" s="1"/>
  <c r="P1083" i="1"/>
  <c r="Q1083" i="1" s="1"/>
  <c r="R1083" i="1" s="1"/>
  <c r="P1082" i="1"/>
  <c r="P1081" i="1"/>
  <c r="Q1081" i="1" s="1"/>
  <c r="R1081" i="1" s="1"/>
  <c r="P1080" i="1"/>
  <c r="Q1080" i="1" s="1"/>
  <c r="R1080" i="1" s="1"/>
  <c r="P1079" i="1"/>
  <c r="Q1079" i="1" s="1"/>
  <c r="R1079" i="1" s="1"/>
  <c r="P1078" i="1"/>
  <c r="Q1078" i="1" s="1"/>
  <c r="R1078" i="1" s="1"/>
  <c r="P1077" i="1"/>
  <c r="Q1077" i="1" s="1"/>
  <c r="R1077" i="1" s="1"/>
  <c r="P1076" i="1"/>
  <c r="Q1076" i="1" s="1"/>
  <c r="R1076" i="1" s="1"/>
  <c r="P1075" i="1"/>
  <c r="Q1075" i="1" s="1"/>
  <c r="R1075" i="1" s="1"/>
  <c r="P1074" i="1"/>
  <c r="Q1074" i="1" s="1"/>
  <c r="R1074" i="1" s="1"/>
  <c r="P1073" i="1"/>
  <c r="Q1073" i="1" s="1"/>
  <c r="R1073" i="1" s="1"/>
  <c r="P1072" i="1"/>
  <c r="Q1072" i="1" s="1"/>
  <c r="R1072" i="1" s="1"/>
  <c r="P1071" i="1"/>
  <c r="Q1071" i="1" s="1"/>
  <c r="R1071" i="1" s="1"/>
  <c r="P1070" i="1"/>
  <c r="Q1070" i="1" s="1"/>
  <c r="R1070" i="1" s="1"/>
  <c r="P1069" i="1"/>
  <c r="Q1069" i="1" s="1"/>
  <c r="R1069" i="1" s="1"/>
  <c r="P1068" i="1"/>
  <c r="Q1068" i="1" s="1"/>
  <c r="R1068" i="1" s="1"/>
  <c r="P1067" i="1"/>
  <c r="Q1067" i="1" s="1"/>
  <c r="R1067" i="1" s="1"/>
  <c r="P1066" i="1"/>
  <c r="Q1066" i="1" s="1"/>
  <c r="R1066" i="1" s="1"/>
  <c r="P1065" i="1"/>
  <c r="Q1065" i="1" s="1"/>
  <c r="R1065" i="1" s="1"/>
  <c r="P1064" i="1"/>
  <c r="Q1064" i="1" s="1"/>
  <c r="R1064" i="1" s="1"/>
  <c r="P1063" i="1"/>
  <c r="P1062" i="1"/>
  <c r="P1061" i="1"/>
  <c r="Q1061" i="1" s="1"/>
  <c r="R1061" i="1" s="1"/>
  <c r="P1060" i="1"/>
  <c r="P1059" i="1"/>
  <c r="Q1059" i="1" s="1"/>
  <c r="R1059" i="1" s="1"/>
  <c r="P1058" i="1"/>
  <c r="Q1058" i="1" s="1"/>
  <c r="R1058" i="1" s="1"/>
  <c r="P1057" i="1"/>
  <c r="Q1057" i="1" s="1"/>
  <c r="R1057" i="1" s="1"/>
  <c r="P1056" i="1"/>
  <c r="Q1056" i="1" s="1"/>
  <c r="R1056" i="1" s="1"/>
  <c r="P1055" i="1"/>
  <c r="Q1055" i="1" s="1"/>
  <c r="R1055" i="1" s="1"/>
  <c r="P1054" i="1"/>
  <c r="Q1054" i="1" s="1"/>
  <c r="R1054" i="1" s="1"/>
  <c r="P1053" i="1"/>
  <c r="Q1053" i="1" s="1"/>
  <c r="R1053" i="1" s="1"/>
  <c r="P1052" i="1"/>
  <c r="Q1052" i="1" s="1"/>
  <c r="R1052" i="1" s="1"/>
  <c r="P1051" i="1"/>
  <c r="Q1051" i="1" s="1"/>
  <c r="R1051" i="1" s="1"/>
  <c r="P1050" i="1"/>
  <c r="Q1050" i="1" s="1"/>
  <c r="R1050" i="1" s="1"/>
  <c r="P1049" i="1"/>
  <c r="Q1049" i="1" s="1"/>
  <c r="R1049" i="1" s="1"/>
  <c r="P1048" i="1"/>
  <c r="Q1048" i="1" s="1"/>
  <c r="R1048" i="1" s="1"/>
  <c r="P1047" i="1"/>
  <c r="Q1047" i="1" s="1"/>
  <c r="R1047" i="1" s="1"/>
  <c r="P1046" i="1"/>
  <c r="Q1046" i="1" s="1"/>
  <c r="R1046" i="1" s="1"/>
  <c r="P1044" i="1"/>
  <c r="P1043" i="1"/>
  <c r="Q1043" i="1" s="1"/>
  <c r="R1043" i="1" s="1"/>
  <c r="P1042" i="1"/>
  <c r="Q1042" i="1" s="1"/>
  <c r="R1042" i="1" s="1"/>
  <c r="P1041" i="1"/>
  <c r="Q1041" i="1" s="1"/>
  <c r="R1041" i="1" s="1"/>
  <c r="P1040" i="1"/>
  <c r="Q1040" i="1" s="1"/>
  <c r="R1040" i="1" s="1"/>
  <c r="P1039" i="1"/>
  <c r="Q1039" i="1" s="1"/>
  <c r="R1039" i="1" s="1"/>
  <c r="P1038" i="1"/>
  <c r="P1037" i="1"/>
  <c r="P1036" i="1"/>
  <c r="Q1036" i="1" s="1"/>
  <c r="R1036" i="1" s="1"/>
  <c r="P1035" i="1"/>
  <c r="Q1035" i="1" s="1"/>
  <c r="R1035" i="1" s="1"/>
  <c r="P1034" i="1"/>
  <c r="Q1034" i="1" s="1"/>
  <c r="R1034" i="1" s="1"/>
  <c r="P1033" i="1"/>
  <c r="Q1033" i="1" s="1"/>
  <c r="R1033" i="1" s="1"/>
  <c r="P1032" i="1"/>
  <c r="Q1032" i="1" s="1"/>
  <c r="R1032" i="1" s="1"/>
  <c r="P1031" i="1"/>
  <c r="Q1031" i="1" s="1"/>
  <c r="R1031" i="1" s="1"/>
  <c r="P1030" i="1"/>
  <c r="Q1030" i="1" s="1"/>
  <c r="R1030" i="1" s="1"/>
  <c r="P1029" i="1"/>
  <c r="Q1029" i="1" s="1"/>
  <c r="R1029" i="1" s="1"/>
  <c r="P1028" i="1"/>
  <c r="Q1028" i="1" s="1"/>
  <c r="R1028" i="1" s="1"/>
  <c r="P1027" i="1"/>
  <c r="Q1027" i="1" s="1"/>
  <c r="R1027" i="1" s="1"/>
  <c r="P1026" i="1"/>
  <c r="Q1026" i="1" s="1"/>
  <c r="R1026" i="1" s="1"/>
  <c r="P1025" i="1"/>
  <c r="Q1025" i="1" s="1"/>
  <c r="R1025" i="1" s="1"/>
  <c r="P1024" i="1"/>
  <c r="Q1024" i="1" s="1"/>
  <c r="R1024" i="1" s="1"/>
  <c r="P1023" i="1"/>
  <c r="P1022" i="1"/>
  <c r="Q1022" i="1" s="1"/>
  <c r="R1022" i="1" s="1"/>
  <c r="P1021" i="1"/>
  <c r="Q1021" i="1" s="1"/>
  <c r="R1021" i="1" s="1"/>
  <c r="P1020" i="1"/>
  <c r="Q1020" i="1" s="1"/>
  <c r="R1020" i="1" s="1"/>
  <c r="P1019" i="1"/>
  <c r="Q1019" i="1" s="1"/>
  <c r="R1019" i="1" s="1"/>
  <c r="P1018" i="1"/>
  <c r="Q1018" i="1" s="1"/>
  <c r="R1018" i="1" s="1"/>
  <c r="P1017" i="1"/>
  <c r="P1016" i="1"/>
  <c r="Q1016" i="1" s="1"/>
  <c r="P1015" i="1"/>
  <c r="P1014" i="1"/>
  <c r="Q1014" i="1" s="1"/>
  <c r="R1014" i="1" s="1"/>
  <c r="P1013" i="1"/>
  <c r="Q1013" i="1" s="1"/>
  <c r="R1013" i="1" s="1"/>
  <c r="P1012" i="1"/>
  <c r="Q1012" i="1" s="1"/>
  <c r="R1012" i="1" s="1"/>
  <c r="P1011" i="1"/>
  <c r="Q1011" i="1" s="1"/>
  <c r="R1011" i="1" s="1"/>
  <c r="P1010" i="1"/>
  <c r="Q1010" i="1" s="1"/>
  <c r="R1010" i="1" s="1"/>
  <c r="P1009" i="1"/>
  <c r="Q1009" i="1" s="1"/>
  <c r="R1009" i="1" s="1"/>
  <c r="P1008" i="1"/>
  <c r="Q1008" i="1" s="1"/>
  <c r="R1008" i="1" s="1"/>
  <c r="P1007" i="1"/>
  <c r="Q1007" i="1" s="1"/>
  <c r="R1007" i="1" s="1"/>
  <c r="P1006" i="1"/>
  <c r="Q1006" i="1" s="1"/>
  <c r="R1006" i="1" s="1"/>
  <c r="P1005" i="1"/>
  <c r="Q1005" i="1" s="1"/>
  <c r="R1005" i="1" s="1"/>
  <c r="P1004" i="1"/>
  <c r="Q1004" i="1" s="1"/>
  <c r="R1004" i="1" s="1"/>
  <c r="P1003" i="1"/>
  <c r="Q1003" i="1" s="1"/>
  <c r="R1003" i="1" s="1"/>
  <c r="P1002" i="1"/>
  <c r="Q1002" i="1" s="1"/>
  <c r="R1002" i="1" s="1"/>
  <c r="P1001" i="1"/>
  <c r="P1000" i="1"/>
  <c r="Q1000" i="1" s="1"/>
  <c r="R1000" i="1" s="1"/>
  <c r="P999" i="1"/>
  <c r="Q999" i="1" s="1"/>
  <c r="R999" i="1" s="1"/>
  <c r="P998" i="1"/>
  <c r="Q998" i="1" s="1"/>
  <c r="R998" i="1" s="1"/>
  <c r="P997" i="1"/>
  <c r="Q997" i="1" s="1"/>
  <c r="R997" i="1" s="1"/>
  <c r="P996" i="1"/>
  <c r="P995" i="1"/>
  <c r="Q995" i="1" s="1"/>
  <c r="R995" i="1" s="1"/>
  <c r="P994" i="1"/>
  <c r="Q994" i="1" s="1"/>
  <c r="R994" i="1" s="1"/>
  <c r="P993" i="1"/>
  <c r="Q993" i="1" s="1"/>
  <c r="R993" i="1" s="1"/>
  <c r="P992" i="1"/>
  <c r="Q992" i="1" s="1"/>
  <c r="R992" i="1" s="1"/>
  <c r="P991" i="1"/>
  <c r="Q991" i="1" s="1"/>
  <c r="R991" i="1" s="1"/>
  <c r="P990" i="1"/>
  <c r="Q990" i="1" s="1"/>
  <c r="R990" i="1" s="1"/>
  <c r="P989" i="1"/>
  <c r="Q989" i="1" s="1"/>
  <c r="R989" i="1" s="1"/>
  <c r="P988" i="1"/>
  <c r="Q988" i="1" s="1"/>
  <c r="R988" i="1" s="1"/>
  <c r="P987" i="1"/>
  <c r="Q987" i="1" s="1"/>
  <c r="R987" i="1" s="1"/>
  <c r="P986" i="1"/>
  <c r="Q986" i="1" s="1"/>
  <c r="R986" i="1" s="1"/>
  <c r="P985" i="1"/>
  <c r="Q985" i="1" s="1"/>
  <c r="R985" i="1" s="1"/>
  <c r="P984" i="1"/>
  <c r="Q984" i="1" s="1"/>
  <c r="R984" i="1" s="1"/>
  <c r="P983" i="1"/>
  <c r="Q983" i="1" s="1"/>
  <c r="R983" i="1" s="1"/>
  <c r="P982" i="1"/>
  <c r="Q982" i="1" s="1"/>
  <c r="R982" i="1" s="1"/>
  <c r="P981" i="1"/>
  <c r="Q981" i="1" s="1"/>
  <c r="R981" i="1" s="1"/>
  <c r="P980" i="1"/>
  <c r="Q980" i="1" s="1"/>
  <c r="R980" i="1" s="1"/>
  <c r="P979" i="1"/>
  <c r="P978" i="1"/>
  <c r="Q978" i="1" s="1"/>
  <c r="R978" i="1" s="1"/>
  <c r="P977" i="1"/>
  <c r="Q977" i="1" s="1"/>
  <c r="R977" i="1" s="1"/>
  <c r="P976" i="1"/>
  <c r="Q976" i="1" s="1"/>
  <c r="R976" i="1" s="1"/>
  <c r="P975" i="1"/>
  <c r="Q975" i="1" s="1"/>
  <c r="R975" i="1" s="1"/>
  <c r="P974" i="1"/>
  <c r="Q974" i="1" s="1"/>
  <c r="R974" i="1" s="1"/>
  <c r="P973" i="1"/>
  <c r="P972" i="1"/>
  <c r="P971" i="1"/>
  <c r="P970" i="1"/>
  <c r="Q970" i="1" s="1"/>
  <c r="R970" i="1" s="1"/>
  <c r="P968" i="1"/>
  <c r="Q968" i="1" s="1"/>
  <c r="R968" i="1" s="1"/>
  <c r="P967" i="1"/>
  <c r="Q967" i="1" s="1"/>
  <c r="R967" i="1" s="1"/>
  <c r="P966" i="1"/>
  <c r="Q966" i="1" s="1"/>
  <c r="R966" i="1" s="1"/>
  <c r="P965" i="1"/>
  <c r="Q965" i="1" s="1"/>
  <c r="R965" i="1" s="1"/>
  <c r="P964" i="1"/>
  <c r="Q964" i="1" s="1"/>
  <c r="R964" i="1" s="1"/>
  <c r="P963" i="1"/>
  <c r="Q963" i="1" s="1"/>
  <c r="R963" i="1" s="1"/>
  <c r="P962" i="1"/>
  <c r="Q962" i="1" s="1"/>
  <c r="R962" i="1" s="1"/>
  <c r="P961" i="1"/>
  <c r="Q961" i="1" s="1"/>
  <c r="R961" i="1" s="1"/>
  <c r="P960" i="1"/>
  <c r="Q960" i="1" s="1"/>
  <c r="R960" i="1" s="1"/>
  <c r="P959" i="1"/>
  <c r="Q959" i="1" s="1"/>
  <c r="R959" i="1" s="1"/>
  <c r="P958" i="1"/>
  <c r="Q958" i="1" s="1"/>
  <c r="R958" i="1" s="1"/>
  <c r="P957" i="1"/>
  <c r="Q957" i="1" s="1"/>
  <c r="R957" i="1" s="1"/>
  <c r="P956" i="1"/>
  <c r="Q956" i="1" s="1"/>
  <c r="R956" i="1" s="1"/>
  <c r="P955" i="1"/>
  <c r="Q955" i="1" s="1"/>
  <c r="R955" i="1" s="1"/>
  <c r="P954" i="1"/>
  <c r="Q954" i="1" s="1"/>
  <c r="R954" i="1" s="1"/>
  <c r="P953" i="1"/>
  <c r="Q953" i="1" s="1"/>
  <c r="R953" i="1" s="1"/>
  <c r="P952" i="1"/>
  <c r="Q952" i="1" s="1"/>
  <c r="R952" i="1" s="1"/>
  <c r="P951" i="1"/>
  <c r="Q951" i="1" s="1"/>
  <c r="R951" i="1" s="1"/>
  <c r="P950" i="1"/>
  <c r="Q950" i="1" s="1"/>
  <c r="R950" i="1" s="1"/>
  <c r="P949" i="1"/>
  <c r="Q949" i="1" s="1"/>
  <c r="R949" i="1" s="1"/>
  <c r="P948" i="1"/>
  <c r="Q948" i="1" s="1"/>
  <c r="R948" i="1" s="1"/>
  <c r="P947" i="1"/>
  <c r="Q947" i="1" s="1"/>
  <c r="R947" i="1" s="1"/>
  <c r="P946" i="1"/>
  <c r="Q946" i="1" s="1"/>
  <c r="R946" i="1" s="1"/>
  <c r="P945" i="1"/>
  <c r="Q945" i="1" s="1"/>
  <c r="R945" i="1" s="1"/>
  <c r="P944" i="1"/>
  <c r="Q944" i="1" s="1"/>
  <c r="R944" i="1" s="1"/>
  <c r="P943" i="1"/>
  <c r="Q943" i="1" s="1"/>
  <c r="R943" i="1" s="1"/>
  <c r="P942" i="1"/>
  <c r="Q942" i="1" s="1"/>
  <c r="R942" i="1" s="1"/>
  <c r="P941" i="1"/>
  <c r="Q941" i="1" s="1"/>
  <c r="R941" i="1" s="1"/>
  <c r="P940" i="1"/>
  <c r="Q940" i="1" s="1"/>
  <c r="R940" i="1" s="1"/>
  <c r="P939" i="1"/>
  <c r="Q939" i="1" s="1"/>
  <c r="R939" i="1" s="1"/>
  <c r="P938" i="1"/>
  <c r="Q938" i="1" s="1"/>
  <c r="R938" i="1" s="1"/>
  <c r="P937" i="1"/>
  <c r="Q937" i="1" s="1"/>
  <c r="R937" i="1" s="1"/>
  <c r="P936" i="1"/>
  <c r="Q936" i="1" s="1"/>
  <c r="R936" i="1" s="1"/>
  <c r="P935" i="1"/>
  <c r="P934" i="1"/>
  <c r="P933" i="1"/>
  <c r="Q933" i="1" s="1"/>
  <c r="R933" i="1" s="1"/>
  <c r="P932" i="1"/>
  <c r="Q932" i="1" s="1"/>
  <c r="R932" i="1" s="1"/>
  <c r="P931" i="1"/>
  <c r="Q931" i="1" s="1"/>
  <c r="R931" i="1" s="1"/>
  <c r="P930" i="1"/>
  <c r="Q930" i="1" s="1"/>
  <c r="R930" i="1" s="1"/>
  <c r="P929" i="1"/>
  <c r="Q929" i="1" s="1"/>
  <c r="R929" i="1" s="1"/>
  <c r="P928" i="1"/>
  <c r="P927" i="1"/>
  <c r="Q927" i="1" s="1"/>
  <c r="R927" i="1" s="1"/>
  <c r="P926" i="1"/>
  <c r="Q926" i="1" s="1"/>
  <c r="R926" i="1" s="1"/>
  <c r="P925" i="1"/>
  <c r="Q925" i="1" s="1"/>
  <c r="R925" i="1" s="1"/>
  <c r="P924" i="1"/>
  <c r="Q924" i="1" s="1"/>
  <c r="R924" i="1" s="1"/>
  <c r="P923" i="1"/>
  <c r="Q923" i="1" s="1"/>
  <c r="R923" i="1" s="1"/>
  <c r="P922" i="1"/>
  <c r="Q922" i="1" s="1"/>
  <c r="R922" i="1" s="1"/>
  <c r="P921" i="1"/>
  <c r="Q921" i="1" s="1"/>
  <c r="R921" i="1" s="1"/>
  <c r="P920" i="1"/>
  <c r="Q920" i="1" s="1"/>
  <c r="R920" i="1" s="1"/>
  <c r="P918" i="1"/>
  <c r="Q918" i="1" s="1"/>
  <c r="R918" i="1" s="1"/>
  <c r="P917" i="1"/>
  <c r="Q917" i="1" s="1"/>
  <c r="R917" i="1" s="1"/>
  <c r="P916" i="1"/>
  <c r="Q916" i="1" s="1"/>
  <c r="R916" i="1" s="1"/>
  <c r="P915" i="1"/>
  <c r="Q915" i="1" s="1"/>
  <c r="R915" i="1" s="1"/>
  <c r="P914" i="1"/>
  <c r="Q914" i="1" s="1"/>
  <c r="R914" i="1" s="1"/>
  <c r="P913" i="1"/>
  <c r="Q913" i="1" s="1"/>
  <c r="R913" i="1" s="1"/>
  <c r="P912" i="1"/>
  <c r="Q912" i="1" s="1"/>
  <c r="R912" i="1" s="1"/>
  <c r="P911" i="1"/>
  <c r="Q911" i="1" s="1"/>
  <c r="R911" i="1" s="1"/>
  <c r="P910" i="1"/>
  <c r="P909" i="1"/>
  <c r="Q909" i="1" s="1"/>
  <c r="R909" i="1" s="1"/>
  <c r="P908" i="1"/>
  <c r="Q908" i="1" s="1"/>
  <c r="R908" i="1" s="1"/>
  <c r="P907" i="1"/>
  <c r="Q907" i="1" s="1"/>
  <c r="R907" i="1" s="1"/>
  <c r="P906" i="1"/>
  <c r="Q906" i="1" s="1"/>
  <c r="R906" i="1" s="1"/>
  <c r="P905" i="1"/>
  <c r="P904" i="1"/>
  <c r="Q904" i="1" s="1"/>
  <c r="R904" i="1" s="1"/>
  <c r="P903" i="1"/>
  <c r="Q903" i="1" s="1"/>
  <c r="R903" i="1" s="1"/>
  <c r="P902" i="1"/>
  <c r="Q902" i="1" s="1"/>
  <c r="R902" i="1" s="1"/>
  <c r="P901" i="1"/>
  <c r="Q901" i="1" s="1"/>
  <c r="R901" i="1" s="1"/>
  <c r="P900" i="1"/>
  <c r="Q900" i="1" s="1"/>
  <c r="R900" i="1" s="1"/>
  <c r="P899" i="1"/>
  <c r="Q899" i="1" s="1"/>
  <c r="R899" i="1" s="1"/>
  <c r="P898" i="1"/>
  <c r="Q898" i="1" s="1"/>
  <c r="R898" i="1" s="1"/>
  <c r="P897" i="1"/>
  <c r="Q897" i="1" s="1"/>
  <c r="R897" i="1" s="1"/>
  <c r="P896" i="1"/>
  <c r="Q896" i="1" s="1"/>
  <c r="R896" i="1" s="1"/>
  <c r="P895" i="1"/>
  <c r="Q895" i="1" s="1"/>
  <c r="R895" i="1" s="1"/>
  <c r="P894" i="1"/>
  <c r="Q894" i="1" s="1"/>
  <c r="R894" i="1" s="1"/>
  <c r="P893" i="1"/>
  <c r="Q893" i="1" s="1"/>
  <c r="R893" i="1" s="1"/>
  <c r="P892" i="1"/>
  <c r="Q892" i="1" s="1"/>
  <c r="R892" i="1" s="1"/>
  <c r="P891" i="1"/>
  <c r="Q891" i="1" s="1"/>
  <c r="R891" i="1" s="1"/>
  <c r="P890" i="1"/>
  <c r="Q890" i="1" s="1"/>
  <c r="R890" i="1" s="1"/>
  <c r="P889" i="1"/>
  <c r="Q889" i="1" s="1"/>
  <c r="R889" i="1" s="1"/>
  <c r="P888" i="1"/>
  <c r="Q888" i="1" s="1"/>
  <c r="R888" i="1" s="1"/>
  <c r="P887" i="1"/>
  <c r="Q887" i="1" s="1"/>
  <c r="R887" i="1" s="1"/>
  <c r="P886" i="1"/>
  <c r="Q886" i="1" s="1"/>
  <c r="R886" i="1" s="1"/>
  <c r="P884" i="1"/>
  <c r="P883" i="1"/>
  <c r="Q883" i="1" s="1"/>
  <c r="R883" i="1" s="1"/>
  <c r="P882" i="1"/>
  <c r="Q882" i="1" s="1"/>
  <c r="R882" i="1" s="1"/>
  <c r="P881" i="1"/>
  <c r="Q881" i="1" s="1"/>
  <c r="R881" i="1" s="1"/>
  <c r="P880" i="1"/>
  <c r="Q880" i="1" s="1"/>
  <c r="R880" i="1" s="1"/>
  <c r="P879" i="1"/>
  <c r="Q879" i="1" s="1"/>
  <c r="R879" i="1" s="1"/>
  <c r="P878" i="1"/>
  <c r="Q878" i="1" s="1"/>
  <c r="R878" i="1" s="1"/>
  <c r="P877" i="1"/>
  <c r="Q877" i="1" s="1"/>
  <c r="R877" i="1" s="1"/>
  <c r="P876" i="1"/>
  <c r="Q876" i="1" s="1"/>
  <c r="R876" i="1" s="1"/>
  <c r="P875" i="1"/>
  <c r="Q875" i="1" s="1"/>
  <c r="R875" i="1" s="1"/>
  <c r="P874" i="1"/>
  <c r="Q874" i="1" s="1"/>
  <c r="R874" i="1" s="1"/>
  <c r="P873" i="1"/>
  <c r="Q873" i="1" s="1"/>
  <c r="R873" i="1" s="1"/>
  <c r="P872" i="1"/>
  <c r="Q872" i="1" s="1"/>
  <c r="R872" i="1" s="1"/>
  <c r="P871" i="1"/>
  <c r="Q871" i="1" s="1"/>
  <c r="R871" i="1" s="1"/>
  <c r="P870" i="1"/>
  <c r="Q870" i="1" s="1"/>
  <c r="R870" i="1" s="1"/>
  <c r="P869" i="1"/>
  <c r="Q869" i="1" s="1"/>
  <c r="R869" i="1" s="1"/>
  <c r="P868" i="1"/>
  <c r="P867" i="1"/>
  <c r="Q867" i="1" s="1"/>
  <c r="R867" i="1" s="1"/>
  <c r="P866" i="1"/>
  <c r="Q866" i="1" s="1"/>
  <c r="R866" i="1" s="1"/>
  <c r="P865" i="1"/>
  <c r="Q865" i="1" s="1"/>
  <c r="R865" i="1" s="1"/>
  <c r="P864" i="1"/>
  <c r="Q864" i="1" s="1"/>
  <c r="R864" i="1" s="1"/>
  <c r="P863" i="1"/>
  <c r="Q863" i="1" s="1"/>
  <c r="R863" i="1" s="1"/>
  <c r="P862" i="1"/>
  <c r="Q862" i="1" s="1"/>
  <c r="R862" i="1" s="1"/>
  <c r="P861" i="1"/>
  <c r="P860" i="1"/>
  <c r="Q860" i="1" s="1"/>
  <c r="R860" i="1" s="1"/>
  <c r="P859" i="1"/>
  <c r="Q859" i="1" s="1"/>
  <c r="R859" i="1" s="1"/>
  <c r="P858" i="1"/>
  <c r="Q858" i="1" s="1"/>
  <c r="R858" i="1" s="1"/>
  <c r="P857" i="1"/>
  <c r="Q857" i="1" s="1"/>
  <c r="R857" i="1" s="1"/>
  <c r="P856" i="1"/>
  <c r="Q856" i="1" s="1"/>
  <c r="R856" i="1" s="1"/>
  <c r="P855" i="1"/>
  <c r="Q855" i="1" s="1"/>
  <c r="R855" i="1" s="1"/>
  <c r="P854" i="1"/>
  <c r="Q854" i="1" s="1"/>
  <c r="R854" i="1" s="1"/>
  <c r="P853" i="1"/>
  <c r="Q853" i="1" s="1"/>
  <c r="R853" i="1" s="1"/>
  <c r="P852" i="1"/>
  <c r="Q852" i="1" s="1"/>
  <c r="R852" i="1" s="1"/>
  <c r="P851" i="1"/>
  <c r="Q851" i="1" s="1"/>
  <c r="R851" i="1" s="1"/>
  <c r="P850" i="1"/>
  <c r="Q850" i="1" s="1"/>
  <c r="R850" i="1" s="1"/>
  <c r="P849" i="1"/>
  <c r="Q849" i="1" s="1"/>
  <c r="R849" i="1" s="1"/>
  <c r="P848" i="1"/>
  <c r="Q848" i="1" s="1"/>
  <c r="R848" i="1" s="1"/>
  <c r="P847" i="1"/>
  <c r="Q847" i="1" s="1"/>
  <c r="R847" i="1" s="1"/>
  <c r="P846" i="1"/>
  <c r="P845" i="1"/>
  <c r="P844" i="1"/>
  <c r="Q844" i="1" s="1"/>
  <c r="R844" i="1" s="1"/>
  <c r="P843" i="1"/>
  <c r="Q843" i="1" s="1"/>
  <c r="R843" i="1" s="1"/>
  <c r="P842" i="1"/>
  <c r="Q842" i="1" s="1"/>
  <c r="R842" i="1" s="1"/>
  <c r="P841" i="1"/>
  <c r="Q841" i="1" s="1"/>
  <c r="R841" i="1" s="1"/>
  <c r="P840" i="1"/>
  <c r="P839" i="1"/>
  <c r="Q839" i="1" s="1"/>
  <c r="R839" i="1" s="1"/>
  <c r="P838" i="1"/>
  <c r="Q838" i="1" s="1"/>
  <c r="R838" i="1" s="1"/>
  <c r="P837" i="1"/>
  <c r="Q837" i="1" s="1"/>
  <c r="R837" i="1" s="1"/>
  <c r="P836" i="1"/>
  <c r="Q836" i="1" s="1"/>
  <c r="R836" i="1" s="1"/>
  <c r="P835" i="1"/>
  <c r="Q835" i="1" s="1"/>
  <c r="R835" i="1" s="1"/>
  <c r="P834" i="1"/>
  <c r="Q834" i="1" s="1"/>
  <c r="R834" i="1" s="1"/>
  <c r="P833" i="1"/>
  <c r="Q833" i="1" s="1"/>
  <c r="R833" i="1" s="1"/>
  <c r="P832" i="1"/>
  <c r="Q832" i="1" s="1"/>
  <c r="R832" i="1" s="1"/>
  <c r="P831" i="1"/>
  <c r="Q831" i="1" s="1"/>
  <c r="R831" i="1" s="1"/>
  <c r="P830" i="1"/>
  <c r="Q830" i="1" s="1"/>
  <c r="R830" i="1" s="1"/>
  <c r="P829" i="1"/>
  <c r="Q829" i="1" s="1"/>
  <c r="R829" i="1" s="1"/>
  <c r="P828" i="1"/>
  <c r="Q828" i="1" s="1"/>
  <c r="R828" i="1" s="1"/>
  <c r="P827" i="1"/>
  <c r="Q827" i="1" s="1"/>
  <c r="R827" i="1" s="1"/>
  <c r="P826" i="1"/>
  <c r="Q826" i="1" s="1"/>
  <c r="R826" i="1" s="1"/>
  <c r="P825" i="1"/>
  <c r="Q825" i="1" s="1"/>
  <c r="R825" i="1" s="1"/>
  <c r="P824" i="1"/>
  <c r="P823" i="1"/>
  <c r="P822" i="1"/>
  <c r="Q822" i="1" s="1"/>
  <c r="R822" i="1" s="1"/>
  <c r="P821" i="1"/>
  <c r="Q821" i="1" s="1"/>
  <c r="R821" i="1" s="1"/>
  <c r="P820" i="1"/>
  <c r="Q820" i="1" s="1"/>
  <c r="R820" i="1" s="1"/>
  <c r="P819" i="1"/>
  <c r="Q819" i="1" s="1"/>
  <c r="R819" i="1" s="1"/>
  <c r="P818" i="1"/>
  <c r="Q818" i="1" s="1"/>
  <c r="R818" i="1" s="1"/>
  <c r="P817" i="1"/>
  <c r="P816" i="1"/>
  <c r="Q816" i="1" s="1"/>
  <c r="R816" i="1" s="1"/>
  <c r="P815" i="1"/>
  <c r="Q815" i="1" s="1"/>
  <c r="R815" i="1" s="1"/>
  <c r="P814" i="1"/>
  <c r="Q814" i="1" s="1"/>
  <c r="R814" i="1" s="1"/>
  <c r="P813" i="1"/>
  <c r="Q813" i="1" s="1"/>
  <c r="R813" i="1" s="1"/>
  <c r="P812" i="1"/>
  <c r="Q812" i="1" s="1"/>
  <c r="R812" i="1" s="1"/>
  <c r="P811" i="1"/>
  <c r="Q811" i="1" s="1"/>
  <c r="R811" i="1" s="1"/>
  <c r="P809" i="1"/>
  <c r="Q809" i="1" s="1"/>
  <c r="R809" i="1" s="1"/>
  <c r="P808" i="1"/>
  <c r="Q808" i="1" s="1"/>
  <c r="R808" i="1" s="1"/>
  <c r="P807" i="1"/>
  <c r="Q807" i="1" s="1"/>
  <c r="R807" i="1" s="1"/>
  <c r="P806" i="1"/>
  <c r="Q806" i="1" s="1"/>
  <c r="R806" i="1" s="1"/>
  <c r="P805" i="1"/>
  <c r="Q805" i="1" s="1"/>
  <c r="R805" i="1" s="1"/>
  <c r="P804" i="1"/>
  <c r="Q804" i="1" s="1"/>
  <c r="R804" i="1" s="1"/>
  <c r="P803" i="1"/>
  <c r="Q803" i="1" s="1"/>
  <c r="R803" i="1" s="1"/>
  <c r="P802" i="1"/>
  <c r="Q802" i="1" s="1"/>
  <c r="R802" i="1" s="1"/>
  <c r="P801" i="1"/>
  <c r="Q801" i="1" s="1"/>
  <c r="R801" i="1" s="1"/>
  <c r="P800" i="1"/>
  <c r="Q800" i="1" s="1"/>
  <c r="R800" i="1" s="1"/>
  <c r="P799" i="1"/>
  <c r="Q799" i="1" s="1"/>
  <c r="R799" i="1" s="1"/>
  <c r="P798" i="1"/>
  <c r="Q798" i="1" s="1"/>
  <c r="R798" i="1" s="1"/>
  <c r="P797" i="1"/>
  <c r="Q797" i="1" s="1"/>
  <c r="P796" i="1"/>
  <c r="Q796" i="1" s="1"/>
  <c r="R796" i="1" s="1"/>
  <c r="P795" i="1"/>
  <c r="Q795" i="1" s="1"/>
  <c r="R795" i="1" s="1"/>
  <c r="P794" i="1"/>
  <c r="Q794" i="1" s="1"/>
  <c r="R794" i="1" s="1"/>
  <c r="P793" i="1"/>
  <c r="Q793" i="1" s="1"/>
  <c r="R793" i="1" s="1"/>
  <c r="P792" i="1"/>
  <c r="Q792" i="1" s="1"/>
  <c r="R792" i="1" s="1"/>
  <c r="P791" i="1"/>
  <c r="Q791" i="1" s="1"/>
  <c r="R791" i="1" s="1"/>
  <c r="P790" i="1"/>
  <c r="Q790" i="1" s="1"/>
  <c r="R790" i="1" s="1"/>
  <c r="P789" i="1"/>
  <c r="Q789" i="1" s="1"/>
  <c r="R789" i="1" s="1"/>
  <c r="P788" i="1"/>
  <c r="Q788" i="1" s="1"/>
  <c r="R788" i="1" s="1"/>
  <c r="P787" i="1"/>
  <c r="Q787" i="1" s="1"/>
  <c r="R787" i="1" s="1"/>
  <c r="P786" i="1"/>
  <c r="Q786" i="1" s="1"/>
  <c r="R786" i="1" s="1"/>
  <c r="P785" i="1"/>
  <c r="Q785" i="1" s="1"/>
  <c r="R785" i="1" s="1"/>
  <c r="P784" i="1"/>
  <c r="Q784" i="1" s="1"/>
  <c r="R784" i="1" s="1"/>
  <c r="P783" i="1"/>
  <c r="Q783" i="1" s="1"/>
  <c r="R783" i="1" s="1"/>
  <c r="P782" i="1"/>
  <c r="Q782" i="1" s="1"/>
  <c r="R782" i="1" s="1"/>
  <c r="P781" i="1"/>
  <c r="Q781" i="1" s="1"/>
  <c r="R781" i="1" s="1"/>
  <c r="P780" i="1"/>
  <c r="Q780" i="1" s="1"/>
  <c r="R780" i="1" s="1"/>
  <c r="P779" i="1"/>
  <c r="Q779" i="1" s="1"/>
  <c r="R779" i="1" s="1"/>
  <c r="P778" i="1"/>
  <c r="Q778" i="1" s="1"/>
  <c r="R778" i="1" s="1"/>
  <c r="P777" i="1"/>
  <c r="Q777" i="1" s="1"/>
  <c r="R777" i="1" s="1"/>
  <c r="P776" i="1"/>
  <c r="Q776" i="1" s="1"/>
  <c r="P775" i="1"/>
  <c r="Q775" i="1" s="1"/>
  <c r="R775" i="1" s="1"/>
  <c r="P774" i="1"/>
  <c r="Q774" i="1" s="1"/>
  <c r="R774" i="1" s="1"/>
  <c r="P773" i="1"/>
  <c r="Q773" i="1" s="1"/>
  <c r="R773" i="1" s="1"/>
  <c r="P772" i="1"/>
  <c r="Q772" i="1" s="1"/>
  <c r="R772" i="1" s="1"/>
  <c r="P771" i="1"/>
  <c r="Q771" i="1" s="1"/>
  <c r="R771" i="1" s="1"/>
  <c r="P770" i="1"/>
  <c r="Q770" i="1" s="1"/>
  <c r="R770" i="1" s="1"/>
  <c r="P769" i="1"/>
  <c r="Q769" i="1" s="1"/>
  <c r="R769" i="1" s="1"/>
  <c r="P768" i="1"/>
  <c r="Q768" i="1" s="1"/>
  <c r="R768" i="1" s="1"/>
  <c r="P767" i="1"/>
  <c r="Q767" i="1" s="1"/>
  <c r="R767" i="1" s="1"/>
  <c r="P766" i="1"/>
  <c r="Q766" i="1" s="1"/>
  <c r="R766" i="1" s="1"/>
  <c r="P765" i="1"/>
  <c r="Q765" i="1" s="1"/>
  <c r="R765" i="1" s="1"/>
  <c r="P764" i="1"/>
  <c r="Q764" i="1" s="1"/>
  <c r="R764" i="1" s="1"/>
  <c r="P763" i="1"/>
  <c r="Q763" i="1" s="1"/>
  <c r="R763" i="1" s="1"/>
  <c r="P762" i="1"/>
  <c r="Q762" i="1" s="1"/>
  <c r="R762" i="1" s="1"/>
  <c r="P761" i="1"/>
  <c r="Q761" i="1" s="1"/>
  <c r="R761" i="1" s="1"/>
  <c r="P760" i="1"/>
  <c r="Q760" i="1" s="1"/>
  <c r="R760" i="1" s="1"/>
  <c r="P759" i="1"/>
  <c r="Q759" i="1" s="1"/>
  <c r="R759" i="1" s="1"/>
  <c r="P758" i="1"/>
  <c r="Q758" i="1" s="1"/>
  <c r="P757" i="1"/>
  <c r="Q757" i="1" s="1"/>
  <c r="R757" i="1" s="1"/>
  <c r="P756" i="1"/>
  <c r="Q756" i="1" s="1"/>
  <c r="R756" i="1" s="1"/>
  <c r="P755" i="1"/>
  <c r="Q755" i="1" s="1"/>
  <c r="R755" i="1" s="1"/>
  <c r="P754" i="1"/>
  <c r="Q754" i="1" s="1"/>
  <c r="R754" i="1" s="1"/>
  <c r="P753" i="1"/>
  <c r="Q753" i="1" s="1"/>
  <c r="R753" i="1" s="1"/>
  <c r="P752" i="1"/>
  <c r="Q752" i="1" s="1"/>
  <c r="R752" i="1" s="1"/>
  <c r="P751" i="1"/>
  <c r="Q751" i="1" s="1"/>
  <c r="R751" i="1" s="1"/>
  <c r="P750" i="1"/>
  <c r="Q750" i="1" s="1"/>
  <c r="R750" i="1" s="1"/>
  <c r="P749" i="1"/>
  <c r="Q749" i="1" s="1"/>
  <c r="R749" i="1" s="1"/>
  <c r="P748" i="1"/>
  <c r="Q748" i="1" s="1"/>
  <c r="R748" i="1" s="1"/>
  <c r="P747" i="1"/>
  <c r="Q747" i="1" s="1"/>
  <c r="R747" i="1" s="1"/>
  <c r="P746" i="1"/>
  <c r="Q746" i="1" s="1"/>
  <c r="R746" i="1" s="1"/>
  <c r="P745" i="1"/>
  <c r="Q745" i="1" s="1"/>
  <c r="R745" i="1" s="1"/>
  <c r="P744" i="1"/>
  <c r="Q744" i="1" s="1"/>
  <c r="R744" i="1" s="1"/>
  <c r="P743" i="1"/>
  <c r="Q743" i="1" s="1"/>
  <c r="R743" i="1" s="1"/>
  <c r="P742" i="1"/>
  <c r="Q742" i="1" s="1"/>
  <c r="R742" i="1" s="1"/>
  <c r="P741" i="1"/>
  <c r="Q741" i="1" s="1"/>
  <c r="R741" i="1" s="1"/>
  <c r="P740" i="1"/>
  <c r="Q740" i="1" s="1"/>
  <c r="R740" i="1" s="1"/>
  <c r="P739" i="1"/>
  <c r="Q739" i="1" s="1"/>
  <c r="R739" i="1" s="1"/>
  <c r="P738" i="1"/>
  <c r="Q738" i="1" s="1"/>
  <c r="R738" i="1" s="1"/>
  <c r="P737" i="1"/>
  <c r="Q737" i="1" s="1"/>
  <c r="R737" i="1" s="1"/>
  <c r="P736" i="1"/>
  <c r="Q736" i="1" s="1"/>
  <c r="R736" i="1" s="1"/>
  <c r="P735" i="1"/>
  <c r="Q735" i="1" s="1"/>
  <c r="R735" i="1" s="1"/>
  <c r="P734" i="1"/>
  <c r="Q734" i="1" s="1"/>
  <c r="R734" i="1" s="1"/>
  <c r="P733" i="1"/>
  <c r="Q733" i="1" s="1"/>
  <c r="R733" i="1" s="1"/>
  <c r="P732" i="1"/>
  <c r="Q732" i="1" s="1"/>
  <c r="R732" i="1" s="1"/>
  <c r="P731" i="1"/>
  <c r="Q731" i="1" s="1"/>
  <c r="R731" i="1" s="1"/>
  <c r="P730" i="1"/>
  <c r="Q730" i="1" s="1"/>
  <c r="R730" i="1" s="1"/>
  <c r="P729" i="1"/>
  <c r="Q729" i="1" s="1"/>
  <c r="R729" i="1" s="1"/>
  <c r="P728" i="1"/>
  <c r="Q728" i="1" s="1"/>
  <c r="R728" i="1" s="1"/>
  <c r="P727" i="1"/>
  <c r="Q727" i="1" s="1"/>
  <c r="R727" i="1" s="1"/>
  <c r="P726" i="1"/>
  <c r="Q726" i="1" s="1"/>
  <c r="R726" i="1" s="1"/>
  <c r="P725" i="1"/>
  <c r="Q725" i="1" s="1"/>
  <c r="R725" i="1" s="1"/>
  <c r="P724" i="1"/>
  <c r="Q724" i="1" s="1"/>
  <c r="R724" i="1" s="1"/>
  <c r="P723" i="1"/>
  <c r="Q723" i="1" s="1"/>
  <c r="R723" i="1" s="1"/>
  <c r="P722" i="1"/>
  <c r="Q722" i="1" s="1"/>
  <c r="R722" i="1" s="1"/>
  <c r="P721" i="1"/>
  <c r="Q721" i="1" s="1"/>
  <c r="R721" i="1" s="1"/>
  <c r="P720" i="1"/>
  <c r="Q720" i="1" s="1"/>
  <c r="R720" i="1" s="1"/>
  <c r="P719" i="1"/>
  <c r="Q719" i="1" s="1"/>
  <c r="R719" i="1" s="1"/>
  <c r="P718" i="1"/>
  <c r="Q718" i="1" s="1"/>
  <c r="R718" i="1" s="1"/>
  <c r="P717" i="1"/>
  <c r="Q717" i="1" s="1"/>
  <c r="R717" i="1" s="1"/>
  <c r="P716" i="1"/>
  <c r="Q716" i="1" s="1"/>
  <c r="R716" i="1" s="1"/>
  <c r="P715" i="1"/>
  <c r="Q715" i="1" s="1"/>
  <c r="R715" i="1" s="1"/>
  <c r="P714" i="1"/>
  <c r="Q714" i="1" s="1"/>
  <c r="R714" i="1" s="1"/>
  <c r="P713" i="1"/>
  <c r="Q713" i="1" s="1"/>
  <c r="R713" i="1" s="1"/>
  <c r="P712" i="1"/>
  <c r="Q712" i="1" s="1"/>
  <c r="R712" i="1" s="1"/>
  <c r="P711" i="1"/>
  <c r="Q711" i="1" s="1"/>
  <c r="R711" i="1" s="1"/>
  <c r="P710" i="1"/>
  <c r="Q710" i="1" s="1"/>
  <c r="R710" i="1" s="1"/>
  <c r="P709" i="1"/>
  <c r="Q709" i="1" s="1"/>
  <c r="R709" i="1" s="1"/>
  <c r="P708" i="1"/>
  <c r="Q708" i="1" s="1"/>
  <c r="R708" i="1" s="1"/>
  <c r="P707" i="1"/>
  <c r="Q707" i="1" s="1"/>
  <c r="R707" i="1" s="1"/>
  <c r="P706" i="1"/>
  <c r="Q706" i="1" s="1"/>
  <c r="R706" i="1" s="1"/>
  <c r="P704" i="1"/>
  <c r="Q704" i="1" s="1"/>
  <c r="R704" i="1" s="1"/>
  <c r="P703" i="1"/>
  <c r="Q703" i="1" s="1"/>
  <c r="R703" i="1" s="1"/>
  <c r="P702" i="1"/>
  <c r="Q702" i="1" s="1"/>
  <c r="R702" i="1" s="1"/>
  <c r="P701" i="1"/>
  <c r="Q701" i="1" s="1"/>
  <c r="R701" i="1" s="1"/>
  <c r="P700" i="1"/>
  <c r="Q700" i="1" s="1"/>
  <c r="R700" i="1" s="1"/>
  <c r="P699" i="1"/>
  <c r="Q699" i="1" s="1"/>
  <c r="R699" i="1" s="1"/>
  <c r="P698" i="1"/>
  <c r="Q698" i="1" s="1"/>
  <c r="R698" i="1" s="1"/>
  <c r="P697" i="1"/>
  <c r="Q697" i="1" s="1"/>
  <c r="R697" i="1" s="1"/>
  <c r="P696" i="1"/>
  <c r="Q696" i="1" s="1"/>
  <c r="R696" i="1" s="1"/>
  <c r="P695" i="1"/>
  <c r="Q695" i="1" s="1"/>
  <c r="R695" i="1" s="1"/>
  <c r="P694" i="1"/>
  <c r="Q694" i="1" s="1"/>
  <c r="R694" i="1" s="1"/>
  <c r="P693" i="1"/>
  <c r="Q693" i="1" s="1"/>
  <c r="R693" i="1" s="1"/>
  <c r="P692" i="1"/>
  <c r="Q692" i="1" s="1"/>
  <c r="R692" i="1" s="1"/>
  <c r="P691" i="1"/>
  <c r="Q691" i="1" s="1"/>
  <c r="R691" i="1" s="1"/>
  <c r="P690" i="1"/>
  <c r="Q690" i="1" s="1"/>
  <c r="R690" i="1" s="1"/>
  <c r="P689" i="1"/>
  <c r="Q689" i="1" s="1"/>
  <c r="R689" i="1" s="1"/>
  <c r="P688" i="1"/>
  <c r="Q688" i="1" s="1"/>
  <c r="R688" i="1" s="1"/>
  <c r="P687" i="1"/>
  <c r="Q687" i="1" s="1"/>
  <c r="R687" i="1" s="1"/>
  <c r="P686" i="1"/>
  <c r="Q686" i="1" s="1"/>
  <c r="R686" i="1" s="1"/>
  <c r="P685" i="1"/>
  <c r="Q685" i="1" s="1"/>
  <c r="R685" i="1" s="1"/>
  <c r="P684" i="1"/>
  <c r="Q684" i="1" s="1"/>
  <c r="R684" i="1" s="1"/>
  <c r="P683" i="1"/>
  <c r="Q683" i="1" s="1"/>
  <c r="R683" i="1" s="1"/>
  <c r="P682" i="1"/>
  <c r="Q682" i="1" s="1"/>
  <c r="R682" i="1" s="1"/>
  <c r="P681" i="1"/>
  <c r="Q681" i="1" s="1"/>
  <c r="R681" i="1" s="1"/>
  <c r="P680" i="1"/>
  <c r="Q680" i="1" s="1"/>
  <c r="R680" i="1" s="1"/>
  <c r="P679" i="1"/>
  <c r="Q679" i="1" s="1"/>
  <c r="R679" i="1" s="1"/>
  <c r="P678" i="1"/>
  <c r="Q678" i="1" s="1"/>
  <c r="R678" i="1" s="1"/>
  <c r="P677" i="1"/>
  <c r="Q677" i="1" s="1"/>
  <c r="R677" i="1" s="1"/>
  <c r="P675" i="1"/>
  <c r="Q675" i="1" s="1"/>
  <c r="R675" i="1" s="1"/>
  <c r="P674" i="1"/>
  <c r="Q674" i="1" s="1"/>
  <c r="R674" i="1" s="1"/>
  <c r="P673" i="1"/>
  <c r="Q673" i="1" s="1"/>
  <c r="R673" i="1" s="1"/>
  <c r="P672" i="1"/>
  <c r="Q672" i="1" s="1"/>
  <c r="R672" i="1" s="1"/>
  <c r="P671" i="1"/>
  <c r="Q671" i="1" s="1"/>
  <c r="R671" i="1" s="1"/>
  <c r="P670" i="1"/>
  <c r="Q670" i="1" s="1"/>
  <c r="R670" i="1" s="1"/>
  <c r="P669" i="1"/>
  <c r="Q669" i="1" s="1"/>
  <c r="R669" i="1" s="1"/>
  <c r="P667" i="1"/>
  <c r="Q667" i="1" s="1"/>
  <c r="R667" i="1" s="1"/>
  <c r="P666" i="1"/>
  <c r="Q666" i="1" s="1"/>
  <c r="R666" i="1" s="1"/>
  <c r="P665" i="1"/>
  <c r="Q665" i="1" s="1"/>
  <c r="R665" i="1" s="1"/>
  <c r="P664" i="1"/>
  <c r="Q664" i="1" s="1"/>
  <c r="R664" i="1" s="1"/>
  <c r="P663" i="1"/>
  <c r="Q663" i="1" s="1"/>
  <c r="R663" i="1" s="1"/>
  <c r="P662" i="1"/>
  <c r="Q662" i="1" s="1"/>
  <c r="R662" i="1" s="1"/>
  <c r="P661" i="1"/>
  <c r="Q661" i="1" s="1"/>
  <c r="R661" i="1" s="1"/>
  <c r="P660" i="1"/>
  <c r="Q660" i="1" s="1"/>
  <c r="R660" i="1" s="1"/>
  <c r="P659" i="1"/>
  <c r="Q659" i="1" s="1"/>
  <c r="R659" i="1" s="1"/>
  <c r="P658" i="1"/>
  <c r="Q658" i="1" s="1"/>
  <c r="R658" i="1" s="1"/>
  <c r="P657" i="1"/>
  <c r="Q657" i="1" s="1"/>
  <c r="R657" i="1" s="1"/>
  <c r="P656" i="1"/>
  <c r="Q656" i="1" s="1"/>
  <c r="R656" i="1" s="1"/>
  <c r="P655" i="1"/>
  <c r="Q655" i="1" s="1"/>
  <c r="R655" i="1" s="1"/>
  <c r="P654" i="1"/>
  <c r="Q654" i="1" s="1"/>
  <c r="R654" i="1" s="1"/>
  <c r="P653" i="1"/>
  <c r="Q653" i="1" s="1"/>
  <c r="R653" i="1" s="1"/>
  <c r="P652" i="1"/>
  <c r="Q652" i="1" s="1"/>
  <c r="R652" i="1" s="1"/>
  <c r="P651" i="1"/>
  <c r="Q651" i="1" s="1"/>
  <c r="R651" i="1" s="1"/>
  <c r="P650" i="1"/>
  <c r="Q650" i="1" s="1"/>
  <c r="R650" i="1" s="1"/>
  <c r="P649" i="1"/>
  <c r="Q649" i="1" s="1"/>
  <c r="R649" i="1" s="1"/>
  <c r="P648" i="1"/>
  <c r="Q648" i="1" s="1"/>
  <c r="R648" i="1" s="1"/>
  <c r="P647" i="1"/>
  <c r="Q647" i="1" s="1"/>
  <c r="R647" i="1" s="1"/>
  <c r="P646" i="1"/>
  <c r="Q646" i="1" s="1"/>
  <c r="R646" i="1" s="1"/>
  <c r="P645" i="1"/>
  <c r="Q645" i="1" s="1"/>
  <c r="R645" i="1" s="1"/>
  <c r="P644" i="1"/>
  <c r="Q644" i="1" s="1"/>
  <c r="R644" i="1" s="1"/>
  <c r="P643" i="1"/>
  <c r="Q643" i="1" s="1"/>
  <c r="R643" i="1" s="1"/>
  <c r="P642" i="1"/>
  <c r="Q642" i="1" s="1"/>
  <c r="R642" i="1" s="1"/>
  <c r="P641" i="1"/>
  <c r="Q641" i="1" s="1"/>
  <c r="R641" i="1" s="1"/>
  <c r="P640" i="1"/>
  <c r="Q640" i="1" s="1"/>
  <c r="R640" i="1" s="1"/>
  <c r="P639" i="1"/>
  <c r="Q639" i="1" s="1"/>
  <c r="R639" i="1" s="1"/>
  <c r="P638" i="1"/>
  <c r="Q638" i="1" s="1"/>
  <c r="R638" i="1" s="1"/>
  <c r="P637" i="1"/>
  <c r="Q637" i="1" s="1"/>
  <c r="R637" i="1" s="1"/>
  <c r="P636" i="1"/>
  <c r="Q636" i="1" s="1"/>
  <c r="R636" i="1" s="1"/>
  <c r="P635" i="1"/>
  <c r="Q635" i="1" s="1"/>
  <c r="R635" i="1" s="1"/>
  <c r="P634" i="1"/>
  <c r="Q634" i="1" s="1"/>
  <c r="R634" i="1" s="1"/>
  <c r="P633" i="1"/>
  <c r="Q633" i="1" s="1"/>
  <c r="R633" i="1" s="1"/>
  <c r="P632" i="1"/>
  <c r="Q632" i="1" s="1"/>
  <c r="R632" i="1" s="1"/>
  <c r="P631" i="1"/>
  <c r="Q631" i="1" s="1"/>
  <c r="R631" i="1" s="1"/>
  <c r="P630" i="1"/>
  <c r="Q630" i="1" s="1"/>
  <c r="R630" i="1" s="1"/>
  <c r="P629" i="1"/>
  <c r="Q629" i="1" s="1"/>
  <c r="R629" i="1" s="1"/>
  <c r="P628" i="1"/>
  <c r="Q628" i="1" s="1"/>
  <c r="R628" i="1" s="1"/>
  <c r="P627" i="1"/>
  <c r="Q627" i="1" s="1"/>
  <c r="R627" i="1" s="1"/>
  <c r="P626" i="1"/>
  <c r="Q626" i="1" s="1"/>
  <c r="R626" i="1" s="1"/>
  <c r="P625" i="1"/>
  <c r="Q625" i="1" s="1"/>
  <c r="R625" i="1" s="1"/>
  <c r="P623" i="1"/>
  <c r="P622" i="1"/>
  <c r="P621" i="1"/>
  <c r="P620" i="1"/>
  <c r="Q620" i="1" s="1"/>
  <c r="R620" i="1" s="1"/>
  <c r="P619" i="1"/>
  <c r="Q619" i="1" s="1"/>
  <c r="R619" i="1" s="1"/>
  <c r="P618" i="1"/>
  <c r="Q618" i="1" s="1"/>
  <c r="R618" i="1" s="1"/>
  <c r="P617" i="1"/>
  <c r="Q617" i="1" s="1"/>
  <c r="R617" i="1" s="1"/>
  <c r="P616" i="1"/>
  <c r="Q616" i="1" s="1"/>
  <c r="R616" i="1" s="1"/>
  <c r="P615" i="1"/>
  <c r="Q615" i="1" s="1"/>
  <c r="R615" i="1" s="1"/>
  <c r="P614" i="1"/>
  <c r="Q614" i="1" s="1"/>
  <c r="R614" i="1" s="1"/>
  <c r="P613" i="1"/>
  <c r="Q613" i="1" s="1"/>
  <c r="R613" i="1" s="1"/>
  <c r="P612" i="1"/>
  <c r="Q612" i="1" s="1"/>
  <c r="R612" i="1" s="1"/>
  <c r="P611" i="1"/>
  <c r="Q611" i="1" s="1"/>
  <c r="R611" i="1" s="1"/>
  <c r="P610" i="1"/>
  <c r="Q610" i="1" s="1"/>
  <c r="R610" i="1" s="1"/>
  <c r="P609" i="1"/>
  <c r="Q609" i="1" s="1"/>
  <c r="R609" i="1" s="1"/>
  <c r="P608" i="1"/>
  <c r="Q608" i="1" s="1"/>
  <c r="R608" i="1" s="1"/>
  <c r="P607" i="1"/>
  <c r="Q607" i="1" s="1"/>
  <c r="R607" i="1" s="1"/>
  <c r="P606" i="1"/>
  <c r="Q606" i="1" s="1"/>
  <c r="R606" i="1" s="1"/>
  <c r="P605" i="1"/>
  <c r="Q605" i="1" s="1"/>
  <c r="R605" i="1" s="1"/>
  <c r="P604" i="1"/>
  <c r="P603" i="1"/>
  <c r="P602" i="1"/>
  <c r="Q602" i="1" s="1"/>
  <c r="R602" i="1" s="1"/>
  <c r="P601" i="1"/>
  <c r="P600" i="1"/>
  <c r="P599" i="1"/>
  <c r="Q599" i="1" s="1"/>
  <c r="R599" i="1" s="1"/>
  <c r="P598" i="1"/>
  <c r="P597" i="1"/>
  <c r="P595" i="1"/>
  <c r="Q595" i="1" s="1"/>
  <c r="R595" i="1" s="1"/>
  <c r="P594" i="1"/>
  <c r="Q594" i="1" s="1"/>
  <c r="R594" i="1" s="1"/>
  <c r="P593" i="1"/>
  <c r="Q593" i="1" s="1"/>
  <c r="R593" i="1" s="1"/>
  <c r="P592" i="1"/>
  <c r="Q592" i="1" s="1"/>
  <c r="R592" i="1" s="1"/>
  <c r="P591" i="1"/>
  <c r="Q591" i="1" s="1"/>
  <c r="R591" i="1" s="1"/>
  <c r="P590" i="1"/>
  <c r="Q590" i="1" s="1"/>
  <c r="R590" i="1" s="1"/>
  <c r="P589" i="1"/>
  <c r="Q589" i="1" s="1"/>
  <c r="R589" i="1" s="1"/>
  <c r="P588" i="1"/>
  <c r="Q588" i="1" s="1"/>
  <c r="R588" i="1" s="1"/>
  <c r="P587" i="1"/>
  <c r="Q587" i="1" s="1"/>
  <c r="R587" i="1" s="1"/>
  <c r="P586" i="1"/>
  <c r="Q586" i="1" s="1"/>
  <c r="R586" i="1" s="1"/>
  <c r="P585" i="1"/>
  <c r="Q585" i="1" s="1"/>
  <c r="R585" i="1" s="1"/>
  <c r="P584" i="1"/>
  <c r="Q584" i="1" s="1"/>
  <c r="R584" i="1" s="1"/>
  <c r="P583" i="1"/>
  <c r="Q583" i="1" s="1"/>
  <c r="R583" i="1" s="1"/>
  <c r="P582" i="1"/>
  <c r="Q582" i="1" s="1"/>
  <c r="R582" i="1" s="1"/>
  <c r="P581" i="1"/>
  <c r="Q581" i="1" s="1"/>
  <c r="R581" i="1" s="1"/>
  <c r="P580" i="1"/>
  <c r="Q580" i="1" s="1"/>
  <c r="R580" i="1" s="1"/>
  <c r="P579" i="1"/>
  <c r="Q579" i="1" s="1"/>
  <c r="R579" i="1" s="1"/>
  <c r="P578" i="1"/>
  <c r="Q578" i="1" s="1"/>
  <c r="R578" i="1" s="1"/>
  <c r="P577" i="1"/>
  <c r="Q577" i="1" s="1"/>
  <c r="R577" i="1" s="1"/>
  <c r="P576" i="1"/>
  <c r="Q576" i="1" s="1"/>
  <c r="R576" i="1" s="1"/>
  <c r="P575" i="1"/>
  <c r="Q575" i="1" s="1"/>
  <c r="R575" i="1" s="1"/>
  <c r="P574" i="1"/>
  <c r="Q574" i="1" s="1"/>
  <c r="R574" i="1" s="1"/>
  <c r="P573" i="1"/>
  <c r="Q573" i="1" s="1"/>
  <c r="R573" i="1" s="1"/>
  <c r="P572" i="1"/>
  <c r="Q572" i="1" s="1"/>
  <c r="R572" i="1" s="1"/>
  <c r="P571" i="1"/>
  <c r="Q571" i="1" s="1"/>
  <c r="R571" i="1" s="1"/>
  <c r="P570" i="1"/>
  <c r="Q570" i="1" s="1"/>
  <c r="R570" i="1" s="1"/>
  <c r="P569" i="1"/>
  <c r="Q569" i="1" s="1"/>
  <c r="R569" i="1" s="1"/>
  <c r="P568" i="1"/>
  <c r="Q568" i="1" s="1"/>
  <c r="R568" i="1" s="1"/>
  <c r="P567" i="1"/>
  <c r="Q567" i="1" s="1"/>
  <c r="R567" i="1" s="1"/>
  <c r="P566" i="1"/>
  <c r="Q566" i="1" s="1"/>
  <c r="R566" i="1" s="1"/>
  <c r="P565" i="1"/>
  <c r="Q565" i="1" s="1"/>
  <c r="R565" i="1" s="1"/>
  <c r="P564" i="1"/>
  <c r="Q564" i="1" s="1"/>
  <c r="R564" i="1" s="1"/>
  <c r="P563" i="1"/>
  <c r="Q563" i="1" s="1"/>
  <c r="R563" i="1" s="1"/>
  <c r="P562" i="1"/>
  <c r="Q562" i="1" s="1"/>
  <c r="R562" i="1" s="1"/>
  <c r="P561" i="1"/>
  <c r="Q561" i="1" s="1"/>
  <c r="R561" i="1" s="1"/>
  <c r="P560" i="1"/>
  <c r="Q560" i="1" s="1"/>
  <c r="R560" i="1" s="1"/>
  <c r="P559" i="1"/>
  <c r="Q559" i="1" s="1"/>
  <c r="R559" i="1" s="1"/>
  <c r="P558" i="1"/>
  <c r="Q558" i="1" s="1"/>
  <c r="R558" i="1" s="1"/>
  <c r="P557" i="1"/>
  <c r="Q557" i="1" s="1"/>
  <c r="R557" i="1" s="1"/>
  <c r="P556" i="1"/>
  <c r="Q556" i="1" s="1"/>
  <c r="R556" i="1" s="1"/>
  <c r="P555" i="1"/>
  <c r="Q555" i="1" s="1"/>
  <c r="R555" i="1" s="1"/>
  <c r="P554" i="1"/>
  <c r="Q554" i="1" s="1"/>
  <c r="R554" i="1" s="1"/>
  <c r="P553" i="1"/>
  <c r="Q553" i="1" s="1"/>
  <c r="R553" i="1" s="1"/>
  <c r="P552" i="1"/>
  <c r="Q552" i="1" s="1"/>
  <c r="R552" i="1" s="1"/>
  <c r="P551" i="1"/>
  <c r="Q551" i="1" s="1"/>
  <c r="R551" i="1" s="1"/>
  <c r="P550" i="1"/>
  <c r="Q550" i="1" s="1"/>
  <c r="R550" i="1" s="1"/>
  <c r="P549" i="1"/>
  <c r="Q549" i="1" s="1"/>
  <c r="R549" i="1" s="1"/>
  <c r="P548" i="1"/>
  <c r="Q548" i="1" s="1"/>
  <c r="R548" i="1" s="1"/>
  <c r="P547" i="1"/>
  <c r="Q547" i="1" s="1"/>
  <c r="R547" i="1" s="1"/>
  <c r="P546" i="1"/>
  <c r="Q546" i="1" s="1"/>
  <c r="R546" i="1" s="1"/>
  <c r="P545" i="1"/>
  <c r="Q545" i="1" s="1"/>
  <c r="R545" i="1" s="1"/>
  <c r="P544" i="1"/>
  <c r="Q544" i="1" s="1"/>
  <c r="R544" i="1" s="1"/>
  <c r="P543" i="1"/>
  <c r="Q543" i="1" s="1"/>
  <c r="R543" i="1" s="1"/>
  <c r="P542" i="1"/>
  <c r="Q542" i="1" s="1"/>
  <c r="R542" i="1" s="1"/>
  <c r="P541" i="1"/>
  <c r="Q541" i="1" s="1"/>
  <c r="R541" i="1" s="1"/>
  <c r="P540" i="1"/>
  <c r="Q540" i="1" s="1"/>
  <c r="R540" i="1" s="1"/>
  <c r="P539" i="1"/>
  <c r="Q539" i="1" s="1"/>
  <c r="R539" i="1" s="1"/>
  <c r="P538" i="1"/>
  <c r="Q538" i="1" s="1"/>
  <c r="R538" i="1" s="1"/>
  <c r="P537" i="1"/>
  <c r="Q537" i="1" s="1"/>
  <c r="R537" i="1" s="1"/>
  <c r="P536" i="1"/>
  <c r="Q536" i="1" s="1"/>
  <c r="R536" i="1" s="1"/>
  <c r="P535" i="1"/>
  <c r="Q535" i="1" s="1"/>
  <c r="R535" i="1" s="1"/>
  <c r="P534" i="1"/>
  <c r="Q534" i="1" s="1"/>
  <c r="R534" i="1" s="1"/>
  <c r="P533" i="1"/>
  <c r="Q533" i="1" s="1"/>
  <c r="R533" i="1" s="1"/>
  <c r="P532" i="1"/>
  <c r="Q532" i="1" s="1"/>
  <c r="R532" i="1" s="1"/>
  <c r="P531" i="1"/>
  <c r="Q531" i="1" s="1"/>
  <c r="R531" i="1" s="1"/>
  <c r="P530" i="1"/>
  <c r="Q530" i="1" s="1"/>
  <c r="R530" i="1" s="1"/>
  <c r="P529" i="1"/>
  <c r="Q529" i="1" s="1"/>
  <c r="R529" i="1" s="1"/>
  <c r="P528" i="1"/>
  <c r="Q528" i="1" s="1"/>
  <c r="R528" i="1" s="1"/>
  <c r="P527" i="1"/>
  <c r="Q527" i="1" s="1"/>
  <c r="R527" i="1" s="1"/>
  <c r="P526" i="1"/>
  <c r="Q526" i="1" s="1"/>
  <c r="R526" i="1" s="1"/>
  <c r="P525" i="1"/>
  <c r="Q525" i="1" s="1"/>
  <c r="R525" i="1" s="1"/>
  <c r="P524" i="1"/>
  <c r="Q524" i="1" s="1"/>
  <c r="R524" i="1" s="1"/>
  <c r="P523" i="1"/>
  <c r="Q523" i="1" s="1"/>
  <c r="R523" i="1" s="1"/>
  <c r="P522" i="1"/>
  <c r="Q522" i="1" s="1"/>
  <c r="R522" i="1" s="1"/>
  <c r="P521" i="1"/>
  <c r="Q521" i="1" s="1"/>
  <c r="R521" i="1" s="1"/>
  <c r="P520" i="1"/>
  <c r="Q520" i="1" s="1"/>
  <c r="R520" i="1" s="1"/>
  <c r="P519" i="1"/>
  <c r="Q519" i="1" s="1"/>
  <c r="R519" i="1" s="1"/>
  <c r="P518" i="1"/>
  <c r="Q518" i="1" s="1"/>
  <c r="R518" i="1" s="1"/>
  <c r="P517" i="1"/>
  <c r="Q517" i="1" s="1"/>
  <c r="R517" i="1" s="1"/>
  <c r="P516" i="1"/>
  <c r="Q516" i="1" s="1"/>
  <c r="R516" i="1" s="1"/>
  <c r="P515" i="1"/>
  <c r="Q515" i="1" s="1"/>
  <c r="R515" i="1" s="1"/>
  <c r="P514" i="1"/>
  <c r="Q514" i="1" s="1"/>
  <c r="R514" i="1" s="1"/>
  <c r="P513" i="1"/>
  <c r="Q513" i="1" s="1"/>
  <c r="R513" i="1" s="1"/>
  <c r="P512" i="1"/>
  <c r="Q512" i="1" s="1"/>
  <c r="R512" i="1" s="1"/>
  <c r="P511" i="1"/>
  <c r="Q511" i="1" s="1"/>
  <c r="R511" i="1" s="1"/>
  <c r="P510" i="1"/>
  <c r="Q510" i="1" s="1"/>
  <c r="R510" i="1" s="1"/>
  <c r="P509" i="1"/>
  <c r="Q509" i="1" s="1"/>
  <c r="R509" i="1" s="1"/>
  <c r="P508" i="1"/>
  <c r="Q508" i="1" s="1"/>
  <c r="R508" i="1" s="1"/>
  <c r="P507" i="1"/>
  <c r="Q507" i="1" s="1"/>
  <c r="R507" i="1" s="1"/>
  <c r="P506" i="1"/>
  <c r="Q506" i="1" s="1"/>
  <c r="R506" i="1" s="1"/>
  <c r="P505" i="1"/>
  <c r="Q505" i="1" s="1"/>
  <c r="R505" i="1" s="1"/>
  <c r="P504" i="1"/>
  <c r="Q504" i="1" s="1"/>
  <c r="R504" i="1" s="1"/>
  <c r="P503" i="1"/>
  <c r="Q503" i="1" s="1"/>
  <c r="R503" i="1" s="1"/>
  <c r="P502" i="1"/>
  <c r="Q502" i="1" s="1"/>
  <c r="R502" i="1" s="1"/>
  <c r="P501" i="1"/>
  <c r="Q501" i="1" s="1"/>
  <c r="R501" i="1" s="1"/>
  <c r="P500" i="1"/>
  <c r="Q500" i="1" s="1"/>
  <c r="R500" i="1" s="1"/>
  <c r="P499" i="1"/>
  <c r="Q499" i="1" s="1"/>
  <c r="R499" i="1" s="1"/>
  <c r="P498" i="1"/>
  <c r="Q498" i="1" s="1"/>
  <c r="R498" i="1" s="1"/>
  <c r="P497" i="1"/>
  <c r="Q497" i="1" s="1"/>
  <c r="R497" i="1" s="1"/>
  <c r="P496" i="1"/>
  <c r="Q496" i="1" s="1"/>
  <c r="R496" i="1" s="1"/>
  <c r="P495" i="1"/>
  <c r="Q495" i="1" s="1"/>
  <c r="R495" i="1" s="1"/>
  <c r="P494" i="1"/>
  <c r="Q494" i="1" s="1"/>
  <c r="R494" i="1" s="1"/>
  <c r="P493" i="1"/>
  <c r="Q493" i="1" s="1"/>
  <c r="R493" i="1" s="1"/>
  <c r="P492" i="1"/>
  <c r="Q492" i="1" s="1"/>
  <c r="R492" i="1" s="1"/>
  <c r="P491" i="1"/>
  <c r="Q491" i="1" s="1"/>
  <c r="R491" i="1" s="1"/>
  <c r="P490" i="1"/>
  <c r="Q490" i="1" s="1"/>
  <c r="R490" i="1" s="1"/>
  <c r="P489" i="1"/>
  <c r="Q489" i="1" s="1"/>
  <c r="R489" i="1" s="1"/>
  <c r="P488" i="1"/>
  <c r="Q488" i="1" s="1"/>
  <c r="R488" i="1" s="1"/>
  <c r="P485" i="1"/>
  <c r="Q485" i="1" s="1"/>
  <c r="R485" i="1" s="1"/>
  <c r="P484" i="1"/>
  <c r="Q484" i="1" s="1"/>
  <c r="R484" i="1" s="1"/>
  <c r="P483" i="1"/>
  <c r="Q483" i="1" s="1"/>
  <c r="R483" i="1" s="1"/>
  <c r="P482" i="1"/>
  <c r="Q482" i="1" s="1"/>
  <c r="R482" i="1" s="1"/>
  <c r="P481" i="1"/>
  <c r="Q481" i="1" s="1"/>
  <c r="R481" i="1" s="1"/>
  <c r="P480" i="1"/>
  <c r="Q480" i="1" s="1"/>
  <c r="R480" i="1" s="1"/>
  <c r="P479" i="1"/>
  <c r="Q479" i="1" s="1"/>
  <c r="R479" i="1" s="1"/>
  <c r="P478" i="1"/>
  <c r="P477" i="1"/>
  <c r="Q477" i="1" s="1"/>
  <c r="R477" i="1" s="1"/>
  <c r="P476" i="1"/>
  <c r="Q476" i="1" s="1"/>
  <c r="R476" i="1" s="1"/>
  <c r="P475" i="1"/>
  <c r="Q475" i="1" s="1"/>
  <c r="R475" i="1" s="1"/>
  <c r="P474" i="1"/>
  <c r="Q474" i="1" s="1"/>
  <c r="R474" i="1" s="1"/>
  <c r="P473" i="1"/>
  <c r="Q473" i="1" s="1"/>
  <c r="R473" i="1" s="1"/>
  <c r="P472" i="1"/>
  <c r="Q472" i="1" s="1"/>
  <c r="R472" i="1" s="1"/>
  <c r="P471" i="1"/>
  <c r="Q471" i="1" s="1"/>
  <c r="R471" i="1" s="1"/>
  <c r="P470" i="1"/>
  <c r="Q470" i="1" s="1"/>
  <c r="R470" i="1" s="1"/>
  <c r="P469" i="1"/>
  <c r="P468" i="1"/>
  <c r="Q468" i="1" s="1"/>
  <c r="R468" i="1" s="1"/>
  <c r="P467" i="1"/>
  <c r="Q467" i="1" s="1"/>
  <c r="R467" i="1" s="1"/>
  <c r="P466" i="1"/>
  <c r="P465" i="1"/>
  <c r="P464" i="1"/>
  <c r="Q464" i="1" s="1"/>
  <c r="R464" i="1" s="1"/>
  <c r="P463" i="1"/>
  <c r="Q463" i="1" s="1"/>
  <c r="R463" i="1" s="1"/>
  <c r="P462" i="1"/>
  <c r="Q462" i="1" s="1"/>
  <c r="R462" i="1" s="1"/>
  <c r="P461" i="1"/>
  <c r="Q461" i="1" s="1"/>
  <c r="R461" i="1" s="1"/>
  <c r="P460" i="1"/>
  <c r="Q460" i="1" s="1"/>
  <c r="R460" i="1" s="1"/>
  <c r="P459" i="1"/>
  <c r="Q459" i="1" s="1"/>
  <c r="S459" i="1" s="1"/>
  <c r="P458" i="1"/>
  <c r="Q458" i="1" s="1"/>
  <c r="R458" i="1" s="1"/>
  <c r="P457" i="1"/>
  <c r="Q457" i="1" s="1"/>
  <c r="R457" i="1" s="1"/>
  <c r="P456" i="1"/>
  <c r="P455" i="1"/>
  <c r="Q455" i="1" s="1"/>
  <c r="R455" i="1" s="1"/>
  <c r="P454" i="1"/>
  <c r="Q454" i="1" s="1"/>
  <c r="R454" i="1" s="1"/>
  <c r="P453" i="1"/>
  <c r="Q453" i="1" s="1"/>
  <c r="R453" i="1" s="1"/>
  <c r="P452" i="1"/>
  <c r="Q452" i="1" s="1"/>
  <c r="R452" i="1" s="1"/>
  <c r="P451" i="1"/>
  <c r="Q451" i="1" s="1"/>
  <c r="R451" i="1" s="1"/>
  <c r="P450" i="1"/>
  <c r="Q450" i="1" s="1"/>
  <c r="R450" i="1" s="1"/>
  <c r="P449" i="1"/>
  <c r="Q449" i="1" s="1"/>
  <c r="R449" i="1" s="1"/>
  <c r="P448" i="1"/>
  <c r="Q448" i="1" s="1"/>
  <c r="R448" i="1" s="1"/>
  <c r="P447" i="1"/>
  <c r="P446" i="1"/>
  <c r="P445" i="1"/>
  <c r="Q445" i="1" s="1"/>
  <c r="R445" i="1" s="1"/>
  <c r="P444" i="1"/>
  <c r="P443" i="1"/>
  <c r="P442" i="1"/>
  <c r="Q442" i="1" s="1"/>
  <c r="R442" i="1" s="1"/>
  <c r="P441" i="1"/>
  <c r="Q441" i="1" s="1"/>
  <c r="R441" i="1" s="1"/>
  <c r="P440" i="1"/>
  <c r="Q440" i="1" s="1"/>
  <c r="R440" i="1" s="1"/>
  <c r="P439" i="1"/>
  <c r="Q439" i="1" s="1"/>
  <c r="R439" i="1" s="1"/>
  <c r="P438" i="1"/>
  <c r="Q438" i="1" s="1"/>
  <c r="R438" i="1" s="1"/>
  <c r="P437" i="1"/>
  <c r="Q437" i="1" s="1"/>
  <c r="R437" i="1" s="1"/>
  <c r="P436" i="1"/>
  <c r="Q436" i="1" s="1"/>
  <c r="R436" i="1" s="1"/>
  <c r="P435" i="1"/>
  <c r="Q435" i="1" s="1"/>
  <c r="R435" i="1" s="1"/>
  <c r="P434" i="1"/>
  <c r="P433" i="1"/>
  <c r="Q433" i="1" s="1"/>
  <c r="R433" i="1" s="1"/>
  <c r="P432" i="1"/>
  <c r="Q432" i="1" s="1"/>
  <c r="R432" i="1" s="1"/>
  <c r="P431" i="1"/>
  <c r="Q431" i="1" s="1"/>
  <c r="R431" i="1" s="1"/>
  <c r="P430" i="1"/>
  <c r="Q430" i="1" s="1"/>
  <c r="R430" i="1" s="1"/>
  <c r="P429" i="1"/>
  <c r="Q429" i="1" s="1"/>
  <c r="R429" i="1" s="1"/>
  <c r="P428" i="1"/>
  <c r="Q428" i="1" s="1"/>
  <c r="R428" i="1" s="1"/>
  <c r="P427" i="1"/>
  <c r="Q427" i="1" s="1"/>
  <c r="R427" i="1" s="1"/>
  <c r="P426" i="1"/>
  <c r="Q426" i="1" s="1"/>
  <c r="R426" i="1" s="1"/>
  <c r="P425" i="1"/>
  <c r="P424" i="1"/>
  <c r="P423" i="1"/>
  <c r="P422" i="1"/>
  <c r="P421" i="1"/>
  <c r="P420" i="1"/>
  <c r="Q420" i="1" s="1"/>
  <c r="R420" i="1" s="1"/>
  <c r="P419" i="1"/>
  <c r="Q419" i="1" s="1"/>
  <c r="R419" i="1" s="1"/>
  <c r="P417" i="1"/>
  <c r="Q417" i="1" s="1"/>
  <c r="R417" i="1" s="1"/>
  <c r="P416" i="1"/>
  <c r="Q416" i="1" s="1"/>
  <c r="R416" i="1" s="1"/>
  <c r="P415" i="1"/>
  <c r="Q415" i="1" s="1"/>
  <c r="R415" i="1" s="1"/>
  <c r="P414" i="1"/>
  <c r="Q414" i="1" s="1"/>
  <c r="R414" i="1" s="1"/>
  <c r="P413" i="1"/>
  <c r="Q413" i="1" s="1"/>
  <c r="R413" i="1" s="1"/>
  <c r="P412" i="1"/>
  <c r="Q412" i="1" s="1"/>
  <c r="R412" i="1" s="1"/>
  <c r="P411" i="1"/>
  <c r="P410" i="1"/>
  <c r="Q410" i="1" s="1"/>
  <c r="R410" i="1" s="1"/>
  <c r="P409" i="1"/>
  <c r="Q409" i="1" s="1"/>
  <c r="R409" i="1" s="1"/>
  <c r="P408" i="1"/>
  <c r="Q408" i="1" s="1"/>
  <c r="R408" i="1" s="1"/>
  <c r="P407" i="1"/>
  <c r="Q407" i="1" s="1"/>
  <c r="R407" i="1" s="1"/>
  <c r="P406" i="1"/>
  <c r="Q406" i="1" s="1"/>
  <c r="R406" i="1" s="1"/>
  <c r="P405" i="1"/>
  <c r="Q405" i="1" s="1"/>
  <c r="R405" i="1" s="1"/>
  <c r="P404" i="1"/>
  <c r="Q404" i="1" s="1"/>
  <c r="R404" i="1" s="1"/>
  <c r="P403" i="1"/>
  <c r="P402" i="1"/>
  <c r="Q402" i="1" s="1"/>
  <c r="R402" i="1" s="1"/>
  <c r="P401" i="1"/>
  <c r="Q401" i="1" s="1"/>
  <c r="R401" i="1" s="1"/>
  <c r="P399" i="1"/>
  <c r="P398" i="1"/>
  <c r="Q398" i="1" s="1"/>
  <c r="R398" i="1" s="1"/>
  <c r="P397" i="1"/>
  <c r="Q397" i="1" s="1"/>
  <c r="R397" i="1" s="1"/>
  <c r="P396" i="1"/>
  <c r="Q396" i="1" s="1"/>
  <c r="R396" i="1" s="1"/>
  <c r="P395" i="1"/>
  <c r="Q395" i="1" s="1"/>
  <c r="R395" i="1" s="1"/>
  <c r="P394" i="1"/>
  <c r="Q394" i="1" s="1"/>
  <c r="R394" i="1" s="1"/>
  <c r="P393" i="1"/>
  <c r="Q393" i="1" s="1"/>
  <c r="R393" i="1" s="1"/>
  <c r="P392" i="1"/>
  <c r="Q392" i="1" s="1"/>
  <c r="R392" i="1" s="1"/>
  <c r="P391" i="1"/>
  <c r="Q391" i="1" s="1"/>
  <c r="R391" i="1" s="1"/>
  <c r="P390" i="1"/>
  <c r="Q390" i="1" s="1"/>
  <c r="R390" i="1" s="1"/>
  <c r="P389" i="1"/>
  <c r="P388" i="1"/>
  <c r="P387" i="1"/>
  <c r="Q387" i="1" s="1"/>
  <c r="R387" i="1" s="1"/>
  <c r="P386" i="1"/>
  <c r="Q386" i="1" s="1"/>
  <c r="R386" i="1" s="1"/>
  <c r="P385" i="1"/>
  <c r="Q385" i="1" s="1"/>
  <c r="R385" i="1" s="1"/>
  <c r="P384" i="1"/>
  <c r="Q384" i="1" s="1"/>
  <c r="R384" i="1" s="1"/>
  <c r="P383" i="1"/>
  <c r="Q383" i="1" s="1"/>
  <c r="R383" i="1" s="1"/>
  <c r="P382" i="1"/>
  <c r="Q382" i="1" s="1"/>
  <c r="R382" i="1" s="1"/>
  <c r="P381" i="1"/>
  <c r="Q381" i="1" s="1"/>
  <c r="R381" i="1" s="1"/>
  <c r="P380" i="1"/>
  <c r="Q380" i="1" s="1"/>
  <c r="R380" i="1" s="1"/>
  <c r="P379" i="1"/>
  <c r="Q379" i="1" s="1"/>
  <c r="R379" i="1" s="1"/>
  <c r="P378" i="1"/>
  <c r="P377" i="1"/>
  <c r="P376" i="1"/>
  <c r="Q376" i="1" s="1"/>
  <c r="R376" i="1" s="1"/>
  <c r="P375" i="1"/>
  <c r="Q375" i="1" s="1"/>
  <c r="R375" i="1" s="1"/>
  <c r="P374" i="1"/>
  <c r="Q374" i="1" s="1"/>
  <c r="R374" i="1" s="1"/>
  <c r="P373" i="1"/>
  <c r="Q373" i="1" s="1"/>
  <c r="R373" i="1" s="1"/>
  <c r="P372" i="1"/>
  <c r="Q372" i="1" s="1"/>
  <c r="R372" i="1" s="1"/>
  <c r="P371" i="1"/>
  <c r="Q371" i="1" s="1"/>
  <c r="R371" i="1" s="1"/>
  <c r="P370" i="1"/>
  <c r="Q370" i="1" s="1"/>
  <c r="R370" i="1" s="1"/>
  <c r="P369" i="1"/>
  <c r="Q369" i="1" s="1"/>
  <c r="R369" i="1" s="1"/>
  <c r="P368" i="1"/>
  <c r="Q368" i="1" s="1"/>
  <c r="R368" i="1" s="1"/>
  <c r="P367" i="1"/>
  <c r="Q367" i="1" s="1"/>
  <c r="R367" i="1" s="1"/>
  <c r="P366" i="1"/>
  <c r="Q366" i="1" s="1"/>
  <c r="R366" i="1" s="1"/>
  <c r="P365" i="1"/>
  <c r="Q365" i="1" s="1"/>
  <c r="R365" i="1" s="1"/>
  <c r="P364" i="1"/>
  <c r="Q364" i="1" s="1"/>
  <c r="R364" i="1" s="1"/>
  <c r="P363" i="1"/>
  <c r="Q363" i="1" s="1"/>
  <c r="R363" i="1" s="1"/>
  <c r="P361" i="1"/>
  <c r="Q361" i="1" s="1"/>
  <c r="R361" i="1" s="1"/>
  <c r="P360" i="1"/>
  <c r="Q360" i="1" s="1"/>
  <c r="R360" i="1" s="1"/>
  <c r="P359" i="1"/>
  <c r="P358" i="1"/>
  <c r="P357" i="1"/>
  <c r="P356" i="1"/>
  <c r="P355" i="1"/>
  <c r="P354" i="1"/>
  <c r="Q354" i="1" s="1"/>
  <c r="R354" i="1" s="1"/>
  <c r="P353" i="1"/>
  <c r="Q353" i="1" s="1"/>
  <c r="R353" i="1" s="1"/>
  <c r="P352" i="1"/>
  <c r="Q352" i="1" s="1"/>
  <c r="R352" i="1" s="1"/>
  <c r="P351" i="1"/>
  <c r="Q351" i="1" s="1"/>
  <c r="R351" i="1" s="1"/>
  <c r="P350" i="1"/>
  <c r="Q350" i="1" s="1"/>
  <c r="R350" i="1" s="1"/>
  <c r="P349" i="1"/>
  <c r="Q349" i="1" s="1"/>
  <c r="R349" i="1" s="1"/>
  <c r="P348" i="1"/>
  <c r="Q348" i="1" s="1"/>
  <c r="R348" i="1" s="1"/>
  <c r="P347" i="1"/>
  <c r="Q347" i="1" s="1"/>
  <c r="R347" i="1" s="1"/>
  <c r="P346" i="1"/>
  <c r="Q346" i="1" s="1"/>
  <c r="R346" i="1" s="1"/>
  <c r="P345" i="1"/>
  <c r="Q345" i="1" s="1"/>
  <c r="R345" i="1" s="1"/>
  <c r="P344" i="1"/>
  <c r="Q344" i="1" s="1"/>
  <c r="R344" i="1" s="1"/>
  <c r="P343" i="1"/>
  <c r="Q343" i="1" s="1"/>
  <c r="R343" i="1" s="1"/>
  <c r="P342" i="1"/>
  <c r="Q342" i="1" s="1"/>
  <c r="R342" i="1" s="1"/>
  <c r="P341" i="1"/>
  <c r="Q341" i="1" s="1"/>
  <c r="R341" i="1" s="1"/>
  <c r="P340" i="1"/>
  <c r="Q340" i="1" s="1"/>
  <c r="R340" i="1" s="1"/>
  <c r="P339" i="1"/>
  <c r="Q339" i="1" s="1"/>
  <c r="R339" i="1" s="1"/>
  <c r="P338" i="1"/>
  <c r="Q338" i="1" s="1"/>
  <c r="R338" i="1" s="1"/>
  <c r="P337" i="1"/>
  <c r="Q337" i="1" s="1"/>
  <c r="R337" i="1" s="1"/>
  <c r="P336" i="1"/>
  <c r="P335" i="1"/>
  <c r="P334" i="1"/>
  <c r="P333" i="1"/>
  <c r="P332" i="1"/>
  <c r="Q332" i="1" s="1"/>
  <c r="R332" i="1" s="1"/>
  <c r="P331" i="1"/>
  <c r="Q331" i="1" s="1"/>
  <c r="R331" i="1" s="1"/>
  <c r="P330" i="1"/>
  <c r="Q330" i="1" s="1"/>
  <c r="R330" i="1" s="1"/>
  <c r="P329" i="1"/>
  <c r="Q329" i="1" s="1"/>
  <c r="R329" i="1" s="1"/>
  <c r="P328" i="1"/>
  <c r="Q328" i="1" s="1"/>
  <c r="R328" i="1" s="1"/>
  <c r="P327" i="1"/>
  <c r="Q327" i="1" s="1"/>
  <c r="R327" i="1" s="1"/>
  <c r="P326" i="1"/>
  <c r="Q326" i="1" s="1"/>
  <c r="R326" i="1" s="1"/>
  <c r="P325" i="1"/>
  <c r="Q325" i="1" s="1"/>
  <c r="R325" i="1" s="1"/>
  <c r="P324" i="1"/>
  <c r="Q324" i="1" s="1"/>
  <c r="R324" i="1" s="1"/>
  <c r="P323" i="1"/>
  <c r="Q323" i="1" s="1"/>
  <c r="R323" i="1" s="1"/>
  <c r="P322" i="1"/>
  <c r="P321" i="1"/>
  <c r="Q321" i="1" s="1"/>
  <c r="R321" i="1" s="1"/>
  <c r="P320" i="1"/>
  <c r="Q320" i="1" s="1"/>
  <c r="R320" i="1" s="1"/>
  <c r="P319" i="1"/>
  <c r="Q319" i="1" s="1"/>
  <c r="R319" i="1" s="1"/>
  <c r="P318" i="1"/>
  <c r="Q318" i="1" s="1"/>
  <c r="R318" i="1" s="1"/>
  <c r="P317" i="1"/>
  <c r="Q317" i="1" s="1"/>
  <c r="R317" i="1" s="1"/>
  <c r="P316" i="1"/>
  <c r="Q316" i="1" s="1"/>
  <c r="R316" i="1" s="1"/>
  <c r="P315" i="1"/>
  <c r="Q315" i="1" s="1"/>
  <c r="R315" i="1" s="1"/>
  <c r="P314" i="1"/>
  <c r="Q314" i="1" s="1"/>
  <c r="R314" i="1" s="1"/>
  <c r="P313" i="1"/>
  <c r="Q313" i="1" s="1"/>
  <c r="R313" i="1" s="1"/>
  <c r="P312" i="1"/>
  <c r="Q312" i="1" s="1"/>
  <c r="R312" i="1" s="1"/>
  <c r="P311" i="1"/>
  <c r="P310" i="1"/>
  <c r="Q310" i="1" s="1"/>
  <c r="R310" i="1" s="1"/>
  <c r="P309" i="1"/>
  <c r="Q309" i="1" s="1"/>
  <c r="R309" i="1" s="1"/>
  <c r="P307" i="1"/>
  <c r="Q307" i="1" s="1"/>
  <c r="R307" i="1" s="1"/>
  <c r="P306" i="1"/>
  <c r="Q306" i="1" s="1"/>
  <c r="R306" i="1" s="1"/>
  <c r="P305" i="1"/>
  <c r="Q305" i="1" s="1"/>
  <c r="R305" i="1" s="1"/>
  <c r="P304" i="1"/>
  <c r="Q304" i="1" s="1"/>
  <c r="R304" i="1" s="1"/>
  <c r="P303" i="1"/>
  <c r="Q303" i="1" s="1"/>
  <c r="R303" i="1" s="1"/>
  <c r="P302" i="1"/>
  <c r="Q302" i="1" s="1"/>
  <c r="R302" i="1" s="1"/>
  <c r="P301" i="1"/>
  <c r="Q301" i="1" s="1"/>
  <c r="R301" i="1" s="1"/>
  <c r="P300" i="1"/>
  <c r="Q300" i="1" s="1"/>
  <c r="R300" i="1" s="1"/>
  <c r="P299" i="1"/>
  <c r="Q299" i="1" s="1"/>
  <c r="R299" i="1" s="1"/>
  <c r="P298" i="1"/>
  <c r="P297" i="1"/>
  <c r="Q297" i="1" s="1"/>
  <c r="R297" i="1" s="1"/>
  <c r="P296" i="1"/>
  <c r="Q296" i="1" s="1"/>
  <c r="R296" i="1" s="1"/>
  <c r="P295" i="1"/>
  <c r="Q295" i="1" s="1"/>
  <c r="R295" i="1" s="1"/>
  <c r="P294" i="1"/>
  <c r="Q294" i="1" s="1"/>
  <c r="R294" i="1" s="1"/>
  <c r="P293" i="1"/>
  <c r="P292" i="1"/>
  <c r="P291" i="1"/>
  <c r="Q291" i="1" s="1"/>
  <c r="R291" i="1" s="1"/>
  <c r="P290" i="1"/>
  <c r="P289" i="1"/>
  <c r="P288" i="1"/>
  <c r="Q288" i="1" s="1"/>
  <c r="R288" i="1" s="1"/>
  <c r="P287" i="1"/>
  <c r="Q287" i="1" s="1"/>
  <c r="R287" i="1" s="1"/>
  <c r="P286" i="1"/>
  <c r="Q286" i="1" s="1"/>
  <c r="R286" i="1" s="1"/>
  <c r="P285" i="1"/>
  <c r="Q285" i="1" s="1"/>
  <c r="R285" i="1" s="1"/>
  <c r="P284" i="1"/>
  <c r="Q284" i="1" s="1"/>
  <c r="R284" i="1" s="1"/>
  <c r="P283" i="1"/>
  <c r="Q283" i="1" s="1"/>
  <c r="R283" i="1" s="1"/>
  <c r="P282" i="1"/>
  <c r="Q282" i="1" s="1"/>
  <c r="R282" i="1" s="1"/>
  <c r="P281" i="1"/>
  <c r="Q281" i="1" s="1"/>
  <c r="R281" i="1" s="1"/>
  <c r="P280" i="1"/>
  <c r="Q280" i="1" s="1"/>
  <c r="R280" i="1" s="1"/>
  <c r="P279" i="1"/>
  <c r="Q279" i="1" s="1"/>
  <c r="R279" i="1" s="1"/>
  <c r="P278" i="1"/>
  <c r="Q278" i="1" s="1"/>
  <c r="R278" i="1" s="1"/>
  <c r="P277" i="1"/>
  <c r="P276" i="1"/>
  <c r="P275" i="1"/>
  <c r="Q275" i="1" s="1"/>
  <c r="R275" i="1" s="1"/>
  <c r="P274" i="1"/>
  <c r="Q274" i="1" s="1"/>
  <c r="R274" i="1" s="1"/>
  <c r="P273" i="1"/>
  <c r="Q273" i="1" s="1"/>
  <c r="R273" i="1" s="1"/>
  <c r="P272" i="1"/>
  <c r="Q272" i="1" s="1"/>
  <c r="R272" i="1" s="1"/>
  <c r="P271" i="1"/>
  <c r="P270" i="1"/>
  <c r="Q270" i="1" s="1"/>
  <c r="R270" i="1" s="1"/>
  <c r="P269" i="1"/>
  <c r="P268" i="1"/>
  <c r="P267" i="1"/>
  <c r="P266" i="1"/>
  <c r="Q266" i="1" s="1"/>
  <c r="R266" i="1" s="1"/>
  <c r="P265" i="1"/>
  <c r="Q265" i="1" s="1"/>
  <c r="R265" i="1" s="1"/>
  <c r="P264" i="1"/>
  <c r="Q264" i="1" s="1"/>
  <c r="R264" i="1" s="1"/>
  <c r="P263" i="1"/>
  <c r="Q263" i="1" s="1"/>
  <c r="R263" i="1" s="1"/>
  <c r="P262" i="1"/>
  <c r="Q262" i="1" s="1"/>
  <c r="R262" i="1" s="1"/>
  <c r="P260" i="1"/>
  <c r="Q260" i="1" s="1"/>
  <c r="R260" i="1" s="1"/>
  <c r="P259" i="1"/>
  <c r="Q259" i="1" s="1"/>
  <c r="R259" i="1" s="1"/>
  <c r="P258" i="1"/>
  <c r="Q258" i="1" s="1"/>
  <c r="R258" i="1" s="1"/>
  <c r="P257" i="1"/>
  <c r="Q257" i="1" s="1"/>
  <c r="R257" i="1" s="1"/>
  <c r="P256" i="1"/>
  <c r="Q256" i="1" s="1"/>
  <c r="R256" i="1" s="1"/>
  <c r="P255" i="1"/>
  <c r="Q255" i="1" s="1"/>
  <c r="R255" i="1" s="1"/>
  <c r="P254" i="1"/>
  <c r="P253" i="1"/>
  <c r="Q253" i="1" s="1"/>
  <c r="R253" i="1" s="1"/>
  <c r="P252" i="1"/>
  <c r="Q252" i="1" s="1"/>
  <c r="R252" i="1" s="1"/>
  <c r="P251" i="1"/>
  <c r="Q251" i="1" s="1"/>
  <c r="R251" i="1" s="1"/>
  <c r="P250" i="1"/>
  <c r="Q250" i="1" s="1"/>
  <c r="R250" i="1" s="1"/>
  <c r="P249" i="1"/>
  <c r="Q249" i="1" s="1"/>
  <c r="R249" i="1" s="1"/>
  <c r="P248" i="1"/>
  <c r="Q248" i="1" s="1"/>
  <c r="R248" i="1" s="1"/>
  <c r="P247" i="1"/>
  <c r="Q247" i="1" s="1"/>
  <c r="R247" i="1" s="1"/>
  <c r="P246" i="1"/>
  <c r="Q246" i="1" s="1"/>
  <c r="R246" i="1" s="1"/>
  <c r="P245" i="1"/>
  <c r="P244" i="1"/>
  <c r="Q244" i="1" s="1"/>
  <c r="R244" i="1" s="1"/>
  <c r="P243" i="1"/>
  <c r="Q243" i="1" s="1"/>
  <c r="R243" i="1" s="1"/>
  <c r="P242" i="1"/>
  <c r="Q242" i="1" s="1"/>
  <c r="R242" i="1" s="1"/>
  <c r="P241" i="1"/>
  <c r="Q241" i="1" s="1"/>
  <c r="R241" i="1" s="1"/>
  <c r="P240" i="1"/>
  <c r="Q240" i="1" s="1"/>
  <c r="R240" i="1" s="1"/>
  <c r="P239" i="1"/>
  <c r="Q239" i="1" s="1"/>
  <c r="R239" i="1" s="1"/>
  <c r="P238" i="1"/>
  <c r="Q238" i="1" s="1"/>
  <c r="R238" i="1" s="1"/>
  <c r="P237" i="1"/>
  <c r="Q237" i="1" s="1"/>
  <c r="R237" i="1" s="1"/>
  <c r="P236" i="1"/>
  <c r="Q236" i="1" s="1"/>
  <c r="R236" i="1" s="1"/>
  <c r="P235" i="1"/>
  <c r="Q235" i="1" s="1"/>
  <c r="R235" i="1" s="1"/>
  <c r="P234" i="1"/>
  <c r="Q234" i="1" s="1"/>
  <c r="R234" i="1" s="1"/>
  <c r="P233" i="1"/>
  <c r="P232" i="1"/>
  <c r="P231" i="1"/>
  <c r="P230" i="1"/>
  <c r="Q230" i="1" s="1"/>
  <c r="R230" i="1" s="1"/>
  <c r="P229" i="1"/>
  <c r="Q229" i="1" s="1"/>
  <c r="R229" i="1" s="1"/>
  <c r="P228" i="1"/>
  <c r="Q228" i="1" s="1"/>
  <c r="R228" i="1" s="1"/>
  <c r="P227" i="1"/>
  <c r="Q227" i="1" s="1"/>
  <c r="R227" i="1" s="1"/>
  <c r="P226" i="1"/>
  <c r="Q226" i="1" s="1"/>
  <c r="R226" i="1" s="1"/>
  <c r="P224" i="1"/>
  <c r="P223" i="1"/>
  <c r="P222" i="1"/>
  <c r="Q222" i="1" s="1"/>
  <c r="R222" i="1" s="1"/>
  <c r="P221" i="1"/>
  <c r="Q221" i="1" s="1"/>
  <c r="R221" i="1" s="1"/>
  <c r="P220" i="1"/>
  <c r="Q220" i="1" s="1"/>
  <c r="R220" i="1" s="1"/>
  <c r="P219" i="1"/>
  <c r="Q219" i="1" s="1"/>
  <c r="R219" i="1" s="1"/>
  <c r="P218" i="1"/>
  <c r="Q218" i="1" s="1"/>
  <c r="R218" i="1" s="1"/>
  <c r="P217" i="1"/>
  <c r="Q217" i="1" s="1"/>
  <c r="R217" i="1" s="1"/>
  <c r="P216" i="1"/>
  <c r="Q216" i="1" s="1"/>
  <c r="R216" i="1" s="1"/>
  <c r="P215" i="1"/>
  <c r="Q215" i="1" s="1"/>
  <c r="R215" i="1" s="1"/>
  <c r="P214" i="1"/>
  <c r="Q214" i="1" s="1"/>
  <c r="R214" i="1" s="1"/>
  <c r="P213" i="1"/>
  <c r="Q213" i="1" s="1"/>
  <c r="R213" i="1" s="1"/>
  <c r="P212" i="1"/>
  <c r="Q212" i="1" s="1"/>
  <c r="R212" i="1" s="1"/>
  <c r="P211" i="1"/>
  <c r="Q211" i="1" s="1"/>
  <c r="R211" i="1" s="1"/>
  <c r="P210" i="1"/>
  <c r="P209" i="1"/>
  <c r="P208" i="1"/>
  <c r="P207" i="1"/>
  <c r="Q207" i="1" s="1"/>
  <c r="R207" i="1" s="1"/>
  <c r="P206" i="1"/>
  <c r="Q206" i="1" s="1"/>
  <c r="R206" i="1" s="1"/>
  <c r="P205" i="1"/>
  <c r="Q205" i="1" s="1"/>
  <c r="R205" i="1" s="1"/>
  <c r="P204" i="1"/>
  <c r="Q204" i="1" s="1"/>
  <c r="R204" i="1" s="1"/>
  <c r="P203" i="1"/>
  <c r="P202" i="1"/>
  <c r="P201" i="1"/>
  <c r="P200" i="1"/>
  <c r="Q200" i="1" s="1"/>
  <c r="R200" i="1" s="1"/>
  <c r="P199" i="1"/>
  <c r="Q199" i="1" s="1"/>
  <c r="R199" i="1" s="1"/>
  <c r="P198" i="1"/>
  <c r="Q198" i="1" s="1"/>
  <c r="R198" i="1" s="1"/>
  <c r="P197" i="1"/>
  <c r="Q197" i="1" s="1"/>
  <c r="R197" i="1" s="1"/>
  <c r="P196" i="1"/>
  <c r="Q196" i="1" s="1"/>
  <c r="R196" i="1" s="1"/>
  <c r="P195" i="1"/>
  <c r="Q195" i="1" s="1"/>
  <c r="R195" i="1" s="1"/>
  <c r="P194" i="1"/>
  <c r="Q194" i="1" s="1"/>
  <c r="R194" i="1" s="1"/>
  <c r="P193" i="1"/>
  <c r="Q193" i="1" s="1"/>
  <c r="R193" i="1" s="1"/>
  <c r="P192" i="1"/>
  <c r="Q192" i="1" s="1"/>
  <c r="R192" i="1" s="1"/>
  <c r="P191" i="1"/>
  <c r="Q191" i="1" s="1"/>
  <c r="R191" i="1" s="1"/>
  <c r="P190" i="1"/>
  <c r="Q190" i="1" s="1"/>
  <c r="R190" i="1" s="1"/>
  <c r="P189" i="1"/>
  <c r="Q189" i="1" s="1"/>
  <c r="R189" i="1" s="1"/>
  <c r="P188" i="1"/>
  <c r="P187" i="1"/>
  <c r="Q187" i="1" s="1"/>
  <c r="R187" i="1" s="1"/>
  <c r="P186" i="1"/>
  <c r="P185" i="1"/>
  <c r="Q185" i="1" s="1"/>
  <c r="R185" i="1" s="1"/>
  <c r="P184" i="1"/>
  <c r="Q184" i="1" s="1"/>
  <c r="R184" i="1" s="1"/>
  <c r="P183" i="1"/>
  <c r="Q183" i="1" s="1"/>
  <c r="R183" i="1" s="1"/>
  <c r="P182" i="1"/>
  <c r="P181" i="1"/>
  <c r="P180" i="1"/>
  <c r="P179" i="1"/>
  <c r="P178" i="1"/>
  <c r="Q178" i="1" s="1"/>
  <c r="R178" i="1" s="1"/>
  <c r="P177" i="1"/>
  <c r="Q177" i="1" s="1"/>
  <c r="R177" i="1" s="1"/>
  <c r="P176" i="1"/>
  <c r="Q176" i="1" s="1"/>
  <c r="R176" i="1" s="1"/>
  <c r="P175" i="1"/>
  <c r="Q175" i="1" s="1"/>
  <c r="R175" i="1" s="1"/>
  <c r="P174" i="1"/>
  <c r="Q174" i="1" s="1"/>
  <c r="R174" i="1" s="1"/>
  <c r="P173" i="1"/>
  <c r="Q173" i="1" s="1"/>
  <c r="R173" i="1" s="1"/>
  <c r="P172" i="1"/>
  <c r="Q172" i="1" s="1"/>
  <c r="R172" i="1" s="1"/>
  <c r="P171" i="1"/>
  <c r="Q171" i="1" s="1"/>
  <c r="R171" i="1" s="1"/>
  <c r="P170" i="1"/>
  <c r="Q170" i="1" s="1"/>
  <c r="R170" i="1" s="1"/>
  <c r="P169" i="1"/>
  <c r="Q169" i="1" s="1"/>
  <c r="R169" i="1" s="1"/>
  <c r="P168" i="1"/>
  <c r="Q168" i="1" s="1"/>
  <c r="R168" i="1" s="1"/>
  <c r="P167" i="1"/>
  <c r="Q167" i="1" s="1"/>
  <c r="R167" i="1" s="1"/>
  <c r="P166" i="1"/>
  <c r="P165" i="1"/>
  <c r="P164" i="1"/>
  <c r="P163" i="1"/>
  <c r="Q163" i="1" s="1"/>
  <c r="R163" i="1" s="1"/>
  <c r="P162" i="1"/>
  <c r="Q162" i="1" s="1"/>
  <c r="R162" i="1" s="1"/>
  <c r="P161" i="1"/>
  <c r="Q161" i="1" s="1"/>
  <c r="R161" i="1" s="1"/>
  <c r="P160" i="1"/>
  <c r="Q160" i="1" s="1"/>
  <c r="R160" i="1" s="1"/>
  <c r="P159" i="1"/>
  <c r="P158" i="1"/>
  <c r="P157" i="1"/>
  <c r="P156" i="1"/>
  <c r="Q156" i="1" s="1"/>
  <c r="R156" i="1" s="1"/>
  <c r="P155" i="1"/>
  <c r="Q155" i="1" s="1"/>
  <c r="R155" i="1" s="1"/>
  <c r="P154" i="1"/>
  <c r="Q154" i="1" s="1"/>
  <c r="R154" i="1" s="1"/>
  <c r="P153" i="1"/>
  <c r="Q153" i="1" s="1"/>
  <c r="R153" i="1" s="1"/>
  <c r="P152" i="1"/>
  <c r="Q152" i="1" s="1"/>
  <c r="R152" i="1" s="1"/>
  <c r="P151" i="1"/>
  <c r="Q151" i="1" s="1"/>
  <c r="R151" i="1" s="1"/>
  <c r="P149" i="1"/>
  <c r="Q149" i="1" s="1"/>
  <c r="R149" i="1" s="1"/>
  <c r="P148" i="1"/>
  <c r="Q148" i="1" s="1"/>
  <c r="R148" i="1" s="1"/>
  <c r="P147" i="1"/>
  <c r="Q147" i="1" s="1"/>
  <c r="R147" i="1" s="1"/>
  <c r="P146" i="1"/>
  <c r="Q146" i="1" s="1"/>
  <c r="R146" i="1" s="1"/>
  <c r="P145" i="1"/>
  <c r="Q145" i="1" s="1"/>
  <c r="R145" i="1" s="1"/>
  <c r="P144" i="1"/>
  <c r="Q144" i="1" s="1"/>
  <c r="R144" i="1" s="1"/>
  <c r="P143" i="1"/>
  <c r="Q143" i="1" s="1"/>
  <c r="R143" i="1" s="1"/>
  <c r="P142" i="1"/>
  <c r="P141" i="1"/>
  <c r="P140" i="1"/>
  <c r="Q140" i="1" s="1"/>
  <c r="R140" i="1" s="1"/>
  <c r="P139" i="1"/>
  <c r="Q139" i="1" s="1"/>
  <c r="R139" i="1" s="1"/>
  <c r="P138" i="1"/>
  <c r="Q138" i="1" s="1"/>
  <c r="R138" i="1" s="1"/>
  <c r="P137" i="1"/>
  <c r="P136" i="1"/>
  <c r="P135" i="1"/>
  <c r="P134" i="1"/>
  <c r="Q134" i="1" s="1"/>
  <c r="R134" i="1" s="1"/>
  <c r="P133" i="1"/>
  <c r="Q133" i="1" s="1"/>
  <c r="R133" i="1" s="1"/>
  <c r="P132" i="1"/>
  <c r="Q132" i="1" s="1"/>
  <c r="R132" i="1" s="1"/>
  <c r="P131" i="1"/>
  <c r="Q131" i="1" s="1"/>
  <c r="R131" i="1" s="1"/>
  <c r="P130" i="1"/>
  <c r="Q130" i="1" s="1"/>
  <c r="R130" i="1" s="1"/>
  <c r="P129" i="1"/>
  <c r="Q129" i="1" s="1"/>
  <c r="R129" i="1" s="1"/>
  <c r="P128" i="1"/>
  <c r="Q128" i="1" s="1"/>
  <c r="R128" i="1" s="1"/>
  <c r="P127" i="1"/>
  <c r="Q127" i="1" s="1"/>
  <c r="R127" i="1" s="1"/>
  <c r="P126" i="1"/>
  <c r="Q126" i="1" s="1"/>
  <c r="R126" i="1" s="1"/>
  <c r="P125" i="1"/>
  <c r="Q125" i="1" s="1"/>
  <c r="R125" i="1" s="1"/>
  <c r="P124" i="1"/>
  <c r="Q124" i="1" s="1"/>
  <c r="R124" i="1" s="1"/>
  <c r="P123" i="1"/>
  <c r="Q123" i="1" s="1"/>
  <c r="R123" i="1" s="1"/>
  <c r="P121" i="1"/>
  <c r="Q121" i="1" s="1"/>
  <c r="R121" i="1" s="1"/>
  <c r="P120" i="1"/>
  <c r="Q120" i="1" s="1"/>
  <c r="R120" i="1" s="1"/>
  <c r="P119" i="1"/>
  <c r="P118" i="1"/>
  <c r="P117" i="1"/>
  <c r="Q117" i="1" s="1"/>
  <c r="R117" i="1" s="1"/>
  <c r="P116" i="1"/>
  <c r="Q116" i="1" s="1"/>
  <c r="R116" i="1" s="1"/>
  <c r="P115" i="1"/>
  <c r="P114" i="1"/>
  <c r="Q114" i="1" s="1"/>
  <c r="R114" i="1" s="1"/>
  <c r="P113" i="1"/>
  <c r="P112" i="1"/>
  <c r="Q112" i="1" s="1"/>
  <c r="R112" i="1" s="1"/>
  <c r="P111" i="1"/>
  <c r="Q111" i="1" s="1"/>
  <c r="R111" i="1" s="1"/>
  <c r="P110" i="1"/>
  <c r="Q110" i="1" s="1"/>
  <c r="R110" i="1" s="1"/>
  <c r="P109" i="1"/>
  <c r="Q109" i="1" s="1"/>
  <c r="R109" i="1" s="1"/>
  <c r="P108" i="1"/>
  <c r="Q108" i="1" s="1"/>
  <c r="R108" i="1" s="1"/>
  <c r="P107" i="1"/>
  <c r="Q107" i="1" s="1"/>
  <c r="R107" i="1" s="1"/>
  <c r="P106" i="1"/>
  <c r="Q106" i="1" s="1"/>
  <c r="R106" i="1" s="1"/>
  <c r="P105" i="1"/>
  <c r="Q105" i="1" s="1"/>
  <c r="R105" i="1" s="1"/>
  <c r="P104" i="1"/>
  <c r="Q104" i="1" s="1"/>
  <c r="R104" i="1" s="1"/>
  <c r="P103" i="1"/>
  <c r="Q103" i="1" s="1"/>
  <c r="R103" i="1" s="1"/>
  <c r="P102" i="1"/>
  <c r="Q102" i="1" s="1"/>
  <c r="R102" i="1" s="1"/>
  <c r="P101" i="1"/>
  <c r="Q101" i="1" s="1"/>
  <c r="R101" i="1" s="1"/>
  <c r="P100" i="1"/>
  <c r="Q100" i="1" s="1"/>
  <c r="R100" i="1" s="1"/>
  <c r="P99" i="1"/>
  <c r="Q99" i="1" s="1"/>
  <c r="R99" i="1" s="1"/>
  <c r="P98" i="1"/>
  <c r="Q98" i="1" s="1"/>
  <c r="R98" i="1" s="1"/>
  <c r="P97" i="1"/>
  <c r="Q97" i="1" s="1"/>
  <c r="R97" i="1" s="1"/>
  <c r="P96" i="1"/>
  <c r="P95" i="1"/>
  <c r="Q95" i="1" s="1"/>
  <c r="R95" i="1" s="1"/>
  <c r="P94" i="1"/>
  <c r="Q94" i="1" s="1"/>
  <c r="R94" i="1" s="1"/>
  <c r="P93" i="1"/>
  <c r="Q93" i="1" s="1"/>
  <c r="R93" i="1" s="1"/>
  <c r="P92" i="1"/>
  <c r="P91" i="1"/>
  <c r="P90" i="1"/>
  <c r="Q90" i="1" s="1"/>
  <c r="R90" i="1" s="1"/>
  <c r="P89" i="1"/>
  <c r="Q89" i="1" s="1"/>
  <c r="R89" i="1" s="1"/>
  <c r="P88" i="1"/>
  <c r="Q88" i="1" s="1"/>
  <c r="R88" i="1" s="1"/>
  <c r="P87" i="1"/>
  <c r="Q87" i="1" s="1"/>
  <c r="R87" i="1" s="1"/>
  <c r="P86" i="1"/>
  <c r="Q86" i="1" s="1"/>
  <c r="R86" i="1" s="1"/>
  <c r="P85" i="1"/>
  <c r="Q85" i="1" s="1"/>
  <c r="R85" i="1" s="1"/>
  <c r="P84" i="1"/>
  <c r="Q84" i="1" s="1"/>
  <c r="R84" i="1" s="1"/>
  <c r="P83" i="1"/>
  <c r="Q83" i="1" s="1"/>
  <c r="R83" i="1" s="1"/>
  <c r="P82" i="1"/>
  <c r="Q82" i="1" s="1"/>
  <c r="R82" i="1" s="1"/>
  <c r="P81" i="1"/>
  <c r="Q81" i="1" s="1"/>
  <c r="R81" i="1" s="1"/>
  <c r="P80" i="1"/>
  <c r="Q80" i="1" s="1"/>
  <c r="R80" i="1" s="1"/>
  <c r="P79" i="1"/>
  <c r="P77" i="1"/>
  <c r="Q77" i="1" s="1"/>
  <c r="R77" i="1" s="1"/>
  <c r="P76" i="1"/>
  <c r="Q76" i="1" s="1"/>
  <c r="R76" i="1" s="1"/>
  <c r="P75" i="1"/>
  <c r="Q75" i="1" s="1"/>
  <c r="R75" i="1" s="1"/>
  <c r="P74" i="1"/>
  <c r="P73" i="1"/>
  <c r="P72" i="1"/>
  <c r="Q72" i="1" s="1"/>
  <c r="R72" i="1" s="1"/>
  <c r="P71" i="1"/>
  <c r="P70" i="1"/>
  <c r="Q70" i="1" s="1"/>
  <c r="R70" i="1" s="1"/>
  <c r="P69" i="1"/>
  <c r="P68" i="1"/>
  <c r="Q68" i="1" s="1"/>
  <c r="R68" i="1" s="1"/>
  <c r="P67" i="1"/>
  <c r="Q67" i="1" s="1"/>
  <c r="R67" i="1" s="1"/>
  <c r="P66" i="1"/>
  <c r="Q66" i="1" s="1"/>
  <c r="R66" i="1" s="1"/>
  <c r="P65" i="1"/>
  <c r="Q65" i="1" s="1"/>
  <c r="R65" i="1" s="1"/>
  <c r="P64" i="1"/>
  <c r="Q64" i="1" s="1"/>
  <c r="R64" i="1" s="1"/>
  <c r="P63" i="1"/>
  <c r="Q63" i="1" s="1"/>
  <c r="R63" i="1" s="1"/>
  <c r="P62" i="1"/>
  <c r="Q62" i="1" s="1"/>
  <c r="R62" i="1" s="1"/>
  <c r="P61" i="1"/>
  <c r="Q61" i="1" s="1"/>
  <c r="R61" i="1" s="1"/>
  <c r="P60" i="1"/>
  <c r="Q60" i="1" s="1"/>
  <c r="R60" i="1" s="1"/>
  <c r="P59" i="1"/>
  <c r="Q59" i="1" s="1"/>
  <c r="R59" i="1" s="1"/>
  <c r="P58" i="1"/>
  <c r="Q58" i="1" s="1"/>
  <c r="R58" i="1" s="1"/>
  <c r="P57" i="1"/>
  <c r="Q57" i="1" s="1"/>
  <c r="R57" i="1" s="1"/>
  <c r="P56" i="1"/>
  <c r="P55" i="1"/>
  <c r="Q55" i="1" s="1"/>
  <c r="R55" i="1" s="1"/>
  <c r="P54" i="1"/>
  <c r="Q54" i="1" s="1"/>
  <c r="R54" i="1" s="1"/>
  <c r="P53" i="1"/>
  <c r="Q53" i="1" s="1"/>
  <c r="R53" i="1" s="1"/>
  <c r="P52" i="1"/>
  <c r="P51" i="1"/>
  <c r="Q51" i="1" s="1"/>
  <c r="R51" i="1" s="1"/>
  <c r="P50" i="1"/>
  <c r="Q50" i="1" s="1"/>
  <c r="R50" i="1" s="1"/>
  <c r="P49" i="1"/>
  <c r="P48" i="1"/>
  <c r="Q48" i="1" s="1"/>
  <c r="R48" i="1" s="1"/>
  <c r="P47" i="1"/>
  <c r="P46" i="1"/>
  <c r="Q46" i="1" s="1"/>
  <c r="R46" i="1" s="1"/>
  <c r="P45" i="1"/>
  <c r="Q45" i="1" s="1"/>
  <c r="R45" i="1" s="1"/>
  <c r="P44" i="1"/>
  <c r="Q44" i="1" s="1"/>
  <c r="R44" i="1" s="1"/>
  <c r="P43" i="1"/>
  <c r="Q43" i="1" s="1"/>
  <c r="R43" i="1" s="1"/>
  <c r="P42" i="1"/>
  <c r="Q42" i="1" s="1"/>
  <c r="R42" i="1" s="1"/>
  <c r="P41" i="1"/>
  <c r="Q41" i="1" s="1"/>
  <c r="R41" i="1" s="1"/>
  <c r="P40" i="1"/>
  <c r="Q40" i="1" s="1"/>
  <c r="R40" i="1" s="1"/>
  <c r="P39" i="1"/>
  <c r="Q39" i="1" s="1"/>
  <c r="R39" i="1" s="1"/>
  <c r="P38" i="1"/>
  <c r="Q38" i="1" s="1"/>
  <c r="R38" i="1" s="1"/>
  <c r="P37" i="1"/>
  <c r="Q37" i="1" s="1"/>
  <c r="R37" i="1" s="1"/>
  <c r="P36" i="1"/>
  <c r="Q36" i="1" s="1"/>
  <c r="R36" i="1" s="1"/>
  <c r="P35" i="1"/>
  <c r="Q35" i="1" s="1"/>
  <c r="R35" i="1" s="1"/>
  <c r="P34" i="1"/>
  <c r="P33" i="1"/>
  <c r="Q33" i="1" s="1"/>
  <c r="R33" i="1" s="1"/>
  <c r="P32" i="1"/>
  <c r="Q32" i="1" s="1"/>
  <c r="P31" i="1"/>
  <c r="P30" i="1"/>
  <c r="P29" i="1"/>
  <c r="P28" i="1"/>
  <c r="Q28" i="1" s="1"/>
  <c r="R28" i="1" s="1"/>
  <c r="P27" i="1"/>
  <c r="P26" i="1"/>
  <c r="Q26" i="1" s="1"/>
  <c r="R26" i="1" s="1"/>
  <c r="P25" i="1"/>
  <c r="P24" i="1"/>
  <c r="Q24" i="1" s="1"/>
  <c r="R24" i="1" s="1"/>
  <c r="P23" i="1"/>
  <c r="Q23" i="1" s="1"/>
  <c r="R23" i="1" s="1"/>
  <c r="P22" i="1"/>
  <c r="Q22" i="1" s="1"/>
  <c r="R22" i="1" s="1"/>
  <c r="P21" i="1"/>
  <c r="Q21" i="1" s="1"/>
  <c r="R21" i="1" s="1"/>
  <c r="P20" i="1"/>
  <c r="Q20" i="1" s="1"/>
  <c r="R20" i="1" s="1"/>
  <c r="P19" i="1"/>
  <c r="Q19" i="1" s="1"/>
  <c r="R19" i="1" s="1"/>
  <c r="P18" i="1"/>
  <c r="Q18" i="1" s="1"/>
  <c r="R18" i="1" s="1"/>
  <c r="P17" i="1"/>
  <c r="Q17" i="1" s="1"/>
  <c r="R17" i="1" s="1"/>
  <c r="P16" i="1"/>
  <c r="Q16" i="1" s="1"/>
  <c r="R16" i="1" s="1"/>
  <c r="P15" i="1"/>
  <c r="Q15" i="1" s="1"/>
  <c r="R15" i="1" s="1"/>
  <c r="P14" i="1"/>
  <c r="Q14" i="1" s="1"/>
  <c r="R14" i="1" s="1"/>
  <c r="P13" i="1"/>
  <c r="Q13" i="1" s="1"/>
  <c r="R13" i="1" s="1"/>
  <c r="P12" i="1"/>
  <c r="P11" i="1"/>
  <c r="Q11" i="1" s="1"/>
  <c r="R11" i="1" s="1"/>
  <c r="P10" i="1"/>
  <c r="Q10" i="1" s="1"/>
  <c r="R10" i="1" s="1"/>
  <c r="P9" i="1"/>
  <c r="Q9" i="1" s="1"/>
  <c r="R9" i="1" s="1"/>
  <c r="P8" i="1"/>
  <c r="P7" i="1"/>
  <c r="P6" i="1"/>
  <c r="Q6" i="1" s="1"/>
  <c r="R6" i="1" s="1"/>
  <c r="P5" i="1"/>
  <c r="P4" i="1"/>
  <c r="P3" i="1"/>
  <c r="R1607" i="1" l="1"/>
  <c r="R459" i="1"/>
  <c r="R486" i="1"/>
  <c r="R885" i="1"/>
  <c r="R487" i="1"/>
  <c r="S1568" i="1"/>
  <c r="R1568" i="1"/>
  <c r="R969" i="1"/>
  <c r="R1177" i="1"/>
  <c r="S1016" i="1"/>
  <c r="R1016" i="1"/>
  <c r="S624" i="1"/>
  <c r="R624" i="1"/>
  <c r="S596" i="1"/>
  <c r="R596" i="1"/>
  <c r="S418" i="1"/>
  <c r="R418" i="1"/>
  <c r="S1333" i="1"/>
  <c r="R1333" i="1"/>
  <c r="S78" i="1"/>
  <c r="R78" i="1"/>
  <c r="S362" i="1"/>
  <c r="R362" i="1"/>
  <c r="S1287" i="1"/>
  <c r="R1287" i="1"/>
  <c r="S1045" i="1"/>
  <c r="R1045" i="1"/>
  <c r="S810" i="1"/>
  <c r="R810" i="1"/>
  <c r="R705" i="1"/>
  <c r="S400" i="1"/>
  <c r="R400" i="1"/>
  <c r="S225" i="1"/>
  <c r="R225" i="1"/>
  <c r="S1288" i="1"/>
  <c r="R1288" i="1"/>
  <c r="S1496" i="1"/>
  <c r="S261" i="1"/>
  <c r="S308" i="1"/>
  <c r="S1598" i="1"/>
  <c r="S1387" i="1"/>
  <c r="S1446" i="1"/>
  <c r="S1401" i="1"/>
  <c r="S150" i="1"/>
  <c r="S122" i="1"/>
  <c r="S1090" i="1"/>
  <c r="S919" i="1"/>
  <c r="S98" i="1"/>
  <c r="S302" i="1"/>
  <c r="Q298" i="1"/>
  <c r="R298" i="1" s="1"/>
  <c r="Q411" i="1"/>
  <c r="R411" i="1" s="1"/>
  <c r="Q478" i="1"/>
  <c r="R478" i="1" s="1"/>
  <c r="Q973" i="1"/>
  <c r="R973" i="1" s="1"/>
  <c r="Q1307" i="1"/>
  <c r="R1307" i="1" s="1"/>
  <c r="Q443" i="1"/>
  <c r="R443" i="1" s="1"/>
  <c r="Q600" i="1"/>
  <c r="R600" i="1" s="1"/>
  <c r="Q73" i="1"/>
  <c r="R73" i="1" s="1"/>
  <c r="Q623" i="1"/>
  <c r="R623" i="1" s="1"/>
  <c r="Q7" i="1"/>
  <c r="R7" i="1" s="1"/>
  <c r="Q164" i="1"/>
  <c r="R164" i="1" s="1"/>
  <c r="Q231" i="1"/>
  <c r="R231" i="1" s="1"/>
  <c r="Q276" i="1"/>
  <c r="R276" i="1" s="1"/>
  <c r="Q456" i="1"/>
  <c r="R456" i="1" s="1"/>
  <c r="Q1262" i="1"/>
  <c r="R1262" i="1" s="1"/>
  <c r="Q422" i="1"/>
  <c r="R422" i="1" s="1"/>
  <c r="Q1499" i="1"/>
  <c r="R1499" i="1" s="1"/>
  <c r="Q1543" i="1"/>
  <c r="R1543" i="1" s="1"/>
  <c r="Q311" i="1"/>
  <c r="R311" i="1" s="1"/>
  <c r="Q424" i="1"/>
  <c r="R424" i="1" s="1"/>
  <c r="S468" i="1"/>
  <c r="Q603" i="1"/>
  <c r="R603" i="1" s="1"/>
  <c r="S1477" i="1"/>
  <c r="Q1522" i="1"/>
  <c r="R1522" i="1" s="1"/>
  <c r="Q1566" i="1"/>
  <c r="R1566" i="1" s="1"/>
  <c r="Q1635" i="1"/>
  <c r="R1635" i="1" s="1"/>
  <c r="Q466" i="1"/>
  <c r="R466" i="1" s="1"/>
  <c r="Q3" i="1"/>
  <c r="R3" i="1" s="1"/>
  <c r="Q25" i="1"/>
  <c r="R25" i="1" s="1"/>
  <c r="Q47" i="1"/>
  <c r="R47" i="1" s="1"/>
  <c r="Q69" i="1"/>
  <c r="R69" i="1" s="1"/>
  <c r="Q92" i="1"/>
  <c r="R92" i="1" s="1"/>
  <c r="S114" i="1"/>
  <c r="Q137" i="1"/>
  <c r="R137" i="1" s="1"/>
  <c r="S160" i="1"/>
  <c r="Q182" i="1"/>
  <c r="R182" i="1" s="1"/>
  <c r="S204" i="1"/>
  <c r="Q1192" i="1"/>
  <c r="R1192" i="1" s="1"/>
  <c r="Q1214" i="1"/>
  <c r="R1214" i="1" s="1"/>
  <c r="Q1236" i="1"/>
  <c r="R1236" i="1" s="1"/>
  <c r="S1258" i="1"/>
  <c r="Q1303" i="1"/>
  <c r="R1303" i="1" s="1"/>
  <c r="Q1325" i="1"/>
  <c r="R1325" i="1" s="1"/>
  <c r="S1370" i="1"/>
  <c r="Q96" i="1"/>
  <c r="R96" i="1" s="1"/>
  <c r="Q5" i="1"/>
  <c r="R5" i="1" s="1"/>
  <c r="Q71" i="1"/>
  <c r="R71" i="1" s="1"/>
  <c r="Q971" i="1"/>
  <c r="R971" i="1" s="1"/>
  <c r="S993" i="1"/>
  <c r="Q1015" i="1"/>
  <c r="R1015" i="1" s="1"/>
  <c r="Q1037" i="1"/>
  <c r="R1037" i="1" s="1"/>
  <c r="Q1060" i="1"/>
  <c r="R1060" i="1" s="1"/>
  <c r="Q1082" i="1"/>
  <c r="R1082" i="1" s="1"/>
  <c r="Q49" i="1"/>
  <c r="R49" i="1" s="1"/>
  <c r="S927" i="1"/>
  <c r="S949" i="1"/>
  <c r="Q972" i="1"/>
  <c r="R972" i="1" s="1"/>
  <c r="S994" i="1"/>
  <c r="S1061" i="1"/>
  <c r="S1083" i="1"/>
  <c r="Q1509" i="1"/>
  <c r="R1509" i="1" s="1"/>
  <c r="S1531" i="1"/>
  <c r="S1553" i="1"/>
  <c r="Q1576" i="1"/>
  <c r="R1576" i="1" s="1"/>
  <c r="S1599" i="1"/>
  <c r="Q1038" i="1"/>
  <c r="R1038" i="1" s="1"/>
  <c r="Q186" i="1"/>
  <c r="R186" i="1" s="1"/>
  <c r="Q1613" i="1"/>
  <c r="R1613" i="1" s="1"/>
  <c r="Q208" i="1"/>
  <c r="R208" i="1" s="1"/>
  <c r="S321" i="1"/>
  <c r="Q434" i="1"/>
  <c r="R434" i="1" s="1"/>
  <c r="S950" i="1"/>
  <c r="S995" i="1"/>
  <c r="Q1062" i="1"/>
  <c r="R1062" i="1" s="1"/>
  <c r="S1084" i="1"/>
  <c r="S1196" i="1"/>
  <c r="S1218" i="1"/>
  <c r="Q1329" i="1"/>
  <c r="R1329" i="1" s="1"/>
  <c r="Q1374" i="1"/>
  <c r="R1374" i="1" s="1"/>
  <c r="Q1420" i="1"/>
  <c r="R1420" i="1" s="1"/>
  <c r="Q1465" i="1"/>
  <c r="R1465" i="1" s="1"/>
  <c r="Q1487" i="1"/>
  <c r="R1487" i="1" s="1"/>
  <c r="Q1510" i="1"/>
  <c r="R1510" i="1" s="1"/>
  <c r="Q1532" i="1"/>
  <c r="R1532" i="1" s="1"/>
  <c r="Q1554" i="1"/>
  <c r="R1554" i="1" s="1"/>
  <c r="Q1577" i="1"/>
  <c r="R1577" i="1" s="1"/>
  <c r="Q8" i="1"/>
  <c r="R8" i="1" s="1"/>
  <c r="Q30" i="1"/>
  <c r="R30" i="1" s="1"/>
  <c r="Q74" i="1"/>
  <c r="R74" i="1" s="1"/>
  <c r="S97" i="1"/>
  <c r="Q142" i="1"/>
  <c r="R142" i="1" s="1"/>
  <c r="Q165" i="1"/>
  <c r="R165" i="1" s="1"/>
  <c r="S187" i="1"/>
  <c r="Q209" i="1"/>
  <c r="R209" i="1" s="1"/>
  <c r="Q232" i="1"/>
  <c r="R232" i="1" s="1"/>
  <c r="Q254" i="1"/>
  <c r="R254" i="1" s="1"/>
  <c r="Q277" i="1"/>
  <c r="R277" i="1" s="1"/>
  <c r="S299" i="1"/>
  <c r="Q322" i="1"/>
  <c r="R322" i="1" s="1"/>
  <c r="Q905" i="1"/>
  <c r="R905" i="1" s="1"/>
  <c r="Q389" i="1"/>
  <c r="R389" i="1" s="1"/>
  <c r="Q388" i="1"/>
  <c r="R388" i="1" s="1"/>
  <c r="S620" i="1"/>
  <c r="Q823" i="1"/>
  <c r="R823" i="1" s="1"/>
  <c r="Q845" i="1"/>
  <c r="R845" i="1" s="1"/>
  <c r="S867" i="1"/>
  <c r="S890" i="1"/>
  <c r="S912" i="1"/>
  <c r="Q935" i="1"/>
  <c r="R935" i="1" s="1"/>
  <c r="S599" i="1"/>
  <c r="Q621" i="1"/>
  <c r="R621" i="1" s="1"/>
  <c r="Q824" i="1"/>
  <c r="R824" i="1" s="1"/>
  <c r="Q846" i="1"/>
  <c r="R846" i="1" s="1"/>
  <c r="Q868" i="1"/>
  <c r="R868" i="1" s="1"/>
  <c r="S1609" i="1"/>
  <c r="S1631" i="1"/>
  <c r="Q119" i="1"/>
  <c r="R119" i="1" s="1"/>
  <c r="Q27" i="1"/>
  <c r="R27" i="1" s="1"/>
  <c r="S51" i="1"/>
  <c r="Q1348" i="1"/>
  <c r="R1348" i="1" s="1"/>
  <c r="Q135" i="1"/>
  <c r="R135" i="1" s="1"/>
  <c r="Q180" i="1"/>
  <c r="R180" i="1" s="1"/>
  <c r="S247" i="1"/>
  <c r="Q292" i="1"/>
  <c r="R292" i="1" s="1"/>
  <c r="S405" i="1"/>
  <c r="Q1323" i="1"/>
  <c r="R1323" i="1" s="1"/>
  <c r="Q1368" i="1"/>
  <c r="R1368" i="1" s="1"/>
  <c r="S1391" i="1"/>
  <c r="S1414" i="1"/>
  <c r="S1436" i="1"/>
  <c r="Q1481" i="1"/>
  <c r="R1481" i="1" s="1"/>
  <c r="Q29" i="1"/>
  <c r="R29" i="1" s="1"/>
  <c r="Q141" i="1"/>
  <c r="R141" i="1" s="1"/>
  <c r="S253" i="1"/>
  <c r="S1039" i="1"/>
  <c r="Q1240" i="1"/>
  <c r="R1240" i="1" s="1"/>
  <c r="Q622" i="1"/>
  <c r="R622" i="1" s="1"/>
  <c r="S668" i="1"/>
  <c r="Q118" i="1"/>
  <c r="R118" i="1" s="1"/>
  <c r="Q444" i="1"/>
  <c r="R444" i="1" s="1"/>
  <c r="Q601" i="1"/>
  <c r="R601" i="1" s="1"/>
  <c r="Q1587" i="1"/>
  <c r="R1587" i="1" s="1"/>
  <c r="Q1633" i="1"/>
  <c r="R1633" i="1" s="1"/>
  <c r="Q1442" i="1"/>
  <c r="R1442" i="1" s="1"/>
  <c r="Q1017" i="1"/>
  <c r="R1017" i="1" s="1"/>
  <c r="Q421" i="1"/>
  <c r="R421" i="1" s="1"/>
  <c r="Q399" i="1"/>
  <c r="R399" i="1" s="1"/>
  <c r="Q423" i="1"/>
  <c r="R423" i="1" s="1"/>
  <c r="S445" i="1"/>
  <c r="S467" i="1"/>
  <c r="S1521" i="1"/>
  <c r="Q1565" i="1"/>
  <c r="R1565" i="1" s="1"/>
  <c r="S1612" i="1"/>
  <c r="S401" i="1"/>
  <c r="Q446" i="1"/>
  <c r="R446" i="1" s="1"/>
  <c r="S1455" i="1"/>
  <c r="Q1500" i="1"/>
  <c r="R1500" i="1" s="1"/>
  <c r="Q1544" i="1"/>
  <c r="R1544" i="1" s="1"/>
  <c r="Q1589" i="1"/>
  <c r="R1589" i="1" s="1"/>
  <c r="Q1352" i="1"/>
  <c r="R1352" i="1" s="1"/>
  <c r="Q928" i="1"/>
  <c r="R928" i="1" s="1"/>
  <c r="Q1634" i="1"/>
  <c r="R1634" i="1" s="1"/>
  <c r="Q465" i="1"/>
  <c r="R465" i="1" s="1"/>
  <c r="Q245" i="1"/>
  <c r="R245" i="1" s="1"/>
  <c r="Q268" i="1"/>
  <c r="R268" i="1" s="1"/>
  <c r="Q290" i="1"/>
  <c r="R290" i="1" s="1"/>
  <c r="S313" i="1"/>
  <c r="Q403" i="1"/>
  <c r="R403" i="1" s="1"/>
  <c r="Q1632" i="1"/>
  <c r="R1632" i="1" s="1"/>
  <c r="Q158" i="1"/>
  <c r="R158" i="1" s="1"/>
  <c r="Q202" i="1"/>
  <c r="R202" i="1" s="1"/>
  <c r="Q224" i="1"/>
  <c r="R224" i="1" s="1"/>
  <c r="S270" i="1"/>
  <c r="S315" i="1"/>
  <c r="S1459" i="1"/>
  <c r="Q91" i="1"/>
  <c r="R91" i="1" s="1"/>
  <c r="Q113" i="1"/>
  <c r="R113" i="1" s="1"/>
  <c r="Q136" i="1"/>
  <c r="R136" i="1" s="1"/>
  <c r="Q159" i="1"/>
  <c r="R159" i="1" s="1"/>
  <c r="Q181" i="1"/>
  <c r="R181" i="1" s="1"/>
  <c r="Q203" i="1"/>
  <c r="R203" i="1" s="1"/>
  <c r="S226" i="1"/>
  <c r="S248" i="1"/>
  <c r="Q271" i="1"/>
  <c r="R271" i="1" s="1"/>
  <c r="Q293" i="1"/>
  <c r="R293" i="1" s="1"/>
  <c r="Q1191" i="1"/>
  <c r="R1191" i="1" s="1"/>
  <c r="Q1213" i="1"/>
  <c r="R1213" i="1" s="1"/>
  <c r="S1235" i="1"/>
  <c r="S1257" i="1"/>
  <c r="Q1302" i="1"/>
  <c r="R1302" i="1" s="1"/>
  <c r="Q1324" i="1"/>
  <c r="R1324" i="1" s="1"/>
  <c r="S1347" i="1"/>
  <c r="Q1369" i="1"/>
  <c r="R1369" i="1" s="1"/>
  <c r="S1392" i="1"/>
  <c r="S1415" i="1"/>
  <c r="Q1588" i="1"/>
  <c r="R1588" i="1" s="1"/>
  <c r="Q1346" i="1"/>
  <c r="R1346" i="1" s="1"/>
  <c r="Q1301" i="1"/>
  <c r="R1301" i="1" s="1"/>
  <c r="Q52" i="1"/>
  <c r="R52" i="1" s="1"/>
  <c r="Q267" i="1"/>
  <c r="R267" i="1" s="1"/>
  <c r="Q289" i="1"/>
  <c r="R289" i="1" s="1"/>
  <c r="S312" i="1"/>
  <c r="S402" i="1"/>
  <c r="Q425" i="1"/>
  <c r="R425" i="1" s="1"/>
  <c r="Q447" i="1"/>
  <c r="R447" i="1" s="1"/>
  <c r="Q469" i="1"/>
  <c r="R469" i="1" s="1"/>
  <c r="Q604" i="1"/>
  <c r="R604" i="1" s="1"/>
  <c r="S1411" i="1"/>
  <c r="Q1433" i="1"/>
  <c r="R1433" i="1" s="1"/>
  <c r="Q1456" i="1"/>
  <c r="R1456" i="1" s="1"/>
  <c r="Q1478" i="1"/>
  <c r="R1478" i="1" s="1"/>
  <c r="Q1501" i="1"/>
  <c r="R1501" i="1" s="1"/>
  <c r="Q1523" i="1"/>
  <c r="R1523" i="1" s="1"/>
  <c r="Q1545" i="1"/>
  <c r="R1545" i="1" s="1"/>
  <c r="Q1567" i="1"/>
  <c r="R1567" i="1" s="1"/>
  <c r="S1590" i="1"/>
  <c r="S1412" i="1"/>
  <c r="Q1434" i="1"/>
  <c r="R1434" i="1" s="1"/>
  <c r="S1457" i="1"/>
  <c r="S1479" i="1"/>
  <c r="S1502" i="1"/>
  <c r="Q1524" i="1"/>
  <c r="R1524" i="1" s="1"/>
  <c r="S1546" i="1"/>
  <c r="Q1615" i="1"/>
  <c r="R1615" i="1" s="1"/>
  <c r="Q1637" i="1"/>
  <c r="R1637" i="1" s="1"/>
  <c r="Q157" i="1"/>
  <c r="R157" i="1" s="1"/>
  <c r="Q179" i="1"/>
  <c r="R179" i="1" s="1"/>
  <c r="Q201" i="1"/>
  <c r="R201" i="1" s="1"/>
  <c r="Q223" i="1"/>
  <c r="R223" i="1" s="1"/>
  <c r="S246" i="1"/>
  <c r="Q269" i="1"/>
  <c r="R269" i="1" s="1"/>
  <c r="S291" i="1"/>
  <c r="S314" i="1"/>
  <c r="S427" i="1"/>
  <c r="Q817" i="1"/>
  <c r="R817" i="1" s="1"/>
  <c r="S839" i="1"/>
  <c r="Q861" i="1"/>
  <c r="R861" i="1" s="1"/>
  <c r="S883" i="1"/>
  <c r="S906" i="1"/>
  <c r="S929" i="1"/>
  <c r="S951" i="1"/>
  <c r="S974" i="1"/>
  <c r="Q996" i="1"/>
  <c r="R996" i="1" s="1"/>
  <c r="S1018" i="1"/>
  <c r="S1040" i="1"/>
  <c r="Q1063" i="1"/>
  <c r="R1063" i="1" s="1"/>
  <c r="Q1197" i="1"/>
  <c r="R1197" i="1" s="1"/>
  <c r="S1219" i="1"/>
  <c r="Q1263" i="1"/>
  <c r="R1263" i="1" s="1"/>
  <c r="S1308" i="1"/>
  <c r="Q1330" i="1"/>
  <c r="R1330" i="1" s="1"/>
  <c r="Q1353" i="1"/>
  <c r="R1353" i="1" s="1"/>
  <c r="S1375" i="1"/>
  <c r="S1421" i="1"/>
  <c r="Q1443" i="1"/>
  <c r="R1443" i="1" s="1"/>
  <c r="S1466" i="1"/>
  <c r="Q1488" i="1"/>
  <c r="R1488" i="1" s="1"/>
  <c r="Q1241" i="1"/>
  <c r="R1241" i="1" s="1"/>
  <c r="S9" i="1"/>
  <c r="Q31" i="1"/>
  <c r="R31" i="1" s="1"/>
  <c r="S53" i="1"/>
  <c r="S75" i="1"/>
  <c r="S120" i="1"/>
  <c r="S143" i="1"/>
  <c r="Q166" i="1"/>
  <c r="R166" i="1" s="1"/>
  <c r="Q188" i="1"/>
  <c r="R188" i="1" s="1"/>
  <c r="Q210" i="1"/>
  <c r="R210" i="1" s="1"/>
  <c r="Q233" i="1"/>
  <c r="R233" i="1" s="1"/>
  <c r="S255" i="1"/>
  <c r="S278" i="1"/>
  <c r="S300" i="1"/>
  <c r="S323" i="1"/>
  <c r="S818" i="1"/>
  <c r="S862" i="1"/>
  <c r="Q884" i="1"/>
  <c r="R884" i="1" s="1"/>
  <c r="S907" i="1"/>
  <c r="Q1591" i="1"/>
  <c r="R1591" i="1" s="1"/>
  <c r="Q1085" i="1"/>
  <c r="R1085" i="1" s="1"/>
  <c r="S26" i="1"/>
  <c r="S48" i="1"/>
  <c r="S70" i="1"/>
  <c r="S93" i="1"/>
  <c r="S1059" i="1"/>
  <c r="S1081" i="1"/>
  <c r="S1193" i="1"/>
  <c r="S1215" i="1"/>
  <c r="S1259" i="1"/>
  <c r="Q115" i="1"/>
  <c r="R115" i="1" s="1"/>
  <c r="Q34" i="1"/>
  <c r="R34" i="1" s="1"/>
  <c r="Q12" i="1"/>
  <c r="R12" i="1" s="1"/>
  <c r="Q56" i="1"/>
  <c r="R56" i="1" s="1"/>
  <c r="S101" i="1"/>
  <c r="S124" i="1"/>
  <c r="S821" i="1"/>
  <c r="S843" i="1"/>
  <c r="S865" i="1"/>
  <c r="S888" i="1"/>
  <c r="S933" i="1"/>
  <c r="S955" i="1"/>
  <c r="S978" i="1"/>
  <c r="S1000" i="1"/>
  <c r="S1022" i="1"/>
  <c r="S1067" i="1"/>
  <c r="S1089" i="1"/>
  <c r="S1201" i="1"/>
  <c r="S1223" i="1"/>
  <c r="S1245" i="1"/>
  <c r="Q910" i="1"/>
  <c r="R910" i="1" s="1"/>
  <c r="S619" i="1"/>
  <c r="S822" i="1"/>
  <c r="S844" i="1"/>
  <c r="S866" i="1"/>
  <c r="S889" i="1"/>
  <c r="S911" i="1"/>
  <c r="S956" i="1"/>
  <c r="Q979" i="1"/>
  <c r="R979" i="1" s="1"/>
  <c r="Q1001" i="1"/>
  <c r="R1001" i="1" s="1"/>
  <c r="Q1023" i="1"/>
  <c r="R1023" i="1" s="1"/>
  <c r="S1046" i="1"/>
  <c r="S1068" i="1"/>
  <c r="Q1237" i="1"/>
  <c r="R1237" i="1" s="1"/>
  <c r="Q934" i="1"/>
  <c r="R934" i="1" s="1"/>
  <c r="Q79" i="1"/>
  <c r="R79" i="1" s="1"/>
  <c r="Q4" i="1"/>
  <c r="S449" i="1"/>
  <c r="S471" i="1"/>
  <c r="S1345" i="1"/>
  <c r="S1367" i="1"/>
  <c r="S1390" i="1"/>
  <c r="S1413" i="1"/>
  <c r="S1435" i="1"/>
  <c r="S1458" i="1"/>
  <c r="S1480" i="1"/>
  <c r="S1503" i="1"/>
  <c r="S1525" i="1"/>
  <c r="S1547" i="1"/>
  <c r="S379" i="1"/>
  <c r="S380" i="1"/>
  <c r="S381" i="1"/>
  <c r="S337" i="1"/>
  <c r="S344" i="1"/>
  <c r="S345" i="1"/>
  <c r="Q335" i="1"/>
  <c r="R335" i="1" s="1"/>
  <c r="Q356" i="1"/>
  <c r="R356" i="1" s="1"/>
  <c r="Q334" i="1"/>
  <c r="R334" i="1" s="1"/>
  <c r="S343" i="1"/>
  <c r="S366" i="1"/>
  <c r="S367" i="1"/>
  <c r="Q336" i="1"/>
  <c r="R336" i="1" s="1"/>
  <c r="Q355" i="1"/>
  <c r="R355" i="1" s="1"/>
  <c r="Q333" i="1"/>
  <c r="R333" i="1" s="1"/>
  <c r="Q359" i="1"/>
  <c r="R359" i="1" s="1"/>
  <c r="Q358" i="1"/>
  <c r="R358" i="1" s="1"/>
  <c r="Q357" i="1"/>
  <c r="R357" i="1" s="1"/>
  <c r="Q378" i="1"/>
  <c r="R378" i="1" s="1"/>
  <c r="Q377" i="1"/>
  <c r="R377" i="1" s="1"/>
  <c r="Q598" i="1"/>
  <c r="R598" i="1" s="1"/>
  <c r="Q597" i="1"/>
  <c r="R597" i="1" s="1"/>
  <c r="Q840" i="1"/>
  <c r="R840" i="1" s="1"/>
  <c r="S957" i="1"/>
  <c r="Q1044" i="1"/>
  <c r="R1044" i="1" s="1"/>
  <c r="Q1179" i="1"/>
  <c r="R1179" i="1" s="1"/>
  <c r="S1279" i="1"/>
  <c r="Q1267" i="1"/>
  <c r="R1267" i="1" s="1"/>
  <c r="S1284" i="1"/>
  <c r="S1285" i="1"/>
  <c r="Q1281" i="1"/>
  <c r="R1281" i="1" s="1"/>
  <c r="Q1280" i="1"/>
  <c r="R1280" i="1" s="1"/>
  <c r="Q1389" i="1"/>
  <c r="R1389" i="1" s="1"/>
  <c r="S1398" i="1"/>
  <c r="Q1397" i="1"/>
  <c r="R1397" i="1" s="1"/>
  <c r="Q1437" i="1"/>
  <c r="R1437" i="1" s="1"/>
  <c r="Q1569" i="1"/>
  <c r="R1569" i="1" s="1"/>
  <c r="Q1611" i="1"/>
  <c r="R1611" i="1" s="1"/>
  <c r="Q1610" i="1"/>
  <c r="R1610" i="1" s="1"/>
  <c r="S838" i="1"/>
  <c r="S882" i="1"/>
  <c r="S1644" i="1"/>
  <c r="S412" i="1"/>
  <c r="S435" i="1"/>
  <c r="S413" i="1"/>
  <c r="S613" i="1"/>
  <c r="S1622" i="1"/>
  <c r="S479" i="1"/>
  <c r="S816" i="1"/>
  <c r="S860" i="1"/>
  <c r="S457" i="1"/>
  <c r="S614" i="1"/>
  <c r="S1600" i="1"/>
  <c r="S1623" i="1"/>
  <c r="S1645" i="1"/>
  <c r="S368" i="1"/>
  <c r="S390" i="1"/>
  <c r="S436" i="1"/>
  <c r="S458" i="1"/>
  <c r="S480" i="1"/>
  <c r="S169" i="1"/>
  <c r="S146" i="1"/>
  <c r="S213" i="1"/>
  <c r="S258" i="1"/>
  <c r="S303" i="1"/>
  <c r="S371" i="1"/>
  <c r="S416" i="1"/>
  <c r="S483" i="1"/>
  <c r="S1312" i="1"/>
  <c r="S1379" i="1"/>
  <c r="S1425" i="1"/>
  <c r="S1492" i="1"/>
  <c r="S1536" i="1"/>
  <c r="S1604" i="1"/>
  <c r="S13" i="1"/>
  <c r="S80" i="1"/>
  <c r="S125" i="1"/>
  <c r="S192" i="1"/>
  <c r="S237" i="1"/>
  <c r="S304" i="1"/>
  <c r="S349" i="1"/>
  <c r="S417" i="1"/>
  <c r="S462" i="1"/>
  <c r="S1180" i="1"/>
  <c r="S1224" i="1"/>
  <c r="S1268" i="1"/>
  <c r="S1336" i="1"/>
  <c r="S1380" i="1"/>
  <c r="S1449" i="1"/>
  <c r="S1493" i="1"/>
  <c r="S1537" i="1"/>
  <c r="S1605" i="1"/>
  <c r="S36" i="1"/>
  <c r="S81" i="1"/>
  <c r="S126" i="1"/>
  <c r="S193" i="1"/>
  <c r="S238" i="1"/>
  <c r="S328" i="1"/>
  <c r="S373" i="1"/>
  <c r="S441" i="1"/>
  <c r="S1002" i="1"/>
  <c r="S1024" i="1"/>
  <c r="S1181" i="1"/>
  <c r="S1225" i="1"/>
  <c r="S1292" i="1"/>
  <c r="S1314" i="1"/>
  <c r="S1337" i="1"/>
  <c r="S1405" i="1"/>
  <c r="S1450" i="1"/>
  <c r="S1472" i="1"/>
  <c r="S1538" i="1"/>
  <c r="S1583" i="1"/>
  <c r="S15" i="1"/>
  <c r="S59" i="1"/>
  <c r="S104" i="1"/>
  <c r="S149" i="1"/>
  <c r="S194" i="1"/>
  <c r="S239" i="1"/>
  <c r="S284" i="1"/>
  <c r="S329" i="1"/>
  <c r="S374" i="1"/>
  <c r="S442" i="1"/>
  <c r="S891" i="1"/>
  <c r="S913" i="1"/>
  <c r="S958" i="1"/>
  <c r="S1003" i="1"/>
  <c r="S1048" i="1"/>
  <c r="S1204" i="1"/>
  <c r="S1248" i="1"/>
  <c r="S1293" i="1"/>
  <c r="S1338" i="1"/>
  <c r="S1382" i="1"/>
  <c r="S1428" i="1"/>
  <c r="S1473" i="1"/>
  <c r="S1539" i="1"/>
  <c r="S1608" i="1"/>
  <c r="S16" i="1"/>
  <c r="S83" i="1"/>
  <c r="S128" i="1"/>
  <c r="S195" i="1"/>
  <c r="S240" i="1"/>
  <c r="S285" i="1"/>
  <c r="S330" i="1"/>
  <c r="S397" i="1"/>
  <c r="S825" i="1"/>
  <c r="S892" i="1"/>
  <c r="S937" i="1"/>
  <c r="S982" i="1"/>
  <c r="S1026" i="1"/>
  <c r="S1071" i="1"/>
  <c r="S1205" i="1"/>
  <c r="S1249" i="1"/>
  <c r="S1294" i="1"/>
  <c r="S1339" i="1"/>
  <c r="S1383" i="1"/>
  <c r="S1429" i="1"/>
  <c r="S1518" i="1"/>
  <c r="S61" i="1"/>
  <c r="S129" i="1"/>
  <c r="S174" i="1"/>
  <c r="S218" i="1"/>
  <c r="S264" i="1"/>
  <c r="S331" i="1"/>
  <c r="S376" i="1"/>
  <c r="S848" i="1"/>
  <c r="S915" i="1"/>
  <c r="S983" i="1"/>
  <c r="S1027" i="1"/>
  <c r="S1072" i="1"/>
  <c r="S1228" i="1"/>
  <c r="S1272" i="1"/>
  <c r="S1317" i="1"/>
  <c r="S1362" i="1"/>
  <c r="S1384" i="1"/>
  <c r="S1430" i="1"/>
  <c r="S1519" i="1"/>
  <c r="S1563" i="1"/>
  <c r="S42" i="1"/>
  <c r="S87" i="1"/>
  <c r="S155" i="1"/>
  <c r="S221" i="1"/>
  <c r="S829" i="1"/>
  <c r="S851" i="1"/>
  <c r="S873" i="1"/>
  <c r="S941" i="1"/>
  <c r="S963" i="1"/>
  <c r="S986" i="1"/>
  <c r="S1008" i="1"/>
  <c r="S1030" i="1"/>
  <c r="S1053" i="1"/>
  <c r="S1075" i="1"/>
  <c r="S1187" i="1"/>
  <c r="S1209" i="1"/>
  <c r="S1231" i="1"/>
  <c r="S1253" i="1"/>
  <c r="S1275" i="1"/>
  <c r="S1320" i="1"/>
  <c r="S1343" i="1"/>
  <c r="S1365" i="1"/>
  <c r="S1388" i="1"/>
  <c r="S191" i="1"/>
  <c r="S236" i="1"/>
  <c r="S281" i="1"/>
  <c r="S326" i="1"/>
  <c r="S348" i="1"/>
  <c r="S393" i="1"/>
  <c r="S461" i="1"/>
  <c r="S618" i="1"/>
  <c r="S1290" i="1"/>
  <c r="S1357" i="1"/>
  <c r="S1403" i="1"/>
  <c r="S1448" i="1"/>
  <c r="S1514" i="1"/>
  <c r="S1558" i="1"/>
  <c r="S1581" i="1"/>
  <c r="S35" i="1"/>
  <c r="S102" i="1"/>
  <c r="S147" i="1"/>
  <c r="S214" i="1"/>
  <c r="S259" i="1"/>
  <c r="S327" i="1"/>
  <c r="S394" i="1"/>
  <c r="S484" i="1"/>
  <c r="S1202" i="1"/>
  <c r="S1246" i="1"/>
  <c r="S1313" i="1"/>
  <c r="S1358" i="1"/>
  <c r="S1404" i="1"/>
  <c r="S1471" i="1"/>
  <c r="S1515" i="1"/>
  <c r="S1559" i="1"/>
  <c r="S1628" i="1"/>
  <c r="S58" i="1"/>
  <c r="S103" i="1"/>
  <c r="S171" i="1"/>
  <c r="S215" i="1"/>
  <c r="S260" i="1"/>
  <c r="S305" i="1"/>
  <c r="S350" i="1"/>
  <c r="S419" i="1"/>
  <c r="S463" i="1"/>
  <c r="S980" i="1"/>
  <c r="S1047" i="1"/>
  <c r="S1203" i="1"/>
  <c r="S1247" i="1"/>
  <c r="S1359" i="1"/>
  <c r="S1427" i="1"/>
  <c r="S1494" i="1"/>
  <c r="S1560" i="1"/>
  <c r="S1629" i="1"/>
  <c r="S37" i="1"/>
  <c r="S82" i="1"/>
  <c r="S127" i="1"/>
  <c r="S172" i="1"/>
  <c r="S216" i="1"/>
  <c r="S262" i="1"/>
  <c r="S306" i="1"/>
  <c r="S351" i="1"/>
  <c r="S396" i="1"/>
  <c r="S420" i="1"/>
  <c r="S464" i="1"/>
  <c r="S936" i="1"/>
  <c r="S981" i="1"/>
  <c r="S1025" i="1"/>
  <c r="S1070" i="1"/>
  <c r="S1182" i="1"/>
  <c r="S1226" i="1"/>
  <c r="S1270" i="1"/>
  <c r="S1315" i="1"/>
  <c r="S1360" i="1"/>
  <c r="S1406" i="1"/>
  <c r="S1451" i="1"/>
  <c r="S1517" i="1"/>
  <c r="S1561" i="1"/>
  <c r="S1584" i="1"/>
  <c r="S1630" i="1"/>
  <c r="S38" i="1"/>
  <c r="S105" i="1"/>
  <c r="S151" i="1"/>
  <c r="S173" i="1"/>
  <c r="S217" i="1"/>
  <c r="S263" i="1"/>
  <c r="S307" i="1"/>
  <c r="S375" i="1"/>
  <c r="S869" i="1"/>
  <c r="S914" i="1"/>
  <c r="S959" i="1"/>
  <c r="S1004" i="1"/>
  <c r="S1049" i="1"/>
  <c r="S1183" i="1"/>
  <c r="S1227" i="1"/>
  <c r="S1271" i="1"/>
  <c r="S1316" i="1"/>
  <c r="S1361" i="1"/>
  <c r="S1407" i="1"/>
  <c r="S1452" i="1"/>
  <c r="S1474" i="1"/>
  <c r="S1540" i="1"/>
  <c r="S1562" i="1"/>
  <c r="S17" i="1"/>
  <c r="S39" i="1"/>
  <c r="S106" i="1"/>
  <c r="S152" i="1"/>
  <c r="S196" i="1"/>
  <c r="S241" i="1"/>
  <c r="S309" i="1"/>
  <c r="S353" i="1"/>
  <c r="S398" i="1"/>
  <c r="S826" i="1"/>
  <c r="S870" i="1"/>
  <c r="S893" i="1"/>
  <c r="S960" i="1"/>
  <c r="S1005" i="1"/>
  <c r="S1050" i="1"/>
  <c r="S1184" i="1"/>
  <c r="S1206" i="1"/>
  <c r="S1250" i="1"/>
  <c r="S1295" i="1"/>
  <c r="S1340" i="1"/>
  <c r="S1408" i="1"/>
  <c r="S1453" i="1"/>
  <c r="S1497" i="1"/>
  <c r="S1541" i="1"/>
  <c r="S1586" i="1"/>
  <c r="S20" i="1"/>
  <c r="S64" i="1"/>
  <c r="S109" i="1"/>
  <c r="S132" i="1"/>
  <c r="S177" i="1"/>
  <c r="S199" i="1"/>
  <c r="S244" i="1"/>
  <c r="S896" i="1"/>
  <c r="S1298" i="1"/>
  <c r="S21" i="1"/>
  <c r="S43" i="1"/>
  <c r="S65" i="1"/>
  <c r="S88" i="1"/>
  <c r="S110" i="1"/>
  <c r="S133" i="1"/>
  <c r="S156" i="1"/>
  <c r="S178" i="1"/>
  <c r="S200" i="1"/>
  <c r="S222" i="1"/>
  <c r="S448" i="1"/>
  <c r="S470" i="1"/>
  <c r="S605" i="1"/>
  <c r="S830" i="1"/>
  <c r="S852" i="1"/>
  <c r="S874" i="1"/>
  <c r="S897" i="1"/>
  <c r="S920" i="1"/>
  <c r="S942" i="1"/>
  <c r="S964" i="1"/>
  <c r="S987" i="1"/>
  <c r="S1009" i="1"/>
  <c r="S1031" i="1"/>
  <c r="S1054" i="1"/>
  <c r="S1188" i="1"/>
  <c r="S1210" i="1"/>
  <c r="S1232" i="1"/>
  <c r="S1254" i="1"/>
  <c r="S1276" i="1"/>
  <c r="S1299" i="1"/>
  <c r="S1321" i="1"/>
  <c r="S1344" i="1"/>
  <c r="S1366" i="1"/>
  <c r="S1614" i="1"/>
  <c r="S1636" i="1"/>
  <c r="S439" i="1"/>
  <c r="S1335" i="1"/>
  <c r="S1470" i="1"/>
  <c r="S1627" i="1"/>
  <c r="S57" i="1"/>
  <c r="S170" i="1"/>
  <c r="S282" i="1"/>
  <c r="S372" i="1"/>
  <c r="S440" i="1"/>
  <c r="S1291" i="1"/>
  <c r="S1426" i="1"/>
  <c r="S1582" i="1"/>
  <c r="S14" i="1"/>
  <c r="S148" i="1"/>
  <c r="S283" i="1"/>
  <c r="S395" i="1"/>
  <c r="S485" i="1"/>
  <c r="S1069" i="1"/>
  <c r="S1269" i="1"/>
  <c r="S1381" i="1"/>
  <c r="S1516" i="1"/>
  <c r="S1606" i="1"/>
  <c r="S1495" i="1"/>
  <c r="S60" i="1"/>
  <c r="S352" i="1"/>
  <c r="S847" i="1"/>
  <c r="S1585" i="1"/>
  <c r="S84" i="1"/>
  <c r="S286" i="1"/>
  <c r="S938" i="1"/>
  <c r="S1475" i="1"/>
  <c r="S918" i="1"/>
  <c r="S426" i="1"/>
  <c r="S1076" i="1"/>
  <c r="S18" i="1"/>
  <c r="S40" i="1"/>
  <c r="S62" i="1"/>
  <c r="S85" i="1"/>
  <c r="S107" i="1"/>
  <c r="S130" i="1"/>
  <c r="S153" i="1"/>
  <c r="S175" i="1"/>
  <c r="S197" i="1"/>
  <c r="S219" i="1"/>
  <c r="S242" i="1"/>
  <c r="S265" i="1"/>
  <c r="S287" i="1"/>
  <c r="S310" i="1"/>
  <c r="S332" i="1"/>
  <c r="S354" i="1"/>
  <c r="S602" i="1"/>
  <c r="S827" i="1"/>
  <c r="S849" i="1"/>
  <c r="S871" i="1"/>
  <c r="S894" i="1"/>
  <c r="S916" i="1"/>
  <c r="S939" i="1"/>
  <c r="S961" i="1"/>
  <c r="S984" i="1"/>
  <c r="S1006" i="1"/>
  <c r="S1028" i="1"/>
  <c r="S1051" i="1"/>
  <c r="S1073" i="1"/>
  <c r="S1185" i="1"/>
  <c r="S1207" i="1"/>
  <c r="S1229" i="1"/>
  <c r="S1251" i="1"/>
  <c r="S1273" i="1"/>
  <c r="S1296" i="1"/>
  <c r="S1318" i="1"/>
  <c r="S1341" i="1"/>
  <c r="S1363" i="1"/>
  <c r="S1385" i="1"/>
  <c r="S1409" i="1"/>
  <c r="S1431" i="1"/>
  <c r="S1454" i="1"/>
  <c r="S1476" i="1"/>
  <c r="S1498" i="1"/>
  <c r="S1520" i="1"/>
  <c r="S1542" i="1"/>
  <c r="S1564" i="1"/>
  <c r="S19" i="1"/>
  <c r="S41" i="1"/>
  <c r="S63" i="1"/>
  <c r="S86" i="1"/>
  <c r="S108" i="1"/>
  <c r="S131" i="1"/>
  <c r="S154" i="1"/>
  <c r="S176" i="1"/>
  <c r="S198" i="1"/>
  <c r="S220" i="1"/>
  <c r="S243" i="1"/>
  <c r="S266" i="1"/>
  <c r="S288" i="1"/>
  <c r="S828" i="1"/>
  <c r="S850" i="1"/>
  <c r="S872" i="1"/>
  <c r="S895" i="1"/>
  <c r="S917" i="1"/>
  <c r="S940" i="1"/>
  <c r="S962" i="1"/>
  <c r="S985" i="1"/>
  <c r="S1007" i="1"/>
  <c r="S1029" i="1"/>
  <c r="S1052" i="1"/>
  <c r="S1074" i="1"/>
  <c r="S1186" i="1"/>
  <c r="S1208" i="1"/>
  <c r="S1230" i="1"/>
  <c r="S1252" i="1"/>
  <c r="S1274" i="1"/>
  <c r="S1297" i="1"/>
  <c r="S1319" i="1"/>
  <c r="S1342" i="1"/>
  <c r="S1364" i="1"/>
  <c r="S1386" i="1"/>
  <c r="S1410" i="1"/>
  <c r="S1432" i="1"/>
  <c r="S44" i="1"/>
  <c r="S66" i="1"/>
  <c r="S89" i="1"/>
  <c r="S111" i="1"/>
  <c r="S134" i="1"/>
  <c r="S404" i="1"/>
  <c r="S606" i="1"/>
  <c r="S831" i="1"/>
  <c r="S853" i="1"/>
  <c r="S898" i="1"/>
  <c r="S921" i="1"/>
  <c r="S943" i="1"/>
  <c r="S965" i="1"/>
  <c r="S988" i="1"/>
  <c r="S1010" i="1"/>
  <c r="S1032" i="1"/>
  <c r="S1055" i="1"/>
  <c r="S1077" i="1"/>
  <c r="S1189" i="1"/>
  <c r="S1211" i="1"/>
  <c r="S1233" i="1"/>
  <c r="S1255" i="1"/>
  <c r="S1277" i="1"/>
  <c r="S1300" i="1"/>
  <c r="S1322" i="1"/>
  <c r="S45" i="1"/>
  <c r="S67" i="1"/>
  <c r="S90" i="1"/>
  <c r="S112" i="1"/>
  <c r="S382" i="1"/>
  <c r="S428" i="1"/>
  <c r="S450" i="1"/>
  <c r="S472" i="1"/>
  <c r="S607" i="1"/>
  <c r="S832" i="1"/>
  <c r="S854" i="1"/>
  <c r="S876" i="1"/>
  <c r="S899" i="1"/>
  <c r="S922" i="1"/>
  <c r="S944" i="1"/>
  <c r="S966" i="1"/>
  <c r="S989" i="1"/>
  <c r="S1011" i="1"/>
  <c r="S1033" i="1"/>
  <c r="S1056" i="1"/>
  <c r="S1078" i="1"/>
  <c r="S1190" i="1"/>
  <c r="S1212" i="1"/>
  <c r="S1234" i="1"/>
  <c r="S1278" i="1"/>
  <c r="S1570" i="1"/>
  <c r="S1592" i="1"/>
  <c r="S1616" i="1"/>
  <c r="S1638" i="1"/>
  <c r="S24" i="1"/>
  <c r="S46" i="1"/>
  <c r="S68" i="1"/>
  <c r="S22" i="1"/>
  <c r="S875" i="1"/>
  <c r="S23" i="1"/>
  <c r="S1256" i="1"/>
  <c r="S338" i="1"/>
  <c r="S383" i="1"/>
  <c r="S429" i="1"/>
  <c r="S473" i="1"/>
  <c r="S608" i="1"/>
  <c r="S833" i="1"/>
  <c r="S900" i="1"/>
  <c r="S945" i="1"/>
  <c r="S967" i="1"/>
  <c r="S1012" i="1"/>
  <c r="S1057" i="1"/>
  <c r="S1460" i="1"/>
  <c r="S1504" i="1"/>
  <c r="S1548" i="1"/>
  <c r="S1593" i="1"/>
  <c r="S249" i="1"/>
  <c r="S272" i="1"/>
  <c r="S339" i="1"/>
  <c r="S361" i="1"/>
  <c r="S407" i="1"/>
  <c r="S430" i="1"/>
  <c r="S474" i="1"/>
  <c r="S609" i="1"/>
  <c r="S812" i="1"/>
  <c r="S856" i="1"/>
  <c r="S878" i="1"/>
  <c r="S924" i="1"/>
  <c r="S946" i="1"/>
  <c r="S991" i="1"/>
  <c r="S1013" i="1"/>
  <c r="S1035" i="1"/>
  <c r="S1080" i="1"/>
  <c r="S1393" i="1"/>
  <c r="S1416" i="1"/>
  <c r="S1438" i="1"/>
  <c r="S1483" i="1"/>
  <c r="S1505" i="1"/>
  <c r="S1549" i="1"/>
  <c r="S1618" i="1"/>
  <c r="S138" i="1"/>
  <c r="S161" i="1"/>
  <c r="S183" i="1"/>
  <c r="S205" i="1"/>
  <c r="S228" i="1"/>
  <c r="S250" i="1"/>
  <c r="S273" i="1"/>
  <c r="S295" i="1"/>
  <c r="S318" i="1"/>
  <c r="S340" i="1"/>
  <c r="S363" i="1"/>
  <c r="S385" i="1"/>
  <c r="S408" i="1"/>
  <c r="S431" i="1"/>
  <c r="S453" i="1"/>
  <c r="S475" i="1"/>
  <c r="S610" i="1"/>
  <c r="S813" i="1"/>
  <c r="S835" i="1"/>
  <c r="S857" i="1"/>
  <c r="S879" i="1"/>
  <c r="S902" i="1"/>
  <c r="S925" i="1"/>
  <c r="S947" i="1"/>
  <c r="S970" i="1"/>
  <c r="S992" i="1"/>
  <c r="S1014" i="1"/>
  <c r="S1036" i="1"/>
  <c r="S1304" i="1"/>
  <c r="S1326" i="1"/>
  <c r="S1349" i="1"/>
  <c r="S1371" i="1"/>
  <c r="S1394" i="1"/>
  <c r="S1417" i="1"/>
  <c r="S1439" i="1"/>
  <c r="S1462" i="1"/>
  <c r="S1484" i="1"/>
  <c r="S1506" i="1"/>
  <c r="S1528" i="1"/>
  <c r="S1550" i="1"/>
  <c r="S1573" i="1"/>
  <c r="S1595" i="1"/>
  <c r="S1619" i="1"/>
  <c r="S1641" i="1"/>
  <c r="S316" i="1"/>
  <c r="S360" i="1"/>
  <c r="S451" i="1"/>
  <c r="S811" i="1"/>
  <c r="S855" i="1"/>
  <c r="S923" i="1"/>
  <c r="S990" i="1"/>
  <c r="S1079" i="1"/>
  <c r="S1482" i="1"/>
  <c r="S1571" i="1"/>
  <c r="S1639" i="1"/>
  <c r="S294" i="1"/>
  <c r="S341" i="1"/>
  <c r="S364" i="1"/>
  <c r="S386" i="1"/>
  <c r="S409" i="1"/>
  <c r="S432" i="1"/>
  <c r="S454" i="1"/>
  <c r="S476" i="1"/>
  <c r="S611" i="1"/>
  <c r="S814" i="1"/>
  <c r="S836" i="1"/>
  <c r="S858" i="1"/>
  <c r="S880" i="1"/>
  <c r="S903" i="1"/>
  <c r="S926" i="1"/>
  <c r="S948" i="1"/>
  <c r="S1194" i="1"/>
  <c r="S1216" i="1"/>
  <c r="S1238" i="1"/>
  <c r="S1260" i="1"/>
  <c r="S1282" i="1"/>
  <c r="S1305" i="1"/>
  <c r="S1327" i="1"/>
  <c r="S1350" i="1"/>
  <c r="S1372" i="1"/>
  <c r="S1395" i="1"/>
  <c r="S1418" i="1"/>
  <c r="S1440" i="1"/>
  <c r="S1463" i="1"/>
  <c r="S1485" i="1"/>
  <c r="S1507" i="1"/>
  <c r="S1529" i="1"/>
  <c r="S1551" i="1"/>
  <c r="S1574" i="1"/>
  <c r="S1596" i="1"/>
  <c r="S1620" i="1"/>
  <c r="S1642" i="1"/>
  <c r="S406" i="1"/>
  <c r="S877" i="1"/>
  <c r="S1034" i="1"/>
  <c r="S1526" i="1"/>
  <c r="S1617" i="1"/>
  <c r="S227" i="1"/>
  <c r="S317" i="1"/>
  <c r="S384" i="1"/>
  <c r="S452" i="1"/>
  <c r="S834" i="1"/>
  <c r="S901" i="1"/>
  <c r="S968" i="1"/>
  <c r="S1058" i="1"/>
  <c r="S1461" i="1"/>
  <c r="S1527" i="1"/>
  <c r="S1572" i="1"/>
  <c r="S1594" i="1"/>
  <c r="S1640" i="1"/>
  <c r="S94" i="1"/>
  <c r="S116" i="1"/>
  <c r="S139" i="1"/>
  <c r="S162" i="1"/>
  <c r="S184" i="1"/>
  <c r="S206" i="1"/>
  <c r="S229" i="1"/>
  <c r="S251" i="1"/>
  <c r="S274" i="1"/>
  <c r="S296" i="1"/>
  <c r="S319" i="1"/>
  <c r="S6" i="1"/>
  <c r="S28" i="1"/>
  <c r="S50" i="1"/>
  <c r="S72" i="1"/>
  <c r="S95" i="1"/>
  <c r="S117" i="1"/>
  <c r="S140" i="1"/>
  <c r="S163" i="1"/>
  <c r="S185" i="1"/>
  <c r="S207" i="1"/>
  <c r="S230" i="1"/>
  <c r="S252" i="1"/>
  <c r="S275" i="1"/>
  <c r="S297" i="1"/>
  <c r="S320" i="1"/>
  <c r="S342" i="1"/>
  <c r="S365" i="1"/>
  <c r="S387" i="1"/>
  <c r="S410" i="1"/>
  <c r="S433" i="1"/>
  <c r="S455" i="1"/>
  <c r="S477" i="1"/>
  <c r="S612" i="1"/>
  <c r="S815" i="1"/>
  <c r="S837" i="1"/>
  <c r="S859" i="1"/>
  <c r="S881" i="1"/>
  <c r="S904" i="1"/>
  <c r="S1195" i="1"/>
  <c r="S1217" i="1"/>
  <c r="S1239" i="1"/>
  <c r="S1261" i="1"/>
  <c r="S1283" i="1"/>
  <c r="S1306" i="1"/>
  <c r="S1328" i="1"/>
  <c r="S1351" i="1"/>
  <c r="S1373" i="1"/>
  <c r="S1396" i="1"/>
  <c r="S1419" i="1"/>
  <c r="S1441" i="1"/>
  <c r="S1464" i="1"/>
  <c r="S1486" i="1"/>
  <c r="S1508" i="1"/>
  <c r="S1530" i="1"/>
  <c r="S1552" i="1"/>
  <c r="S1575" i="1"/>
  <c r="S1597" i="1"/>
  <c r="S1621" i="1"/>
  <c r="S1643" i="1"/>
  <c r="S615" i="1"/>
  <c r="S930" i="1"/>
  <c r="S952" i="1"/>
  <c r="S975" i="1"/>
  <c r="S997" i="1"/>
  <c r="S1019" i="1"/>
  <c r="S1041" i="1"/>
  <c r="S1064" i="1"/>
  <c r="S1086" i="1"/>
  <c r="S1198" i="1"/>
  <c r="S1220" i="1"/>
  <c r="S1242" i="1"/>
  <c r="S1264" i="1"/>
  <c r="S1286" i="1"/>
  <c r="S1309" i="1"/>
  <c r="S1354" i="1"/>
  <c r="S1376" i="1"/>
  <c r="S1399" i="1"/>
  <c r="S1422" i="1"/>
  <c r="S1444" i="1"/>
  <c r="S1467" i="1"/>
  <c r="S1489" i="1"/>
  <c r="S1511" i="1"/>
  <c r="S1533" i="1"/>
  <c r="S1555" i="1"/>
  <c r="S1578" i="1"/>
  <c r="S1601" i="1"/>
  <c r="S1624" i="1"/>
  <c r="S10" i="1"/>
  <c r="S32" i="1"/>
  <c r="S54" i="1"/>
  <c r="S76" i="1"/>
  <c r="S99" i="1"/>
  <c r="S121" i="1"/>
  <c r="S144" i="1"/>
  <c r="S167" i="1"/>
  <c r="S189" i="1"/>
  <c r="S211" i="1"/>
  <c r="S234" i="1"/>
  <c r="S256" i="1"/>
  <c r="S279" i="1"/>
  <c r="S301" i="1"/>
  <c r="S324" i="1"/>
  <c r="S346" i="1"/>
  <c r="S369" i="1"/>
  <c r="S391" i="1"/>
  <c r="S414" i="1"/>
  <c r="S437" i="1"/>
  <c r="S481" i="1"/>
  <c r="S616" i="1"/>
  <c r="S819" i="1"/>
  <c r="S841" i="1"/>
  <c r="S863" i="1"/>
  <c r="S886" i="1"/>
  <c r="S908" i="1"/>
  <c r="S931" i="1"/>
  <c r="S953" i="1"/>
  <c r="S976" i="1"/>
  <c r="S998" i="1"/>
  <c r="S1020" i="1"/>
  <c r="S1042" i="1"/>
  <c r="S1065" i="1"/>
  <c r="S1087" i="1"/>
  <c r="S1199" i="1"/>
  <c r="S1221" i="1"/>
  <c r="S1243" i="1"/>
  <c r="S1265" i="1"/>
  <c r="S1310" i="1"/>
  <c r="S1332" i="1"/>
  <c r="S1355" i="1"/>
  <c r="S1377" i="1"/>
  <c r="S1400" i="1"/>
  <c r="S1423" i="1"/>
  <c r="S1445" i="1"/>
  <c r="S1468" i="1"/>
  <c r="S1490" i="1"/>
  <c r="S1512" i="1"/>
  <c r="S1534" i="1"/>
  <c r="S1556" i="1"/>
  <c r="S1579" i="1"/>
  <c r="S1602" i="1"/>
  <c r="S1625" i="1"/>
  <c r="S1331" i="1"/>
  <c r="S11" i="1"/>
  <c r="S33" i="1"/>
  <c r="S55" i="1"/>
  <c r="S77" i="1"/>
  <c r="S100" i="1"/>
  <c r="S123" i="1"/>
  <c r="S145" i="1"/>
  <c r="S168" i="1"/>
  <c r="S190" i="1"/>
  <c r="S212" i="1"/>
  <c r="S235" i="1"/>
  <c r="S257" i="1"/>
  <c r="S280" i="1"/>
  <c r="S325" i="1"/>
  <c r="S347" i="1"/>
  <c r="S370" i="1"/>
  <c r="S392" i="1"/>
  <c r="S415" i="1"/>
  <c r="S438" i="1"/>
  <c r="S460" i="1"/>
  <c r="S482" i="1"/>
  <c r="S617" i="1"/>
  <c r="S820" i="1"/>
  <c r="S842" i="1"/>
  <c r="S864" i="1"/>
  <c r="S887" i="1"/>
  <c r="S909" i="1"/>
  <c r="S932" i="1"/>
  <c r="S954" i="1"/>
  <c r="S977" i="1"/>
  <c r="S999" i="1"/>
  <c r="S1021" i="1"/>
  <c r="S1043" i="1"/>
  <c r="S1066" i="1"/>
  <c r="S1088" i="1"/>
  <c r="S1178" i="1"/>
  <c r="S1200" i="1"/>
  <c r="S1222" i="1"/>
  <c r="S1244" i="1"/>
  <c r="S1266" i="1"/>
  <c r="S1289" i="1"/>
  <c r="S1311" i="1"/>
  <c r="S1334" i="1"/>
  <c r="S1356" i="1"/>
  <c r="S1378" i="1"/>
  <c r="S1402" i="1"/>
  <c r="S1424" i="1"/>
  <c r="S1447" i="1"/>
  <c r="S1469" i="1"/>
  <c r="S1491" i="1"/>
  <c r="S1513" i="1"/>
  <c r="S1535" i="1"/>
  <c r="S1557" i="1"/>
  <c r="S1580" i="1"/>
  <c r="S1603" i="1"/>
  <c r="S1626" i="1"/>
  <c r="S670" i="1"/>
  <c r="S738" i="1"/>
  <c r="S782" i="1"/>
  <c r="S558" i="1"/>
  <c r="S648" i="1"/>
  <c r="S716" i="1"/>
  <c r="S514" i="1"/>
  <c r="S693" i="1"/>
  <c r="S760" i="1"/>
  <c r="S804" i="1"/>
  <c r="S492" i="1"/>
  <c r="S536" i="1"/>
  <c r="S580" i="1"/>
  <c r="S626" i="1"/>
  <c r="S1174" i="1"/>
  <c r="S1092" i="1"/>
  <c r="S1158" i="1"/>
  <c r="S645" i="1"/>
  <c r="S667" i="1"/>
  <c r="S690" i="1"/>
  <c r="S801" i="1"/>
  <c r="S1093" i="1"/>
  <c r="S1115" i="1"/>
  <c r="S1137" i="1"/>
  <c r="S639" i="1"/>
  <c r="S532" i="1"/>
  <c r="S576" i="1"/>
  <c r="S646" i="1"/>
  <c r="S758" i="1"/>
  <c r="S780" i="1"/>
  <c r="S802" i="1"/>
  <c r="S1094" i="1"/>
  <c r="S1116" i="1"/>
  <c r="S1138" i="1"/>
  <c r="S1160" i="1"/>
  <c r="S660" i="1"/>
  <c r="S683" i="1"/>
  <c r="S1108" i="1"/>
  <c r="S554" i="1"/>
  <c r="S644" i="1"/>
  <c r="S800" i="1"/>
  <c r="S1114" i="1"/>
  <c r="S1136" i="1"/>
  <c r="S692" i="1"/>
  <c r="S1095" i="1"/>
  <c r="S1139" i="1"/>
  <c r="S1161" i="1"/>
  <c r="S1130" i="1"/>
  <c r="S1152" i="1"/>
  <c r="S540" i="1"/>
  <c r="S584" i="1"/>
  <c r="S630" i="1"/>
  <c r="S674" i="1"/>
  <c r="S720" i="1"/>
  <c r="S764" i="1"/>
  <c r="S653" i="1"/>
  <c r="S698" i="1"/>
  <c r="S743" i="1"/>
  <c r="S787" i="1"/>
  <c r="S1123" i="1"/>
  <c r="S1167" i="1"/>
  <c r="S654" i="1"/>
  <c r="S699" i="1"/>
  <c r="S722" i="1"/>
  <c r="S744" i="1"/>
  <c r="S766" i="1"/>
  <c r="S788" i="1"/>
  <c r="S1102" i="1"/>
  <c r="S1159" i="1"/>
  <c r="S518" i="1"/>
  <c r="S562" i="1"/>
  <c r="S652" i="1"/>
  <c r="S697" i="1"/>
  <c r="S742" i="1"/>
  <c r="S786" i="1"/>
  <c r="S808" i="1"/>
  <c r="S1144" i="1"/>
  <c r="S631" i="1"/>
  <c r="S675" i="1"/>
  <c r="S721" i="1"/>
  <c r="S765" i="1"/>
  <c r="S809" i="1"/>
  <c r="S1101" i="1"/>
  <c r="S632" i="1"/>
  <c r="S677" i="1"/>
  <c r="S633" i="1"/>
  <c r="S655" i="1"/>
  <c r="S678" i="1"/>
  <c r="S700" i="1"/>
  <c r="S638" i="1"/>
  <c r="S634" i="1"/>
  <c r="S656" i="1"/>
  <c r="S1104" i="1"/>
  <c r="S1126" i="1"/>
  <c r="S1148" i="1"/>
  <c r="S661" i="1"/>
  <c r="S1117" i="1"/>
  <c r="S680" i="1"/>
  <c r="S747" i="1"/>
  <c r="S791" i="1"/>
  <c r="S1105" i="1"/>
  <c r="S792" i="1"/>
  <c r="S567" i="1"/>
  <c r="S702" i="1"/>
  <c r="S1127" i="1"/>
  <c r="S703" i="1"/>
  <c r="S1128" i="1"/>
  <c r="S666" i="1"/>
  <c r="S1100" i="1"/>
  <c r="S1166" i="1"/>
  <c r="S1111" i="1"/>
  <c r="S1133" i="1"/>
  <c r="S734" i="1"/>
  <c r="S756" i="1"/>
  <c r="S778" i="1"/>
  <c r="S1124" i="1"/>
  <c r="S1146" i="1"/>
  <c r="S1168" i="1"/>
  <c r="S1112" i="1"/>
  <c r="S1134" i="1"/>
  <c r="S1156" i="1"/>
  <c r="S625" i="1"/>
  <c r="S647" i="1"/>
  <c r="S669" i="1"/>
  <c r="S691" i="1"/>
  <c r="S713" i="1"/>
  <c r="S735" i="1"/>
  <c r="S757" i="1"/>
  <c r="S779" i="1"/>
  <c r="S1103" i="1"/>
  <c r="S1125" i="1"/>
  <c r="S1147" i="1"/>
  <c r="S1169" i="1"/>
  <c r="S694" i="1"/>
  <c r="S717" i="1"/>
  <c r="S739" i="1"/>
  <c r="S761" i="1"/>
  <c r="S783" i="1"/>
  <c r="S805" i="1"/>
  <c r="S695" i="1"/>
  <c r="S718" i="1"/>
  <c r="S740" i="1"/>
  <c r="S762" i="1"/>
  <c r="S784" i="1"/>
  <c r="S806" i="1"/>
  <c r="S696" i="1"/>
  <c r="S523" i="1"/>
  <c r="S545" i="1"/>
  <c r="S589" i="1"/>
  <c r="S635" i="1"/>
  <c r="S657" i="1"/>
  <c r="S725" i="1"/>
  <c r="S769" i="1"/>
  <c r="S1149" i="1"/>
  <c r="S1171" i="1"/>
  <c r="S636" i="1"/>
  <c r="S658" i="1"/>
  <c r="S681" i="1"/>
  <c r="S726" i="1"/>
  <c r="S748" i="1"/>
  <c r="S770" i="1"/>
  <c r="S1106" i="1"/>
  <c r="S1150" i="1"/>
  <c r="S1172" i="1"/>
  <c r="S637" i="1"/>
  <c r="S659" i="1"/>
  <c r="S682" i="1"/>
  <c r="S704" i="1"/>
  <c r="S727" i="1"/>
  <c r="S749" i="1"/>
  <c r="S771" i="1"/>
  <c r="S793" i="1"/>
  <c r="S1107" i="1"/>
  <c r="S1129" i="1"/>
  <c r="S1151" i="1"/>
  <c r="S1173" i="1"/>
  <c r="S1122" i="1"/>
  <c r="S689" i="1"/>
  <c r="S1145" i="1"/>
  <c r="S1155" i="1"/>
  <c r="S712" i="1"/>
  <c r="S509" i="1"/>
  <c r="S531" i="1"/>
  <c r="S553" i="1"/>
  <c r="S575" i="1"/>
  <c r="S510" i="1"/>
  <c r="S714" i="1"/>
  <c r="S736" i="1"/>
  <c r="S1170" i="1"/>
  <c r="S525" i="1"/>
  <c r="S546" i="1"/>
  <c r="S547" i="1"/>
  <c r="S489" i="1"/>
  <c r="S511" i="1"/>
  <c r="S533" i="1"/>
  <c r="S555" i="1"/>
  <c r="S577" i="1"/>
  <c r="S490" i="1"/>
  <c r="S512" i="1"/>
  <c r="S534" i="1"/>
  <c r="S556" i="1"/>
  <c r="S578" i="1"/>
  <c r="S491" i="1"/>
  <c r="S513" i="1"/>
  <c r="S535" i="1"/>
  <c r="S557" i="1"/>
  <c r="S579" i="1"/>
  <c r="S715" i="1"/>
  <c r="S737" i="1"/>
  <c r="S759" i="1"/>
  <c r="S781" i="1"/>
  <c r="S803" i="1"/>
  <c r="S1096" i="1"/>
  <c r="S1118" i="1"/>
  <c r="S1140" i="1"/>
  <c r="S1162" i="1"/>
  <c r="S493" i="1"/>
  <c r="S515" i="1"/>
  <c r="S537" i="1"/>
  <c r="S559" i="1"/>
  <c r="S581" i="1"/>
  <c r="S627" i="1"/>
  <c r="S649" i="1"/>
  <c r="S671" i="1"/>
  <c r="S1097" i="1"/>
  <c r="S1119" i="1"/>
  <c r="S1141" i="1"/>
  <c r="S1163" i="1"/>
  <c r="S494" i="1"/>
  <c r="S516" i="1"/>
  <c r="S538" i="1"/>
  <c r="S560" i="1"/>
  <c r="S582" i="1"/>
  <c r="S628" i="1"/>
  <c r="S650" i="1"/>
  <c r="S672" i="1"/>
  <c r="S1098" i="1"/>
  <c r="S1120" i="1"/>
  <c r="S1142" i="1"/>
  <c r="S1164" i="1"/>
  <c r="S517" i="1"/>
  <c r="S539" i="1"/>
  <c r="S561" i="1"/>
  <c r="S583" i="1"/>
  <c r="S629" i="1"/>
  <c r="S651" i="1"/>
  <c r="S673" i="1"/>
  <c r="S719" i="1"/>
  <c r="S741" i="1"/>
  <c r="S763" i="1"/>
  <c r="S785" i="1"/>
  <c r="S807" i="1"/>
  <c r="S1099" i="1"/>
  <c r="S1121" i="1"/>
  <c r="S1143" i="1"/>
  <c r="S1165" i="1"/>
  <c r="S519" i="1"/>
  <c r="S541" i="1"/>
  <c r="S563" i="1"/>
  <c r="S585" i="1"/>
  <c r="S520" i="1"/>
  <c r="S542" i="1"/>
  <c r="S564" i="1"/>
  <c r="S586" i="1"/>
  <c r="S521" i="1"/>
  <c r="S543" i="1"/>
  <c r="S565" i="1"/>
  <c r="S587" i="1"/>
  <c r="S723" i="1"/>
  <c r="S745" i="1"/>
  <c r="S767" i="1"/>
  <c r="S789" i="1"/>
  <c r="S522" i="1"/>
  <c r="S544" i="1"/>
  <c r="S566" i="1"/>
  <c r="S588" i="1"/>
  <c r="S679" i="1"/>
  <c r="S701" i="1"/>
  <c r="S724" i="1"/>
  <c r="S746" i="1"/>
  <c r="S768" i="1"/>
  <c r="S790" i="1"/>
  <c r="S524" i="1"/>
  <c r="S568" i="1"/>
  <c r="S569" i="1"/>
  <c r="S526" i="1"/>
  <c r="S570" i="1"/>
  <c r="S706" i="1"/>
  <c r="S750" i="1"/>
  <c r="S794" i="1"/>
  <c r="S505" i="1"/>
  <c r="S549" i="1"/>
  <c r="S593" i="1"/>
  <c r="S684" i="1"/>
  <c r="S707" i="1"/>
  <c r="S751" i="1"/>
  <c r="S795" i="1"/>
  <c r="S1153" i="1"/>
  <c r="S506" i="1"/>
  <c r="S550" i="1"/>
  <c r="S594" i="1"/>
  <c r="S640" i="1"/>
  <c r="S685" i="1"/>
  <c r="S708" i="1"/>
  <c r="S752" i="1"/>
  <c r="S796" i="1"/>
  <c r="S1132" i="1"/>
  <c r="S1176" i="1"/>
  <c r="S676" i="1"/>
  <c r="S507" i="1"/>
  <c r="S551" i="1"/>
  <c r="S595" i="1"/>
  <c r="S663" i="1"/>
  <c r="S709" i="1"/>
  <c r="S731" i="1"/>
  <c r="S775" i="1"/>
  <c r="S508" i="1"/>
  <c r="S530" i="1"/>
  <c r="S552" i="1"/>
  <c r="S574" i="1"/>
  <c r="S642" i="1"/>
  <c r="S664" i="1"/>
  <c r="S687" i="1"/>
  <c r="S710" i="1"/>
  <c r="S732" i="1"/>
  <c r="S754" i="1"/>
  <c r="S776" i="1"/>
  <c r="S798" i="1"/>
  <c r="S590" i="1"/>
  <c r="S503" i="1"/>
  <c r="S591" i="1"/>
  <c r="S504" i="1"/>
  <c r="S548" i="1"/>
  <c r="S592" i="1"/>
  <c r="S728" i="1"/>
  <c r="S772" i="1"/>
  <c r="S527" i="1"/>
  <c r="S571" i="1"/>
  <c r="S729" i="1"/>
  <c r="S773" i="1"/>
  <c r="S1109" i="1"/>
  <c r="S1131" i="1"/>
  <c r="S1175" i="1"/>
  <c r="S528" i="1"/>
  <c r="S572" i="1"/>
  <c r="S662" i="1"/>
  <c r="S730" i="1"/>
  <c r="S774" i="1"/>
  <c r="S1110" i="1"/>
  <c r="S1154" i="1"/>
  <c r="S529" i="1"/>
  <c r="S573" i="1"/>
  <c r="S641" i="1"/>
  <c r="S686" i="1"/>
  <c r="S753" i="1"/>
  <c r="S797" i="1"/>
  <c r="S643" i="1"/>
  <c r="S665" i="1"/>
  <c r="S688" i="1"/>
  <c r="S711" i="1"/>
  <c r="S733" i="1"/>
  <c r="S755" i="1"/>
  <c r="S777" i="1"/>
  <c r="S799" i="1"/>
  <c r="S1091" i="1"/>
  <c r="S1113" i="1"/>
  <c r="S1135" i="1"/>
  <c r="S1157" i="1"/>
  <c r="S495" i="1"/>
  <c r="S496" i="1"/>
  <c r="S497" i="1"/>
  <c r="S498" i="1"/>
  <c r="S499" i="1"/>
  <c r="S500" i="1"/>
  <c r="S501" i="1"/>
  <c r="S502" i="1"/>
  <c r="S2" i="1"/>
  <c r="S388" i="1" l="1"/>
  <c r="S389" i="1"/>
  <c r="S1329" i="1"/>
  <c r="S49" i="1"/>
  <c r="S1082" i="1"/>
  <c r="S47" i="1"/>
  <c r="S1015" i="1"/>
  <c r="S1281" i="1"/>
  <c r="S334" i="1"/>
  <c r="S79" i="1"/>
  <c r="S1488" i="1"/>
  <c r="S817" i="1"/>
  <c r="S1523" i="1"/>
  <c r="S1324" i="1"/>
  <c r="S1632" i="1"/>
  <c r="S399" i="1"/>
  <c r="S1465" i="1"/>
  <c r="S1262" i="1"/>
  <c r="S1267" i="1"/>
  <c r="S601" i="1"/>
  <c r="S208" i="1"/>
  <c r="S188" i="1"/>
  <c r="S113" i="1"/>
  <c r="S141" i="1"/>
  <c r="S621" i="1"/>
  <c r="S74" i="1"/>
  <c r="S186" i="1"/>
  <c r="S96" i="1"/>
  <c r="S182" i="1"/>
  <c r="S972" i="1"/>
  <c r="S905" i="1"/>
  <c r="S322" i="1"/>
  <c r="S1060" i="1"/>
  <c r="S1307" i="1"/>
  <c r="S1635" i="1"/>
  <c r="S478" i="1"/>
  <c r="S357" i="1"/>
  <c r="S115" i="1"/>
  <c r="S1524" i="1"/>
  <c r="S267" i="1"/>
  <c r="S136" i="1"/>
  <c r="S824" i="1"/>
  <c r="S1613" i="1"/>
  <c r="S5" i="1"/>
  <c r="S1522" i="1"/>
  <c r="S411" i="1"/>
  <c r="S1610" i="1"/>
  <c r="S358" i="1"/>
  <c r="S166" i="1"/>
  <c r="S996" i="1"/>
  <c r="S52" i="1"/>
  <c r="S446" i="1"/>
  <c r="S298" i="1"/>
  <c r="S1611" i="1"/>
  <c r="S359" i="1"/>
  <c r="S910" i="1"/>
  <c r="S1301" i="1"/>
  <c r="S91" i="1"/>
  <c r="S29" i="1"/>
  <c r="S30" i="1"/>
  <c r="S1038" i="1"/>
  <c r="S603" i="1"/>
  <c r="S597" i="1"/>
  <c r="S157" i="1"/>
  <c r="S425" i="1"/>
  <c r="S1352" i="1"/>
  <c r="S209" i="1"/>
  <c r="S598" i="1"/>
  <c r="S56" i="1"/>
  <c r="S1197" i="1"/>
  <c r="S1637" i="1"/>
  <c r="S203" i="1"/>
  <c r="S1589" i="1"/>
  <c r="S622" i="1"/>
  <c r="S377" i="1"/>
  <c r="S12" i="1"/>
  <c r="S233" i="1"/>
  <c r="S1063" i="1"/>
  <c r="S1615" i="1"/>
  <c r="S181" i="1"/>
  <c r="S1544" i="1"/>
  <c r="S1240" i="1"/>
  <c r="S868" i="1"/>
  <c r="S165" i="1"/>
  <c r="S378" i="1"/>
  <c r="S34" i="1"/>
  <c r="S210" i="1"/>
  <c r="S289" i="1"/>
  <c r="S159" i="1"/>
  <c r="S1500" i="1"/>
  <c r="S846" i="1"/>
  <c r="S142" i="1"/>
  <c r="S1569" i="1"/>
  <c r="S333" i="1"/>
  <c r="S1346" i="1"/>
  <c r="S1481" i="1"/>
  <c r="S935" i="1"/>
  <c r="S8" i="1"/>
  <c r="S1325" i="1"/>
  <c r="S1437" i="1"/>
  <c r="S355" i="1"/>
  <c r="S1434" i="1"/>
  <c r="S1588" i="1"/>
  <c r="S1565" i="1"/>
  <c r="S1577" i="1"/>
  <c r="S1576" i="1"/>
  <c r="S1303" i="1"/>
  <c r="S424" i="1"/>
  <c r="S1397" i="1"/>
  <c r="S336" i="1"/>
  <c r="S1554" i="1"/>
  <c r="S311" i="1"/>
  <c r="S31" i="1"/>
  <c r="S224" i="1"/>
  <c r="S1532" i="1"/>
  <c r="S1236" i="1"/>
  <c r="S1543" i="1"/>
  <c r="S1420" i="1"/>
  <c r="S1374" i="1"/>
  <c r="S137" i="1"/>
  <c r="S92" i="1"/>
  <c r="S69" i="1"/>
  <c r="S3" i="1"/>
  <c r="S434" i="1"/>
  <c r="S973" i="1"/>
  <c r="S1566" i="1"/>
  <c r="S1389" i="1"/>
  <c r="S861" i="1"/>
  <c r="S1567" i="1"/>
  <c r="S1369" i="1"/>
  <c r="S202" i="1"/>
  <c r="S1368" i="1"/>
  <c r="S845" i="1"/>
  <c r="S1510" i="1"/>
  <c r="S1509" i="1"/>
  <c r="S1214" i="1"/>
  <c r="S1499" i="1"/>
  <c r="S356" i="1"/>
  <c r="S934" i="1"/>
  <c r="S1085" i="1"/>
  <c r="S1501" i="1"/>
  <c r="S1302" i="1"/>
  <c r="S403" i="1"/>
  <c r="S421" i="1"/>
  <c r="S292" i="1"/>
  <c r="S456" i="1"/>
  <c r="S335" i="1"/>
  <c r="S1237" i="1"/>
  <c r="S1591" i="1"/>
  <c r="S1443" i="1"/>
  <c r="S1478" i="1"/>
  <c r="S1017" i="1"/>
  <c r="S276" i="1"/>
  <c r="S1456" i="1"/>
  <c r="S290" i="1"/>
  <c r="S1442" i="1"/>
  <c r="S180" i="1"/>
  <c r="S231" i="1"/>
  <c r="S884" i="1"/>
  <c r="S269" i="1"/>
  <c r="S1433" i="1"/>
  <c r="S1213" i="1"/>
  <c r="S268" i="1"/>
  <c r="S1633" i="1"/>
  <c r="S135" i="1"/>
  <c r="S164" i="1"/>
  <c r="S1179" i="1"/>
  <c r="S1023" i="1"/>
  <c r="S1353" i="1"/>
  <c r="S1191" i="1"/>
  <c r="S245" i="1"/>
  <c r="S1587" i="1"/>
  <c r="S1348" i="1"/>
  <c r="S7" i="1"/>
  <c r="S1044" i="1"/>
  <c r="S1001" i="1"/>
  <c r="S1330" i="1"/>
  <c r="S223" i="1"/>
  <c r="S604" i="1"/>
  <c r="S293" i="1"/>
  <c r="S465" i="1"/>
  <c r="S277" i="1"/>
  <c r="S623" i="1"/>
  <c r="S979" i="1"/>
  <c r="S201" i="1"/>
  <c r="S469" i="1"/>
  <c r="S271" i="1"/>
  <c r="S1634" i="1"/>
  <c r="S444" i="1"/>
  <c r="S27" i="1"/>
  <c r="S254" i="1"/>
  <c r="S1062" i="1"/>
  <c r="S73" i="1"/>
  <c r="S840" i="1"/>
  <c r="S1263" i="1"/>
  <c r="S179" i="1"/>
  <c r="S447" i="1"/>
  <c r="S928" i="1"/>
  <c r="S118" i="1"/>
  <c r="S119" i="1"/>
  <c r="S232" i="1"/>
  <c r="S1037" i="1"/>
  <c r="S25" i="1"/>
  <c r="S600" i="1"/>
  <c r="S443" i="1"/>
  <c r="S466" i="1"/>
  <c r="S971" i="1"/>
  <c r="S71" i="1"/>
  <c r="S1280" i="1"/>
  <c r="S4" i="1"/>
  <c r="S1241" i="1"/>
  <c r="S1545" i="1"/>
  <c r="S158" i="1"/>
  <c r="S423" i="1"/>
  <c r="S1323" i="1"/>
  <c r="S823" i="1"/>
  <c r="S1487" i="1"/>
  <c r="S1192" i="1"/>
  <c r="S422" i="1"/>
  <c r="S488" i="1"/>
</calcChain>
</file>

<file path=xl/sharedStrings.xml><?xml version="1.0" encoding="utf-8"?>
<sst xmlns="http://schemas.openxmlformats.org/spreadsheetml/2006/main" count="6679" uniqueCount="131">
  <si>
    <t>fire_ID</t>
  </si>
  <si>
    <t>fire_name</t>
  </si>
  <si>
    <t>state</t>
  </si>
  <si>
    <t>cause</t>
  </si>
  <si>
    <t>size</t>
  </si>
  <si>
    <t>final_size</t>
  </si>
  <si>
    <t>fire_day</t>
  </si>
  <si>
    <t>As_growth</t>
  </si>
  <si>
    <t>ECTC</t>
  </si>
  <si>
    <t>EOTC</t>
  </si>
  <si>
    <t>ES</t>
  </si>
  <si>
    <t>MEDS</t>
  </si>
  <si>
    <t>WSC_adj</t>
  </si>
  <si>
    <t>fuel_elev</t>
  </si>
  <si>
    <t>t_C_sfc</t>
  </si>
  <si>
    <t>RH_sfc</t>
  </si>
  <si>
    <t xml:space="preserve">VPD_sfc </t>
  </si>
  <si>
    <t>spd_sfc</t>
  </si>
  <si>
    <t>spd_700</t>
  </si>
  <si>
    <t>hour_1000</t>
  </si>
  <si>
    <t>zhvi_not_adj</t>
  </si>
  <si>
    <t>zhvi</t>
  </si>
  <si>
    <t xml:space="preserve">FOUS_True </t>
  </si>
  <si>
    <t>sum_6</t>
  </si>
  <si>
    <t>sum_20</t>
  </si>
  <si>
    <t>antelope</t>
  </si>
  <si>
    <t>CA</t>
  </si>
  <si>
    <t>archiecrk</t>
  </si>
  <si>
    <t>OR</t>
  </si>
  <si>
    <t>badger</t>
  </si>
  <si>
    <t>ID</t>
  </si>
  <si>
    <t>beachiecrk</t>
  </si>
  <si>
    <t>bighorn</t>
  </si>
  <si>
    <t>AZ</t>
  </si>
  <si>
    <t>black</t>
  </si>
  <si>
    <t>NM</t>
  </si>
  <si>
    <t>bobcat</t>
  </si>
  <si>
    <t>bootleg</t>
  </si>
  <si>
    <t>bush</t>
  </si>
  <si>
    <t>caldor</t>
  </si>
  <si>
    <t>cameronpk</t>
  </si>
  <si>
    <t>CO</t>
  </si>
  <si>
    <t>cougarpk</t>
  </si>
  <si>
    <t>creek</t>
  </si>
  <si>
    <t>dixie</t>
  </si>
  <si>
    <t>dolan</t>
  </si>
  <si>
    <t>easttrblsm</t>
  </si>
  <si>
    <t>holidayfrm</t>
  </si>
  <si>
    <t>lionshead</t>
  </si>
  <si>
    <t>mcfarland</t>
  </si>
  <si>
    <t>monument</t>
  </si>
  <si>
    <t>moose</t>
  </si>
  <si>
    <t>mullen</t>
  </si>
  <si>
    <t>WY</t>
  </si>
  <si>
    <t>pinegulch</t>
  </si>
  <si>
    <t>richardspr</t>
  </si>
  <si>
    <t>MT</t>
  </si>
  <si>
    <t>riverside</t>
  </si>
  <si>
    <t>schneiderspr</t>
  </si>
  <si>
    <t>WA</t>
  </si>
  <si>
    <t>slater</t>
  </si>
  <si>
    <t>telegraph</t>
  </si>
  <si>
    <t>whitney</t>
  </si>
  <si>
    <t>woodhead</t>
  </si>
  <si>
    <t>acres_growth</t>
  </si>
  <si>
    <t>daily_WSC_adj</t>
  </si>
  <si>
    <t>daily_WSC_adj_CPA</t>
  </si>
  <si>
    <t>lightning</t>
  </si>
  <si>
    <t>human</t>
  </si>
  <si>
    <t>undetermined</t>
  </si>
  <si>
    <t>negative_only</t>
  </si>
  <si>
    <t>neg_squared</t>
  </si>
  <si>
    <t/>
  </si>
  <si>
    <t>negative_only2</t>
  </si>
  <si>
    <t>Fire ID</t>
  </si>
  <si>
    <t>Fire Name</t>
  </si>
  <si>
    <t>State</t>
  </si>
  <si>
    <t>ES Count</t>
  </si>
  <si>
    <t>Final WSC</t>
  </si>
  <si>
    <t>Arizona</t>
  </si>
  <si>
    <t>California</t>
  </si>
  <si>
    <t>Bighorn</t>
  </si>
  <si>
    <t>Bobcat</t>
  </si>
  <si>
    <t>Creek</t>
  </si>
  <si>
    <t>Dixie</t>
  </si>
  <si>
    <t>Dolan</t>
  </si>
  <si>
    <t>McFarland</t>
  </si>
  <si>
    <t>Telegraph</t>
  </si>
  <si>
    <t>Whitney</t>
  </si>
  <si>
    <t>Washington</t>
  </si>
  <si>
    <t>Range</t>
  </si>
  <si>
    <t>Strength</t>
  </si>
  <si>
    <t>0.00–0.19</t>
  </si>
  <si>
    <t>Very Weak</t>
  </si>
  <si>
    <t>0.20–0.39</t>
  </si>
  <si>
    <t>Weak</t>
  </si>
  <si>
    <t>0.40–0.69</t>
  </si>
  <si>
    <t>Moderate</t>
  </si>
  <si>
    <t>0.70–1.00</t>
  </si>
  <si>
    <t>Strong</t>
  </si>
  <si>
    <t>100% suppression</t>
  </si>
  <si>
    <t>Confine 25</t>
  </si>
  <si>
    <t>Point Zone Protection 25</t>
  </si>
  <si>
    <t>Full Suppression 25</t>
  </si>
  <si>
    <t>40% monitor, 60% suppression</t>
  </si>
  <si>
    <t>50% PZP, 50% suppression</t>
  </si>
  <si>
    <t xml:space="preserve">100% PZP - day 9/19-20 change to 100% suppression </t>
  </si>
  <si>
    <t>60% confine, 40% suppression</t>
  </si>
  <si>
    <t>100% point zone protection - day 2! Switche dto full suppression</t>
  </si>
  <si>
    <t>25,25,25,25 monitor, confine, point zone protection, full suppression - LF pair has a different strategy of full suppression day 1, day 3 switches to 100% suppression</t>
  </si>
  <si>
    <t>MIN</t>
  </si>
  <si>
    <t>MAX</t>
  </si>
  <si>
    <t>MEAN</t>
  </si>
  <si>
    <t>MEDIAN</t>
  </si>
  <si>
    <t>FOUS</t>
  </si>
  <si>
    <t>Sfc wind speed</t>
  </si>
  <si>
    <t>LF</t>
  </si>
  <si>
    <t>Daily Growth</t>
  </si>
  <si>
    <t>700mb Wind Speed</t>
  </si>
  <si>
    <t>Archie Creek</t>
  </si>
  <si>
    <t>Black</t>
  </si>
  <si>
    <t>Bush</t>
  </si>
  <si>
    <t>Cameron Peak</t>
  </si>
  <si>
    <t>Lionshead</t>
  </si>
  <si>
    <t>Slater</t>
  </si>
  <si>
    <t>Mullen</t>
  </si>
  <si>
    <t>Holiday Farm</t>
  </si>
  <si>
    <t>Riverside</t>
  </si>
  <si>
    <t>Richard Springs</t>
  </si>
  <si>
    <t># days w/ both</t>
  </si>
  <si>
    <t xml:space="preserve">Daily Growth &amp; 700mb Wind Speed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</si>
</sst>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&quot;$&quot;#,##0"/>
    <numFmt numFmtId="166" formatCode="_(* #,##0_);_(* \(#,##0\);_(* &quot;-&quot;??_);_(@_)"/>
    <numFmt numFmtId="167" formatCode="&quot;$&quot;#,##0.00"/>
  </numFmts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color rgb="FF000000"/>
      <name val="Lucida Console"/>
      <family val="3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2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5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1" fontId="0" fillId="0" borderId="0" xfId="0" applyNumberFormat="1"/>
    <xf numFmtId="1" fontId="4" fillId="0" borderId="0" xfId="0" applyNumberFormat="1" applyFont="1" applyAlignment="1">
      <alignment horizontal="right"/>
    </xf>
    <xf numFmtId="0" fontId="2" fillId="0" borderId="0" xfId="0" applyFont="1" applyAlignment="1">
      <alignment vertical="top"/>
    </xf>
    <xf numFmtId="3" fontId="2" fillId="0" borderId="0" xfId="0" applyNumberFormat="1" applyFont="1"/>
    <xf numFmtId="1" fontId="2" fillId="0" borderId="0" xfId="0" applyNumberFormat="1" applyFont="1" applyAlignment="1">
      <alignment wrapText="1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2" fontId="5" fillId="0" borderId="2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 vertical="top"/>
    </xf>
    <xf numFmtId="2" fontId="0" fillId="2" borderId="0" xfId="0" applyNumberFormat="1" applyFill="1"/>
    <xf numFmtId="165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  <xf numFmtId="0" fontId="7" fillId="0" borderId="0" xfId="0" applyFont="1" applyAlignment="1">
      <alignment vertical="center"/>
    </xf>
    <xf numFmtId="0" fontId="7" fillId="4" borderId="0" xfId="0" applyFont="1" applyFill="1" applyAlignment="1">
      <alignment vertical="center"/>
    </xf>
    <xf numFmtId="0" fontId="0" fillId="5" borderId="0" xfId="0" applyFill="1"/>
    <xf numFmtId="0" fontId="8" fillId="3" borderId="0" xfId="0" applyFont="1" applyFill="1" applyAlignment="1">
      <alignment horizontal="center" vertical="top"/>
    </xf>
    <xf numFmtId="3" fontId="8" fillId="3" borderId="0" xfId="0" applyNumberFormat="1" applyFont="1" applyFill="1" applyAlignment="1">
      <alignment horizontal="center" vertical="top"/>
    </xf>
    <xf numFmtId="165" fontId="8" fillId="3" borderId="0" xfId="0" applyNumberFormat="1" applyFont="1" applyFill="1" applyAlignment="1">
      <alignment horizontal="center" vertical="top"/>
    </xf>
    <xf numFmtId="0" fontId="9" fillId="0" borderId="0" xfId="0" applyFont="1" applyAlignment="1">
      <alignment horizontal="center"/>
    </xf>
    <xf numFmtId="0" fontId="9" fillId="0" borderId="0" xfId="0" applyFont="1"/>
    <xf numFmtId="3" fontId="9" fillId="0" borderId="0" xfId="0" applyNumberFormat="1" applyFont="1"/>
    <xf numFmtId="165" fontId="9" fillId="0" borderId="0" xfId="0" applyNumberFormat="1" applyFont="1"/>
    <xf numFmtId="0" fontId="0" fillId="6" borderId="0" xfId="0" applyFill="1"/>
    <xf numFmtId="2" fontId="0" fillId="6" borderId="0" xfId="0" applyNumberFormat="1" applyFill="1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0" borderId="0" xfId="0" applyAlignment="1">
      <alignment horizontal="left"/>
    </xf>
    <xf numFmtId="0" fontId="0" fillId="7" borderId="0" xfId="0" applyFill="1" applyAlignment="1">
      <alignment horizontal="left"/>
    </xf>
    <xf numFmtId="164" fontId="0" fillId="0" borderId="0" xfId="0" applyNumberFormat="1" applyAlignment="1">
      <alignment horizontal="left"/>
    </xf>
    <xf numFmtId="0" fontId="0" fillId="3" borderId="0" xfId="0" applyFill="1" applyAlignment="1">
      <alignment horizontal="left"/>
    </xf>
    <xf numFmtId="166" fontId="0" fillId="0" borderId="0" xfId="1" applyNumberFormat="1" applyFont="1"/>
    <xf numFmtId="0" fontId="1" fillId="8" borderId="1" xfId="0" applyFont="1" applyFill="1" applyBorder="1" applyAlignment="1">
      <alignment horizontal="center" vertical="top"/>
    </xf>
    <xf numFmtId="0" fontId="0" fillId="8" borderId="0" xfId="0" applyFill="1"/>
    <xf numFmtId="166" fontId="9" fillId="0" borderId="0" xfId="1" applyNumberFormat="1" applyFont="1"/>
    <xf numFmtId="164" fontId="9" fillId="0" borderId="0" xfId="0" applyNumberFormat="1" applyFont="1"/>
    <xf numFmtId="0" fontId="11" fillId="3" borderId="0" xfId="0" applyFont="1" applyFill="1" applyAlignment="1">
      <alignment horizontal="center" vertical="top"/>
    </xf>
    <xf numFmtId="166" fontId="11" fillId="3" borderId="0" xfId="1" applyNumberFormat="1" applyFont="1" applyFill="1" applyBorder="1" applyAlignment="1">
      <alignment horizontal="center" vertical="top"/>
    </xf>
    <xf numFmtId="164" fontId="11" fillId="3" borderId="0" xfId="0" applyNumberFormat="1" applyFont="1" applyFill="1" applyAlignment="1">
      <alignment horizontal="center" vertical="top"/>
    </xf>
    <xf numFmtId="165" fontId="9" fillId="3" borderId="0" xfId="0" applyNumberFormat="1" applyFont="1" applyFill="1" applyAlignment="1">
      <alignment horizontal="center"/>
    </xf>
    <xf numFmtId="0" fontId="9" fillId="6" borderId="0" xfId="0" applyFont="1" applyFill="1" applyAlignment="1">
      <alignment horizontal="center"/>
    </xf>
    <xf numFmtId="167" fontId="9" fillId="6" borderId="0" xfId="0" applyNumberFormat="1" applyFont="1" applyFill="1" applyAlignment="1">
      <alignment horizontal="center"/>
    </xf>
    <xf numFmtId="0" fontId="9" fillId="6" borderId="0" xfId="0" applyFont="1" applyFill="1"/>
    <xf numFmtId="166" fontId="9" fillId="6" borderId="0" xfId="1" applyNumberFormat="1" applyFont="1" applyFill="1"/>
    <xf numFmtId="164" fontId="9" fillId="6" borderId="0" xfId="0" applyNumberFormat="1" applyFont="1" applyFill="1"/>
    <xf numFmtId="165" fontId="9" fillId="6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1650"/>
  <sheetViews>
    <sheetView zoomScale="80" workbookViewId="0">
      <pane xSplit="2" topLeftCell="C1" activePane="topRight" state="frozen"/>
      <selection pane="topRight" activeCell="I717" sqref="I717"/>
    </sheetView>
  </sheetViews>
  <sheetFormatPr defaultRowHeight="15" x14ac:dyDescent="0.25"/>
  <cols>
    <col min="1" max="1" width="5.5703125" customWidth="1"/>
    <col min="3" max="3" width="12.42578125" customWidth="1"/>
    <col min="4" max="4" width="8.7109375" customWidth="1"/>
    <col min="5" max="5" width="16.42578125" customWidth="1"/>
    <col min="6" max="6" width="8.85546875" customWidth="1"/>
    <col min="7" max="7" width="19.42578125" customWidth="1"/>
    <col min="8" max="8" width="10.85546875" customWidth="1"/>
    <col min="9" max="9" width="13.140625" customWidth="1"/>
    <col min="10" max="10" width="7.140625" customWidth="1"/>
    <col min="11" max="11" width="14.85546875" customWidth="1"/>
    <col min="12" max="12" width="13.7109375" customWidth="1"/>
    <col min="13" max="13" width="8.7109375" customWidth="1"/>
    <col min="14" max="14" width="8.42578125" customWidth="1"/>
    <col min="15" max="15" width="13.42578125" style="43" customWidth="1"/>
    <col min="16" max="18" width="15" style="14" customWidth="1"/>
    <col min="19" max="20" width="23.28515625" style="14" customWidth="1"/>
    <col min="21" max="21" width="15.5703125" style="14" customWidth="1"/>
    <col min="22" max="22" width="11.85546875" customWidth="1"/>
    <col min="23" max="24" width="8.85546875" customWidth="1"/>
    <col min="25" max="25" width="12.140625" customWidth="1"/>
    <col min="26" max="26" width="0.140625" customWidth="1"/>
    <col min="27" max="28" width="8.7109375" customWidth="1"/>
    <col min="29" max="29" width="13.28515625" customWidth="1"/>
    <col min="30" max="33" width="8.7109375" customWidth="1"/>
  </cols>
  <sheetData>
    <row r="1" spans="2:3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64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42" t="s">
        <v>12</v>
      </c>
      <c r="P1" s="13" t="s">
        <v>65</v>
      </c>
      <c r="Q1" s="16" t="s">
        <v>73</v>
      </c>
      <c r="R1" s="16" t="s">
        <v>70</v>
      </c>
      <c r="S1" s="16" t="s">
        <v>71</v>
      </c>
      <c r="T1" s="16" t="s">
        <v>71</v>
      </c>
      <c r="U1" s="15" t="s">
        <v>66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</row>
    <row r="2" spans="2:33" hidden="1" x14ac:dyDescent="0.25">
      <c r="B2">
        <v>1</v>
      </c>
      <c r="C2" t="s">
        <v>25</v>
      </c>
      <c r="D2" t="s">
        <v>26</v>
      </c>
      <c r="E2" t="s">
        <v>67</v>
      </c>
      <c r="F2">
        <v>0</v>
      </c>
      <c r="G2">
        <v>145632</v>
      </c>
      <c r="H2">
        <v>1</v>
      </c>
      <c r="I2">
        <v>0</v>
      </c>
      <c r="J2">
        <v>0</v>
      </c>
      <c r="K2">
        <v>24573</v>
      </c>
      <c r="L2">
        <v>445568</v>
      </c>
      <c r="M2">
        <v>75341</v>
      </c>
      <c r="N2">
        <v>29800</v>
      </c>
      <c r="O2" s="43">
        <v>0</v>
      </c>
      <c r="P2" s="14">
        <v>0</v>
      </c>
      <c r="Q2" s="14" t="str">
        <f>IF(P2&gt;=0,"",P2)</f>
        <v/>
      </c>
      <c r="R2" s="14" t="str">
        <f>IF(Q2&gt;=0,"",Q2)</f>
        <v/>
      </c>
      <c r="S2" s="14" t="str">
        <f>IFERROR(IF(ISNA(Q2),NA(),Q2^2),"")</f>
        <v/>
      </c>
      <c r="T2" s="14" t="s">
        <v>72</v>
      </c>
      <c r="U2" s="14">
        <v>0</v>
      </c>
      <c r="V2">
        <v>5335</v>
      </c>
      <c r="W2">
        <v>30.318505859375001</v>
      </c>
      <c r="X2">
        <v>18.8324038895576</v>
      </c>
      <c r="Y2">
        <v>3.5079545122173701</v>
      </c>
      <c r="Z2" s="31">
        <v>2.3984251688448399</v>
      </c>
      <c r="AA2">
        <v>4.0169387194633899</v>
      </c>
      <c r="AB2">
        <v>0.09</v>
      </c>
      <c r="AC2">
        <v>273957.538037878</v>
      </c>
      <c r="AD2">
        <v>309791.18401323247</v>
      </c>
      <c r="AE2">
        <v>1</v>
      </c>
      <c r="AF2">
        <v>226.40522346536389</v>
      </c>
      <c r="AG2">
        <v>18846.33710649217</v>
      </c>
    </row>
    <row r="3" spans="2:33" hidden="1" x14ac:dyDescent="0.25">
      <c r="B3">
        <v>1</v>
      </c>
      <c r="C3" t="s">
        <v>25</v>
      </c>
      <c r="D3" t="s">
        <v>26</v>
      </c>
      <c r="E3" t="s">
        <v>67</v>
      </c>
      <c r="F3">
        <v>272</v>
      </c>
      <c r="G3">
        <v>145632</v>
      </c>
      <c r="H3">
        <v>2</v>
      </c>
      <c r="I3">
        <v>0</v>
      </c>
      <c r="J3">
        <v>8.0312019336409579E-2</v>
      </c>
      <c r="K3">
        <v>24573</v>
      </c>
      <c r="L3">
        <v>445568</v>
      </c>
      <c r="M3">
        <v>75341</v>
      </c>
      <c r="N3">
        <v>29800</v>
      </c>
      <c r="O3" s="43">
        <v>16961400</v>
      </c>
      <c r="P3" s="14">
        <f>O3-O2</f>
        <v>16961400</v>
      </c>
      <c r="Q3" s="14" t="str">
        <f t="shared" ref="Q3:R66" si="0">IF(P3&gt;=0,"",P3)</f>
        <v/>
      </c>
      <c r="R3" s="14" t="str">
        <f t="shared" si="0"/>
        <v/>
      </c>
      <c r="S3" s="14" t="str">
        <f t="shared" ref="S3:S66" si="1">IFERROR(IF(ISNA(Q3),NA(),Q3^2),"")</f>
        <v/>
      </c>
      <c r="T3" s="14" t="s">
        <v>72</v>
      </c>
      <c r="U3" s="14">
        <v>0</v>
      </c>
      <c r="V3">
        <v>5335</v>
      </c>
      <c r="W3">
        <v>30.447167968750001</v>
      </c>
      <c r="X3">
        <v>18.2017298324647</v>
      </c>
      <c r="Y3">
        <v>3.5613433817554201</v>
      </c>
      <c r="Z3" s="31">
        <v>3.3805917513633599</v>
      </c>
      <c r="AA3">
        <v>4.3393086004800603</v>
      </c>
      <c r="AB3">
        <v>0.09</v>
      </c>
      <c r="AC3">
        <v>273957.538037878</v>
      </c>
      <c r="AD3">
        <v>309791.18401323247</v>
      </c>
      <c r="AE3">
        <v>1</v>
      </c>
      <c r="AF3">
        <v>226.40522346536389</v>
      </c>
      <c r="AG3">
        <v>18846.33710649217</v>
      </c>
    </row>
    <row r="4" spans="2:33" hidden="1" x14ac:dyDescent="0.25">
      <c r="B4">
        <v>1</v>
      </c>
      <c r="C4" t="s">
        <v>25</v>
      </c>
      <c r="D4" t="s">
        <v>26</v>
      </c>
      <c r="E4" t="s">
        <v>67</v>
      </c>
      <c r="F4">
        <v>2490</v>
      </c>
      <c r="G4">
        <v>145632</v>
      </c>
      <c r="H4">
        <v>3</v>
      </c>
      <c r="I4">
        <v>0</v>
      </c>
      <c r="J4">
        <v>0.65489727532410458</v>
      </c>
      <c r="K4">
        <v>24573</v>
      </c>
      <c r="L4">
        <v>445568</v>
      </c>
      <c r="M4">
        <v>75341</v>
      </c>
      <c r="N4">
        <v>29800</v>
      </c>
      <c r="O4" s="43">
        <v>3392280</v>
      </c>
      <c r="P4" s="14">
        <f t="shared" ref="P4:P67" si="2">O4-O3</f>
        <v>-13569120</v>
      </c>
      <c r="Q4" s="17">
        <f t="shared" si="0"/>
        <v>-13569120</v>
      </c>
      <c r="R4" s="17"/>
      <c r="S4" s="14">
        <f t="shared" si="1"/>
        <v>184121017574400</v>
      </c>
      <c r="U4" s="14">
        <v>0</v>
      </c>
      <c r="V4">
        <v>5335</v>
      </c>
      <c r="W4">
        <v>31.667199707031301</v>
      </c>
      <c r="X4">
        <v>9.7187792411313492</v>
      </c>
      <c r="Y4">
        <v>4.2137051016994098</v>
      </c>
      <c r="Z4" s="31">
        <v>4.71736561957613</v>
      </c>
      <c r="AA4">
        <v>7.8868924806289202</v>
      </c>
      <c r="AB4">
        <v>0.09</v>
      </c>
      <c r="AC4">
        <v>273957.538037878</v>
      </c>
      <c r="AD4">
        <v>309791.18401323247</v>
      </c>
      <c r="AE4">
        <v>1</v>
      </c>
      <c r="AF4">
        <v>226.40522346536389</v>
      </c>
      <c r="AG4">
        <v>18846.33710649217</v>
      </c>
    </row>
    <row r="5" spans="2:33" hidden="1" x14ac:dyDescent="0.25">
      <c r="B5">
        <v>1</v>
      </c>
      <c r="C5" t="s">
        <v>25</v>
      </c>
      <c r="D5" t="s">
        <v>26</v>
      </c>
      <c r="E5" t="s">
        <v>67</v>
      </c>
      <c r="F5">
        <v>21022</v>
      </c>
      <c r="G5">
        <v>145632</v>
      </c>
      <c r="H5">
        <v>4</v>
      </c>
      <c r="I5">
        <v>0</v>
      </c>
      <c r="J5">
        <v>5.4718468468468462</v>
      </c>
      <c r="K5">
        <v>24573</v>
      </c>
      <c r="L5">
        <v>445568</v>
      </c>
      <c r="M5">
        <v>75341</v>
      </c>
      <c r="N5">
        <v>29800</v>
      </c>
      <c r="O5" s="43">
        <v>2366024.8391999998</v>
      </c>
      <c r="P5" s="14">
        <f t="shared" si="2"/>
        <v>-1026255.1608000002</v>
      </c>
      <c r="Q5" s="14">
        <f t="shared" si="0"/>
        <v>-1026255.1608000002</v>
      </c>
      <c r="R5" s="14">
        <f t="shared" si="0"/>
        <v>-1026255.1608000002</v>
      </c>
      <c r="S5" s="14">
        <f t="shared" si="1"/>
        <v>1053199655068.6343</v>
      </c>
      <c r="T5" s="14">
        <v>1053199655068.6343</v>
      </c>
      <c r="U5" s="14">
        <v>0</v>
      </c>
      <c r="V5">
        <v>5335</v>
      </c>
      <c r="W5">
        <v>33.591271972656301</v>
      </c>
      <c r="X5">
        <v>7.5552038857743096</v>
      </c>
      <c r="Y5">
        <v>4.8076582488672397</v>
      </c>
      <c r="Z5" s="31">
        <v>3.30759695124764</v>
      </c>
      <c r="AA5">
        <v>5.4808153655174001</v>
      </c>
      <c r="AB5">
        <v>0.09</v>
      </c>
      <c r="AC5">
        <v>273957.538037878</v>
      </c>
      <c r="AD5">
        <v>309791.18401323247</v>
      </c>
      <c r="AE5">
        <v>1</v>
      </c>
      <c r="AF5">
        <v>226.40522346536389</v>
      </c>
      <c r="AG5">
        <v>18846.33710649217</v>
      </c>
    </row>
    <row r="6" spans="2:33" hidden="1" x14ac:dyDescent="0.25">
      <c r="B6">
        <v>1</v>
      </c>
      <c r="C6" t="s">
        <v>25</v>
      </c>
      <c r="D6" t="s">
        <v>26</v>
      </c>
      <c r="E6" t="s">
        <v>67</v>
      </c>
      <c r="F6">
        <v>34511</v>
      </c>
      <c r="G6">
        <v>145632</v>
      </c>
      <c r="H6">
        <v>5</v>
      </c>
      <c r="I6">
        <v>272</v>
      </c>
      <c r="J6">
        <v>3.982826576576576</v>
      </c>
      <c r="K6">
        <v>24573</v>
      </c>
      <c r="L6">
        <v>445568</v>
      </c>
      <c r="M6">
        <v>75341</v>
      </c>
      <c r="N6">
        <v>29800</v>
      </c>
      <c r="O6" s="43">
        <v>3037804.7643144</v>
      </c>
      <c r="P6" s="14">
        <f t="shared" si="2"/>
        <v>671779.92511440022</v>
      </c>
      <c r="Q6" s="14" t="str">
        <f t="shared" si="0"/>
        <v/>
      </c>
      <c r="R6" s="14" t="str">
        <f t="shared" si="0"/>
        <v/>
      </c>
      <c r="S6" s="14" t="str">
        <f t="shared" si="1"/>
        <v/>
      </c>
      <c r="T6" s="14" t="s">
        <v>72</v>
      </c>
      <c r="U6" s="14">
        <v>2469.7791364500008</v>
      </c>
      <c r="V6">
        <v>5335</v>
      </c>
      <c r="W6">
        <v>33.359521484375001</v>
      </c>
      <c r="X6">
        <v>7.0618080023754999</v>
      </c>
      <c r="Y6">
        <v>4.7711784745383197</v>
      </c>
      <c r="Z6" s="31">
        <v>5.1069825956337302</v>
      </c>
      <c r="AA6">
        <v>8.8449824811489606</v>
      </c>
      <c r="AB6">
        <v>0.09</v>
      </c>
      <c r="AC6">
        <v>273957.538037878</v>
      </c>
      <c r="AD6">
        <v>309791.18401323247</v>
      </c>
      <c r="AE6">
        <v>1</v>
      </c>
      <c r="AF6">
        <v>226.40522346536389</v>
      </c>
      <c r="AG6">
        <v>18846.33710649217</v>
      </c>
    </row>
    <row r="7" spans="2:33" hidden="1" x14ac:dyDescent="0.25">
      <c r="B7">
        <v>1</v>
      </c>
      <c r="C7" t="s">
        <v>25</v>
      </c>
      <c r="D7" t="s">
        <v>26</v>
      </c>
      <c r="E7" t="s">
        <v>67</v>
      </c>
      <c r="F7">
        <v>40121</v>
      </c>
      <c r="G7">
        <v>145632</v>
      </c>
      <c r="H7">
        <v>6</v>
      </c>
      <c r="I7">
        <v>2218</v>
      </c>
      <c r="J7">
        <v>1.656435398813447</v>
      </c>
      <c r="K7">
        <v>24573</v>
      </c>
      <c r="L7">
        <v>445568</v>
      </c>
      <c r="M7">
        <v>75341</v>
      </c>
      <c r="N7">
        <v>29800</v>
      </c>
      <c r="O7" s="43">
        <v>3738728.1061367998</v>
      </c>
      <c r="P7" s="14">
        <f t="shared" si="2"/>
        <v>700923.34182239976</v>
      </c>
      <c r="Q7" s="14" t="str">
        <f t="shared" si="0"/>
        <v/>
      </c>
      <c r="R7" s="14" t="str">
        <f>IF(Q7&gt;=0,"",Q7)</f>
        <v/>
      </c>
      <c r="S7" s="14" t="str">
        <f t="shared" si="1"/>
        <v/>
      </c>
      <c r="T7" s="14" t="s">
        <v>72</v>
      </c>
      <c r="U7" s="14">
        <v>316.01593409486031</v>
      </c>
      <c r="V7">
        <v>5335</v>
      </c>
      <c r="W7">
        <v>21.649255371093702</v>
      </c>
      <c r="X7">
        <v>33.158302024343598</v>
      </c>
      <c r="Y7">
        <v>1.7308164970831601</v>
      </c>
      <c r="Z7" s="31">
        <v>5.3454247877565102</v>
      </c>
      <c r="AA7">
        <v>7.4719732689869396</v>
      </c>
      <c r="AB7">
        <v>0.09</v>
      </c>
      <c r="AC7">
        <v>273957.538037878</v>
      </c>
      <c r="AD7">
        <v>309791.18401323247</v>
      </c>
      <c r="AE7">
        <v>1</v>
      </c>
      <c r="AF7">
        <v>226.40522346536389</v>
      </c>
      <c r="AG7">
        <v>18846.33710649217</v>
      </c>
    </row>
    <row r="8" spans="2:33" hidden="1" x14ac:dyDescent="0.25">
      <c r="B8">
        <v>1</v>
      </c>
      <c r="C8" t="s">
        <v>25</v>
      </c>
      <c r="D8" t="s">
        <v>26</v>
      </c>
      <c r="E8" t="s">
        <v>67</v>
      </c>
      <c r="F8">
        <v>40883</v>
      </c>
      <c r="G8">
        <v>145632</v>
      </c>
      <c r="H8">
        <v>7</v>
      </c>
      <c r="I8">
        <v>18532</v>
      </c>
      <c r="J8">
        <v>0.22499176005273569</v>
      </c>
      <c r="K8">
        <v>24573</v>
      </c>
      <c r="L8">
        <v>445568</v>
      </c>
      <c r="M8">
        <v>75341</v>
      </c>
      <c r="N8">
        <v>29800</v>
      </c>
      <c r="O8" s="43">
        <v>4479627.7037736</v>
      </c>
      <c r="P8" s="14">
        <f t="shared" si="2"/>
        <v>740899.59763680026</v>
      </c>
      <c r="Q8" s="14" t="str">
        <f t="shared" si="0"/>
        <v/>
      </c>
      <c r="R8" s="14" t="str">
        <f t="shared" si="0"/>
        <v/>
      </c>
      <c r="S8" s="14" t="str">
        <f t="shared" si="1"/>
        <v/>
      </c>
      <c r="T8" s="14" t="s">
        <v>72</v>
      </c>
      <c r="U8" s="14">
        <v>39.979473215886024</v>
      </c>
      <c r="V8">
        <v>5335</v>
      </c>
      <c r="W8">
        <v>29.326623535156301</v>
      </c>
      <c r="X8">
        <v>12.973329657439299</v>
      </c>
      <c r="Y8">
        <v>3.5534776472555598</v>
      </c>
      <c r="Z8" s="31">
        <v>2.6798140827655801</v>
      </c>
      <c r="AA8">
        <v>3.0784405170521598</v>
      </c>
      <c r="AB8">
        <v>0.09</v>
      </c>
      <c r="AC8">
        <v>273957.538037878</v>
      </c>
      <c r="AD8">
        <v>309791.18401323247</v>
      </c>
      <c r="AE8">
        <v>1</v>
      </c>
      <c r="AF8">
        <v>226.40522346536389</v>
      </c>
      <c r="AG8">
        <v>18846.33710649217</v>
      </c>
    </row>
    <row r="9" spans="2:33" hidden="1" x14ac:dyDescent="0.25">
      <c r="B9">
        <v>1</v>
      </c>
      <c r="C9" t="s">
        <v>25</v>
      </c>
      <c r="D9" t="s">
        <v>26</v>
      </c>
      <c r="E9" t="s">
        <v>67</v>
      </c>
      <c r="F9">
        <v>41737</v>
      </c>
      <c r="G9">
        <v>145632</v>
      </c>
      <c r="H9">
        <v>8</v>
      </c>
      <c r="I9">
        <v>13489</v>
      </c>
      <c r="J9">
        <v>0.25215611953416828</v>
      </c>
      <c r="K9">
        <v>24573</v>
      </c>
      <c r="L9">
        <v>445568</v>
      </c>
      <c r="M9">
        <v>75341</v>
      </c>
      <c r="N9">
        <v>29800</v>
      </c>
      <c r="O9" s="43">
        <v>5245635.7028267998</v>
      </c>
      <c r="P9" s="14">
        <f t="shared" si="2"/>
        <v>766007.99905319978</v>
      </c>
      <c r="Q9" s="14" t="str">
        <f t="shared" si="0"/>
        <v/>
      </c>
      <c r="R9" s="14" t="str">
        <f t="shared" si="0"/>
        <v/>
      </c>
      <c r="S9" s="14" t="str">
        <f t="shared" si="1"/>
        <v/>
      </c>
      <c r="T9" s="14" t="s">
        <v>72</v>
      </c>
      <c r="U9" s="14">
        <v>56.787604644762382</v>
      </c>
      <c r="V9">
        <v>5335</v>
      </c>
      <c r="W9">
        <v>31.627099609375001</v>
      </c>
      <c r="X9">
        <v>17.0280677326929</v>
      </c>
      <c r="Y9">
        <v>3.86321111352063</v>
      </c>
      <c r="Z9" s="31">
        <v>4.2067471193145503</v>
      </c>
      <c r="AA9">
        <v>5.8468493458816102</v>
      </c>
      <c r="AB9">
        <v>0.09</v>
      </c>
      <c r="AC9">
        <v>273957.538037878</v>
      </c>
      <c r="AD9">
        <v>309791.18401323247</v>
      </c>
      <c r="AE9">
        <v>1</v>
      </c>
      <c r="AF9">
        <v>226.40522346536389</v>
      </c>
      <c r="AG9">
        <v>18846.33710649217</v>
      </c>
    </row>
    <row r="10" spans="2:33" hidden="1" x14ac:dyDescent="0.25">
      <c r="B10">
        <v>1</v>
      </c>
      <c r="C10" t="s">
        <v>25</v>
      </c>
      <c r="D10" t="s">
        <v>26</v>
      </c>
      <c r="E10" t="s">
        <v>67</v>
      </c>
      <c r="F10">
        <v>43369</v>
      </c>
      <c r="G10">
        <v>145632</v>
      </c>
      <c r="H10">
        <v>9</v>
      </c>
      <c r="I10">
        <v>5610</v>
      </c>
      <c r="J10">
        <v>0.48187211601845747</v>
      </c>
      <c r="K10">
        <v>24573</v>
      </c>
      <c r="L10">
        <v>445568</v>
      </c>
      <c r="M10">
        <v>75341</v>
      </c>
      <c r="N10">
        <v>29800</v>
      </c>
      <c r="O10" s="43">
        <v>6245059.6136592003</v>
      </c>
      <c r="P10" s="14">
        <f t="shared" si="2"/>
        <v>999423.91083240043</v>
      </c>
      <c r="Q10" s="14" t="str">
        <f t="shared" si="0"/>
        <v/>
      </c>
      <c r="R10" s="14" t="str">
        <f t="shared" si="0"/>
        <v/>
      </c>
      <c r="S10" s="14" t="str">
        <f t="shared" si="1"/>
        <v/>
      </c>
      <c r="T10" s="14" t="s">
        <v>72</v>
      </c>
      <c r="U10" s="14">
        <v>178.15042973839579</v>
      </c>
      <c r="V10">
        <v>5335</v>
      </c>
      <c r="W10">
        <v>28.901208496093702</v>
      </c>
      <c r="X10">
        <v>16.7377835307813</v>
      </c>
      <c r="Y10">
        <v>3.3171480302421199</v>
      </c>
      <c r="Z10" s="31">
        <v>4.7977427198356102</v>
      </c>
      <c r="AA10">
        <v>5.6427246877614303</v>
      </c>
      <c r="AB10">
        <v>0.09</v>
      </c>
      <c r="AC10">
        <v>273957.538037878</v>
      </c>
      <c r="AD10">
        <v>309791.18401323247</v>
      </c>
      <c r="AE10">
        <v>1</v>
      </c>
      <c r="AF10">
        <v>226.40522346536389</v>
      </c>
      <c r="AG10">
        <v>18846.33710649217</v>
      </c>
    </row>
    <row r="11" spans="2:33" hidden="1" x14ac:dyDescent="0.25">
      <c r="B11">
        <v>1</v>
      </c>
      <c r="C11" t="s">
        <v>25</v>
      </c>
      <c r="D11" t="s">
        <v>26</v>
      </c>
      <c r="E11" t="s">
        <v>67</v>
      </c>
      <c r="F11">
        <v>43887</v>
      </c>
      <c r="G11">
        <v>145632</v>
      </c>
      <c r="H11">
        <v>10</v>
      </c>
      <c r="I11">
        <v>762</v>
      </c>
      <c r="J11">
        <v>0.15294715447154469</v>
      </c>
      <c r="K11">
        <v>24573</v>
      </c>
      <c r="L11">
        <v>445568</v>
      </c>
      <c r="M11">
        <v>75341</v>
      </c>
      <c r="N11">
        <v>29800</v>
      </c>
      <c r="O11" s="43">
        <v>9076355.1830844004</v>
      </c>
      <c r="P11" s="14">
        <f t="shared" si="2"/>
        <v>2831295.5694252001</v>
      </c>
      <c r="Q11" s="14" t="str">
        <f t="shared" si="0"/>
        <v/>
      </c>
      <c r="R11" s="14" t="str">
        <f t="shared" si="0"/>
        <v/>
      </c>
      <c r="S11" s="14" t="str">
        <f t="shared" si="1"/>
        <v/>
      </c>
      <c r="T11" s="14" t="s">
        <v>72</v>
      </c>
      <c r="U11" s="14">
        <v>3715.6109834976378</v>
      </c>
      <c r="V11">
        <v>5335</v>
      </c>
      <c r="W11">
        <v>31.976647949218801</v>
      </c>
      <c r="X11">
        <v>15.227215741904599</v>
      </c>
      <c r="Y11">
        <v>4.02600901989815</v>
      </c>
      <c r="Z11" s="31">
        <v>2.0550907405851402</v>
      </c>
      <c r="AA11">
        <v>1.2210186794596001</v>
      </c>
      <c r="AB11">
        <v>0.09</v>
      </c>
      <c r="AC11">
        <v>273957.538037878</v>
      </c>
      <c r="AD11">
        <v>309791.18401323247</v>
      </c>
      <c r="AE11">
        <v>1</v>
      </c>
      <c r="AF11">
        <v>226.40522346536389</v>
      </c>
      <c r="AG11">
        <v>18846.33710649217</v>
      </c>
    </row>
    <row r="12" spans="2:33" hidden="1" x14ac:dyDescent="0.25">
      <c r="B12">
        <v>1</v>
      </c>
      <c r="C12" t="s">
        <v>25</v>
      </c>
      <c r="D12" t="s">
        <v>26</v>
      </c>
      <c r="E12" t="s">
        <v>67</v>
      </c>
      <c r="F12">
        <v>44799</v>
      </c>
      <c r="G12">
        <v>145632</v>
      </c>
      <c r="H12">
        <v>11</v>
      </c>
      <c r="I12">
        <v>854</v>
      </c>
      <c r="J12">
        <v>0.26928147659854967</v>
      </c>
      <c r="K12">
        <v>24573</v>
      </c>
      <c r="L12">
        <v>445568</v>
      </c>
      <c r="M12">
        <v>75341</v>
      </c>
      <c r="N12">
        <v>29800</v>
      </c>
      <c r="O12" s="43">
        <v>10831001.9719356</v>
      </c>
      <c r="P12" s="14">
        <f t="shared" si="2"/>
        <v>1754646.7888511997</v>
      </c>
      <c r="Q12" s="14" t="str">
        <f t="shared" si="0"/>
        <v/>
      </c>
      <c r="R12" s="14" t="str">
        <f t="shared" si="0"/>
        <v/>
      </c>
      <c r="S12" s="14" t="str">
        <f t="shared" si="1"/>
        <v/>
      </c>
      <c r="T12" s="14" t="s">
        <v>72</v>
      </c>
      <c r="U12" s="14">
        <v>2054.6215326126462</v>
      </c>
      <c r="V12">
        <v>5335</v>
      </c>
      <c r="W12">
        <v>34.367150878906301</v>
      </c>
      <c r="X12">
        <v>10.824358922399799</v>
      </c>
      <c r="Y12">
        <v>4.8419633879064801</v>
      </c>
      <c r="Z12" s="31">
        <v>2.5882912287050499</v>
      </c>
      <c r="AA12">
        <v>2.41004389219091</v>
      </c>
      <c r="AB12">
        <v>0.09</v>
      </c>
      <c r="AC12">
        <v>273957.538037878</v>
      </c>
      <c r="AD12">
        <v>309791.18401323247</v>
      </c>
      <c r="AE12">
        <v>1</v>
      </c>
      <c r="AF12">
        <v>226.40522346536389</v>
      </c>
      <c r="AG12">
        <v>18846.33710649217</v>
      </c>
    </row>
    <row r="13" spans="2:33" hidden="1" x14ac:dyDescent="0.25">
      <c r="B13">
        <v>1</v>
      </c>
      <c r="C13" t="s">
        <v>25</v>
      </c>
      <c r="D13" t="s">
        <v>26</v>
      </c>
      <c r="E13" t="s">
        <v>67</v>
      </c>
      <c r="F13">
        <v>47679</v>
      </c>
      <c r="G13">
        <v>145632</v>
      </c>
      <c r="H13">
        <v>12</v>
      </c>
      <c r="I13">
        <v>1632</v>
      </c>
      <c r="J13">
        <v>0.85036255767963076</v>
      </c>
      <c r="K13">
        <v>24573</v>
      </c>
      <c r="L13">
        <v>445568</v>
      </c>
      <c r="M13">
        <v>75341</v>
      </c>
      <c r="N13">
        <v>29800</v>
      </c>
      <c r="O13" s="43">
        <v>11781562.7918844</v>
      </c>
      <c r="P13" s="14">
        <f t="shared" si="2"/>
        <v>950560.81994879991</v>
      </c>
      <c r="Q13" s="14" t="str">
        <f t="shared" si="0"/>
        <v/>
      </c>
      <c r="R13" s="14" t="str">
        <f t="shared" si="0"/>
        <v/>
      </c>
      <c r="S13" s="14" t="str">
        <f t="shared" si="1"/>
        <v/>
      </c>
      <c r="T13" s="14" t="s">
        <v>72</v>
      </c>
      <c r="U13" s="14">
        <v>582.45148281176466</v>
      </c>
      <c r="V13">
        <v>5335</v>
      </c>
      <c r="W13">
        <v>34.617211914062501</v>
      </c>
      <c r="X13">
        <v>10.932412146466</v>
      </c>
      <c r="Y13">
        <v>4.9035904351146096</v>
      </c>
      <c r="Z13" s="31">
        <v>3.5236641580722399</v>
      </c>
      <c r="AA13">
        <v>4.3042816338408603</v>
      </c>
      <c r="AB13">
        <v>0.09</v>
      </c>
      <c r="AC13">
        <v>273957.538037878</v>
      </c>
      <c r="AD13">
        <v>309791.18401323247</v>
      </c>
      <c r="AE13">
        <v>1</v>
      </c>
      <c r="AF13">
        <v>226.40522346536389</v>
      </c>
      <c r="AG13">
        <v>18846.33710649217</v>
      </c>
    </row>
    <row r="14" spans="2:33" hidden="1" x14ac:dyDescent="0.25">
      <c r="B14">
        <v>1</v>
      </c>
      <c r="C14" t="s">
        <v>25</v>
      </c>
      <c r="D14" t="s">
        <v>26</v>
      </c>
      <c r="E14" t="s">
        <v>67</v>
      </c>
      <c r="F14">
        <v>50299</v>
      </c>
      <c r="G14">
        <v>145632</v>
      </c>
      <c r="H14">
        <v>13</v>
      </c>
      <c r="I14">
        <v>518</v>
      </c>
      <c r="J14">
        <v>0.77359371566688639</v>
      </c>
      <c r="K14">
        <v>24573</v>
      </c>
      <c r="L14">
        <v>445568</v>
      </c>
      <c r="M14">
        <v>75341</v>
      </c>
      <c r="N14">
        <v>29800</v>
      </c>
      <c r="O14" s="43">
        <v>12938356.822129199</v>
      </c>
      <c r="P14" s="14">
        <f t="shared" si="2"/>
        <v>1156794.0302447993</v>
      </c>
      <c r="Q14" s="14" t="str">
        <f t="shared" si="0"/>
        <v/>
      </c>
      <c r="R14" s="14" t="str">
        <f t="shared" si="0"/>
        <v/>
      </c>
      <c r="S14" s="14" t="str">
        <f t="shared" si="1"/>
        <v/>
      </c>
      <c r="T14" s="14" t="s">
        <v>72</v>
      </c>
      <c r="U14" s="14">
        <v>2233.1931085806937</v>
      </c>
      <c r="V14">
        <v>5335</v>
      </c>
      <c r="W14">
        <v>33.918176269531301</v>
      </c>
      <c r="X14">
        <v>15.759865076151099</v>
      </c>
      <c r="Y14">
        <v>4.46069230143691</v>
      </c>
      <c r="Z14" s="31">
        <v>2.8659073716822099</v>
      </c>
      <c r="AA14">
        <v>2.5641856156157599</v>
      </c>
      <c r="AB14">
        <v>0.09</v>
      </c>
      <c r="AC14">
        <v>273957.538037878</v>
      </c>
      <c r="AD14">
        <v>309791.18401323247</v>
      </c>
      <c r="AE14">
        <v>1</v>
      </c>
      <c r="AF14">
        <v>226.40522346536389</v>
      </c>
      <c r="AG14">
        <v>18846.33710649217</v>
      </c>
    </row>
    <row r="15" spans="2:33" hidden="1" x14ac:dyDescent="0.25">
      <c r="B15">
        <v>1</v>
      </c>
      <c r="C15" t="s">
        <v>25</v>
      </c>
      <c r="D15" t="s">
        <v>26</v>
      </c>
      <c r="E15" t="s">
        <v>67</v>
      </c>
      <c r="F15">
        <v>52519</v>
      </c>
      <c r="G15">
        <v>145632</v>
      </c>
      <c r="H15">
        <v>14</v>
      </c>
      <c r="I15">
        <v>912</v>
      </c>
      <c r="J15">
        <v>0.6554878048780487</v>
      </c>
      <c r="K15">
        <v>24573</v>
      </c>
      <c r="L15">
        <v>445568</v>
      </c>
      <c r="M15">
        <v>75341</v>
      </c>
      <c r="N15">
        <v>29800</v>
      </c>
      <c r="O15" s="43">
        <v>14355750.585088801</v>
      </c>
      <c r="P15" s="14">
        <f t="shared" si="2"/>
        <v>1417393.7629596014</v>
      </c>
      <c r="Q15" s="14" t="str">
        <f t="shared" si="0"/>
        <v/>
      </c>
      <c r="R15" s="14" t="str">
        <f t="shared" si="0"/>
        <v/>
      </c>
      <c r="S15" s="14" t="str">
        <f t="shared" si="1"/>
        <v/>
      </c>
      <c r="T15" s="14" t="s">
        <v>72</v>
      </c>
      <c r="U15" s="14">
        <v>1554.1598278065803</v>
      </c>
      <c r="V15">
        <v>5335</v>
      </c>
      <c r="W15">
        <v>32.137353515625001</v>
      </c>
      <c r="X15">
        <v>19.322318769925101</v>
      </c>
      <c r="Y15">
        <v>3.8660399948504001</v>
      </c>
      <c r="Z15" s="31">
        <v>0.50476675064588405</v>
      </c>
      <c r="AA15">
        <v>0.93696869817992701</v>
      </c>
      <c r="AB15">
        <v>0.09</v>
      </c>
      <c r="AC15">
        <v>273957.538037878</v>
      </c>
      <c r="AD15">
        <v>309791.18401323247</v>
      </c>
      <c r="AE15">
        <v>1</v>
      </c>
      <c r="AF15">
        <v>226.40522346536389</v>
      </c>
      <c r="AG15">
        <v>18846.33710649217</v>
      </c>
    </row>
    <row r="16" spans="2:33" hidden="1" x14ac:dyDescent="0.25">
      <c r="B16">
        <v>1</v>
      </c>
      <c r="C16" t="s">
        <v>25</v>
      </c>
      <c r="D16" t="s">
        <v>26</v>
      </c>
      <c r="E16" t="s">
        <v>67</v>
      </c>
      <c r="F16">
        <v>54692</v>
      </c>
      <c r="G16">
        <v>145632</v>
      </c>
      <c r="H16">
        <v>15</v>
      </c>
      <c r="I16">
        <v>2880</v>
      </c>
      <c r="J16">
        <v>0.64161036036036034</v>
      </c>
      <c r="K16">
        <v>24573</v>
      </c>
      <c r="L16">
        <v>445568</v>
      </c>
      <c r="M16">
        <v>75341</v>
      </c>
      <c r="N16">
        <v>29800</v>
      </c>
      <c r="O16" s="43">
        <v>16641814.2171156</v>
      </c>
      <c r="P16" s="14">
        <f t="shared" si="2"/>
        <v>2286063.632026799</v>
      </c>
      <c r="Q16" s="14" t="str">
        <f t="shared" si="0"/>
        <v/>
      </c>
      <c r="R16" s="14" t="str">
        <f t="shared" si="0"/>
        <v/>
      </c>
      <c r="S16" s="14" t="str">
        <f t="shared" si="1"/>
        <v/>
      </c>
      <c r="T16" s="14" t="s">
        <v>72</v>
      </c>
      <c r="U16" s="14">
        <v>793.77209445374967</v>
      </c>
      <c r="V16">
        <v>5335</v>
      </c>
      <c r="W16">
        <v>33.415795898437501</v>
      </c>
      <c r="X16">
        <v>21.239307034232102</v>
      </c>
      <c r="Y16">
        <v>4.0547099001327904</v>
      </c>
      <c r="Z16" s="31">
        <v>2.2637455116638501</v>
      </c>
      <c r="AA16">
        <v>3.1735138385391402</v>
      </c>
      <c r="AB16">
        <v>0.09</v>
      </c>
      <c r="AC16">
        <v>273957.538037878</v>
      </c>
      <c r="AD16">
        <v>309791.18401323247</v>
      </c>
      <c r="AE16">
        <v>1</v>
      </c>
      <c r="AF16">
        <v>226.40522346536389</v>
      </c>
      <c r="AG16">
        <v>18846.33710649217</v>
      </c>
    </row>
    <row r="17" spans="2:33" hidden="1" x14ac:dyDescent="0.25">
      <c r="B17">
        <v>1</v>
      </c>
      <c r="C17" t="s">
        <v>25</v>
      </c>
      <c r="D17" t="s">
        <v>26</v>
      </c>
      <c r="E17" t="s">
        <v>67</v>
      </c>
      <c r="F17">
        <v>56726</v>
      </c>
      <c r="G17">
        <v>145632</v>
      </c>
      <c r="H17">
        <v>16</v>
      </c>
      <c r="I17">
        <v>2620</v>
      </c>
      <c r="J17">
        <v>0.60056855636123929</v>
      </c>
      <c r="K17">
        <v>24573</v>
      </c>
      <c r="L17">
        <v>445568</v>
      </c>
      <c r="M17">
        <v>75341</v>
      </c>
      <c r="N17">
        <v>29800</v>
      </c>
      <c r="O17" s="43">
        <v>17401563.697028399</v>
      </c>
      <c r="P17" s="14">
        <f t="shared" si="2"/>
        <v>759749.47991279885</v>
      </c>
      <c r="Q17" s="14" t="str">
        <f t="shared" si="0"/>
        <v/>
      </c>
      <c r="R17" s="14" t="str">
        <f t="shared" si="0"/>
        <v/>
      </c>
      <c r="S17" s="14" t="str">
        <f t="shared" si="1"/>
        <v/>
      </c>
      <c r="T17" s="14" t="s">
        <v>72</v>
      </c>
      <c r="U17" s="14">
        <v>289.98071752396902</v>
      </c>
      <c r="V17">
        <v>5335</v>
      </c>
      <c r="W17">
        <v>32.630029296875001</v>
      </c>
      <c r="X17">
        <v>20.4250224460848</v>
      </c>
      <c r="Y17">
        <v>3.92030746435697</v>
      </c>
      <c r="Z17" s="31">
        <v>3.2261303599368598</v>
      </c>
      <c r="AA17">
        <v>3.7250528747275999</v>
      </c>
      <c r="AB17">
        <v>0.09</v>
      </c>
      <c r="AC17">
        <v>273957.538037878</v>
      </c>
      <c r="AD17">
        <v>309791.18401323247</v>
      </c>
      <c r="AE17">
        <v>1</v>
      </c>
      <c r="AF17">
        <v>226.40522346536389</v>
      </c>
      <c r="AG17">
        <v>18846.33710649217</v>
      </c>
    </row>
    <row r="18" spans="2:33" hidden="1" x14ac:dyDescent="0.25">
      <c r="B18">
        <v>1</v>
      </c>
      <c r="C18" t="s">
        <v>25</v>
      </c>
      <c r="D18" t="s">
        <v>26</v>
      </c>
      <c r="E18" t="s">
        <v>67</v>
      </c>
      <c r="F18">
        <v>59089</v>
      </c>
      <c r="G18">
        <v>145632</v>
      </c>
      <c r="H18">
        <v>17</v>
      </c>
      <c r="I18">
        <v>2220</v>
      </c>
      <c r="J18">
        <v>0.69771066798505821</v>
      </c>
      <c r="K18">
        <v>24573</v>
      </c>
      <c r="L18">
        <v>445568</v>
      </c>
      <c r="M18">
        <v>75341</v>
      </c>
      <c r="N18">
        <v>29800</v>
      </c>
      <c r="O18" s="43">
        <v>18964769.210755199</v>
      </c>
      <c r="P18" s="14">
        <f t="shared" si="2"/>
        <v>1563205.5137268007</v>
      </c>
      <c r="Q18" s="14" t="str">
        <f t="shared" si="0"/>
        <v/>
      </c>
      <c r="R18" s="14" t="str">
        <f t="shared" si="0"/>
        <v/>
      </c>
      <c r="S18" s="14" t="str">
        <f t="shared" si="1"/>
        <v/>
      </c>
      <c r="T18" s="14" t="s">
        <v>72</v>
      </c>
      <c r="U18" s="14">
        <v>704.14662780486515</v>
      </c>
      <c r="V18">
        <v>5335</v>
      </c>
      <c r="W18">
        <v>31.185205078125001</v>
      </c>
      <c r="X18">
        <v>20.6060610170864</v>
      </c>
      <c r="Y18">
        <v>3.6048396503325701</v>
      </c>
      <c r="Z18" s="31">
        <v>5.0579752850527901</v>
      </c>
      <c r="AA18">
        <v>5.5706246394624701</v>
      </c>
      <c r="AB18">
        <v>0.09</v>
      </c>
      <c r="AC18">
        <v>273957.538037878</v>
      </c>
      <c r="AD18">
        <v>309791.18401323247</v>
      </c>
      <c r="AE18">
        <v>1</v>
      </c>
      <c r="AF18">
        <v>226.40522346536389</v>
      </c>
      <c r="AG18">
        <v>18846.33710649217</v>
      </c>
    </row>
    <row r="19" spans="2:33" hidden="1" x14ac:dyDescent="0.25">
      <c r="B19">
        <v>1</v>
      </c>
      <c r="C19" t="s">
        <v>25</v>
      </c>
      <c r="D19" t="s">
        <v>26</v>
      </c>
      <c r="E19" t="s">
        <v>67</v>
      </c>
      <c r="F19">
        <v>62850</v>
      </c>
      <c r="G19">
        <v>145632</v>
      </c>
      <c r="H19">
        <v>18</v>
      </c>
      <c r="I19">
        <v>2173</v>
      </c>
      <c r="J19">
        <v>1.1104908261920461</v>
      </c>
      <c r="K19">
        <v>24573</v>
      </c>
      <c r="L19">
        <v>445568</v>
      </c>
      <c r="M19">
        <v>75341</v>
      </c>
      <c r="N19">
        <v>29800</v>
      </c>
      <c r="O19" s="43">
        <v>20168871.910034399</v>
      </c>
      <c r="P19" s="14">
        <f t="shared" si="2"/>
        <v>1204102.6992792003</v>
      </c>
      <c r="Q19" s="14" t="str">
        <f t="shared" si="0"/>
        <v/>
      </c>
      <c r="R19" s="14" t="str">
        <f t="shared" si="0"/>
        <v/>
      </c>
      <c r="S19" s="14" t="str">
        <f t="shared" si="1"/>
        <v/>
      </c>
      <c r="T19" s="14" t="s">
        <v>72</v>
      </c>
      <c r="U19" s="14">
        <v>554.11997205669593</v>
      </c>
      <c r="V19">
        <v>5335</v>
      </c>
      <c r="W19">
        <v>21.982690429687501</v>
      </c>
      <c r="X19">
        <v>15.8202905928745</v>
      </c>
      <c r="Y19">
        <v>2.2248296714704199</v>
      </c>
      <c r="Z19" s="31">
        <v>5.58330973008505</v>
      </c>
      <c r="AA19">
        <v>8.7900757297229593</v>
      </c>
      <c r="AB19">
        <v>0.09</v>
      </c>
      <c r="AC19">
        <v>273957.538037878</v>
      </c>
      <c r="AD19">
        <v>309791.18401323247</v>
      </c>
      <c r="AE19">
        <v>1</v>
      </c>
      <c r="AF19">
        <v>226.40522346536389</v>
      </c>
      <c r="AG19">
        <v>18846.33710649217</v>
      </c>
    </row>
    <row r="20" spans="2:33" hidden="1" x14ac:dyDescent="0.25">
      <c r="B20">
        <v>1</v>
      </c>
      <c r="C20" t="s">
        <v>25</v>
      </c>
      <c r="D20" t="s">
        <v>26</v>
      </c>
      <c r="E20" t="s">
        <v>67</v>
      </c>
      <c r="F20">
        <v>64831</v>
      </c>
      <c r="G20">
        <v>145632</v>
      </c>
      <c r="H20">
        <v>19</v>
      </c>
      <c r="I20">
        <v>2034</v>
      </c>
      <c r="J20">
        <v>0.58491952318171825</v>
      </c>
      <c r="K20">
        <v>24573</v>
      </c>
      <c r="L20">
        <v>445568</v>
      </c>
      <c r="M20">
        <v>75341</v>
      </c>
      <c r="N20">
        <v>29800</v>
      </c>
      <c r="O20" s="43">
        <v>21779367.672715198</v>
      </c>
      <c r="P20" s="14">
        <f t="shared" si="2"/>
        <v>1610495.7626807988</v>
      </c>
      <c r="Q20" s="14" t="str">
        <f t="shared" si="0"/>
        <v/>
      </c>
      <c r="R20" s="14" t="str">
        <f t="shared" si="0"/>
        <v/>
      </c>
      <c r="S20" s="14" t="str">
        <f t="shared" si="1"/>
        <v/>
      </c>
      <c r="T20" s="14" t="s">
        <v>72</v>
      </c>
      <c r="U20" s="14">
        <v>791.78749394336228</v>
      </c>
      <c r="V20">
        <v>5335</v>
      </c>
      <c r="W20">
        <v>22.833581542968801</v>
      </c>
      <c r="X20">
        <v>21.3542391955542</v>
      </c>
      <c r="Y20">
        <v>2.18868220851405</v>
      </c>
      <c r="Z20" s="31">
        <v>5.4624182553484504</v>
      </c>
      <c r="AA20">
        <v>10.326505157656801</v>
      </c>
      <c r="AB20">
        <v>0.09</v>
      </c>
      <c r="AC20">
        <v>273957.538037878</v>
      </c>
      <c r="AD20">
        <v>309791.18401323247</v>
      </c>
      <c r="AE20">
        <v>1</v>
      </c>
      <c r="AF20">
        <v>226.40522346536389</v>
      </c>
      <c r="AG20">
        <v>18846.33710649217</v>
      </c>
    </row>
    <row r="21" spans="2:33" hidden="1" x14ac:dyDescent="0.25">
      <c r="B21">
        <v>1</v>
      </c>
      <c r="C21" t="s">
        <v>25</v>
      </c>
      <c r="D21" t="s">
        <v>26</v>
      </c>
      <c r="E21" t="s">
        <v>67</v>
      </c>
      <c r="F21">
        <v>66024</v>
      </c>
      <c r="G21">
        <v>145632</v>
      </c>
      <c r="H21">
        <v>20</v>
      </c>
      <c r="I21">
        <v>2363</v>
      </c>
      <c r="J21">
        <v>0.35225087892770818</v>
      </c>
      <c r="K21">
        <v>24573</v>
      </c>
      <c r="L21">
        <v>445568</v>
      </c>
      <c r="M21">
        <v>75341</v>
      </c>
      <c r="N21">
        <v>29800</v>
      </c>
      <c r="O21" s="43">
        <v>23535928.306789201</v>
      </c>
      <c r="P21" s="14">
        <f t="shared" si="2"/>
        <v>1756560.6340740025</v>
      </c>
      <c r="Q21" s="14" t="str">
        <f t="shared" si="0"/>
        <v/>
      </c>
      <c r="R21" s="14" t="str">
        <f t="shared" si="0"/>
        <v/>
      </c>
      <c r="S21" s="14" t="str">
        <f t="shared" si="1"/>
        <v/>
      </c>
      <c r="T21" s="14" t="s">
        <v>72</v>
      </c>
      <c r="U21" s="14">
        <v>743.36040375539676</v>
      </c>
      <c r="V21">
        <v>5335</v>
      </c>
      <c r="W21">
        <v>26.504907226562501</v>
      </c>
      <c r="X21">
        <v>22.527394246072799</v>
      </c>
      <c r="Y21">
        <v>2.6838347479531701</v>
      </c>
      <c r="Z21" s="31">
        <v>3.7359554442468199</v>
      </c>
      <c r="AA21">
        <v>7.6957937418251596</v>
      </c>
      <c r="AB21">
        <v>0.09</v>
      </c>
      <c r="AC21">
        <v>273957.538037878</v>
      </c>
      <c r="AD21">
        <v>309791.18401323247</v>
      </c>
      <c r="AE21">
        <v>1</v>
      </c>
      <c r="AF21">
        <v>226.40522346536389</v>
      </c>
      <c r="AG21">
        <v>18846.33710649217</v>
      </c>
    </row>
    <row r="22" spans="2:33" hidden="1" x14ac:dyDescent="0.25">
      <c r="B22">
        <v>1</v>
      </c>
      <c r="C22" t="s">
        <v>25</v>
      </c>
      <c r="D22" t="s">
        <v>26</v>
      </c>
      <c r="E22" t="s">
        <v>67</v>
      </c>
      <c r="F22">
        <v>66922</v>
      </c>
      <c r="G22">
        <v>145632</v>
      </c>
      <c r="H22">
        <v>21</v>
      </c>
      <c r="I22">
        <v>3761</v>
      </c>
      <c r="J22">
        <v>0.26514776972094051</v>
      </c>
      <c r="K22">
        <v>24573</v>
      </c>
      <c r="L22">
        <v>445568</v>
      </c>
      <c r="M22">
        <v>75341</v>
      </c>
      <c r="N22">
        <v>29800</v>
      </c>
      <c r="O22" s="43">
        <v>25213018.20084</v>
      </c>
      <c r="P22" s="14">
        <f t="shared" si="2"/>
        <v>1677089.8940507993</v>
      </c>
      <c r="Q22" s="14" t="str">
        <f t="shared" si="0"/>
        <v/>
      </c>
      <c r="R22" s="14" t="str">
        <f t="shared" si="0"/>
        <v/>
      </c>
      <c r="S22" s="14" t="str">
        <f t="shared" si="1"/>
        <v/>
      </c>
      <c r="T22" s="14" t="s">
        <v>72</v>
      </c>
      <c r="U22" s="14">
        <v>445.91595162212161</v>
      </c>
      <c r="V22">
        <v>5335</v>
      </c>
      <c r="W22">
        <v>26.724511718750001</v>
      </c>
      <c r="X22">
        <v>16.375452255294402</v>
      </c>
      <c r="Y22">
        <v>2.93484938707845</v>
      </c>
      <c r="Z22" s="31">
        <v>5.1300299149718898</v>
      </c>
      <c r="AA22">
        <v>5.8275600925724804</v>
      </c>
      <c r="AB22">
        <v>0.09</v>
      </c>
      <c r="AC22">
        <v>273957.538037878</v>
      </c>
      <c r="AD22">
        <v>309791.18401323247</v>
      </c>
      <c r="AE22">
        <v>1</v>
      </c>
      <c r="AF22">
        <v>226.40522346536389</v>
      </c>
      <c r="AG22">
        <v>18846.33710649217</v>
      </c>
    </row>
    <row r="23" spans="2:33" hidden="1" x14ac:dyDescent="0.25">
      <c r="B23">
        <v>1</v>
      </c>
      <c r="C23" t="s">
        <v>25</v>
      </c>
      <c r="D23" t="s">
        <v>26</v>
      </c>
      <c r="E23" t="s">
        <v>67</v>
      </c>
      <c r="F23">
        <v>68549</v>
      </c>
      <c r="G23">
        <v>145632</v>
      </c>
      <c r="H23">
        <v>22</v>
      </c>
      <c r="I23">
        <v>1981</v>
      </c>
      <c r="J23">
        <v>0.48039579213359701</v>
      </c>
      <c r="K23">
        <v>24573</v>
      </c>
      <c r="L23">
        <v>445568</v>
      </c>
      <c r="M23">
        <v>75341</v>
      </c>
      <c r="N23">
        <v>29800</v>
      </c>
      <c r="O23" s="43">
        <v>25213018.20084</v>
      </c>
      <c r="P23" s="14">
        <f t="shared" si="2"/>
        <v>0</v>
      </c>
      <c r="Q23" s="14" t="str">
        <f t="shared" si="0"/>
        <v/>
      </c>
      <c r="R23" s="14" t="str">
        <f t="shared" si="0"/>
        <v/>
      </c>
      <c r="S23" s="14" t="str">
        <f t="shared" si="1"/>
        <v/>
      </c>
      <c r="T23" s="14" t="s">
        <v>72</v>
      </c>
      <c r="U23" s="14">
        <v>0</v>
      </c>
      <c r="V23">
        <v>5335</v>
      </c>
      <c r="W23">
        <v>23.163598632812501</v>
      </c>
      <c r="X23">
        <v>15.670438736463799</v>
      </c>
      <c r="Y23">
        <v>2.39420898757065</v>
      </c>
      <c r="Z23" s="31">
        <v>4.6628106927775503</v>
      </c>
      <c r="AA23">
        <v>6.74978698240092</v>
      </c>
      <c r="AB23">
        <v>0.09</v>
      </c>
      <c r="AC23">
        <v>273957.538037878</v>
      </c>
      <c r="AD23">
        <v>309791.18401323247</v>
      </c>
      <c r="AE23">
        <v>1</v>
      </c>
      <c r="AF23">
        <v>226.40522346536389</v>
      </c>
      <c r="AG23">
        <v>18846.33710649217</v>
      </c>
    </row>
    <row r="24" spans="2:33" hidden="1" x14ac:dyDescent="0.25">
      <c r="B24">
        <v>1</v>
      </c>
      <c r="C24" t="s">
        <v>25</v>
      </c>
      <c r="D24" t="s">
        <v>26</v>
      </c>
      <c r="E24" t="s">
        <v>67</v>
      </c>
      <c r="F24">
        <v>69710</v>
      </c>
      <c r="G24">
        <v>145632</v>
      </c>
      <c r="H24">
        <v>23</v>
      </c>
      <c r="I24">
        <v>1193</v>
      </c>
      <c r="J24">
        <v>0.34280240606460122</v>
      </c>
      <c r="K24">
        <v>24573</v>
      </c>
      <c r="L24">
        <v>445568</v>
      </c>
      <c r="M24">
        <v>75341</v>
      </c>
      <c r="N24">
        <v>29800</v>
      </c>
      <c r="O24" s="43">
        <v>26911860.287551198</v>
      </c>
      <c r="P24" s="14">
        <f t="shared" si="2"/>
        <v>1698842.0867111981</v>
      </c>
      <c r="Q24" s="14" t="str">
        <f t="shared" si="0"/>
        <v/>
      </c>
      <c r="R24" s="14" t="str">
        <f t="shared" si="0"/>
        <v/>
      </c>
      <c r="S24" s="14" t="str">
        <f t="shared" si="1"/>
        <v/>
      </c>
      <c r="T24" s="14" t="s">
        <v>72</v>
      </c>
      <c r="U24" s="14">
        <v>1424.008454912994</v>
      </c>
      <c r="V24">
        <v>5335</v>
      </c>
      <c r="W24">
        <v>27.716394042968801</v>
      </c>
      <c r="X24">
        <v>15.354376112905699</v>
      </c>
      <c r="Y24">
        <v>3.1482431882645101</v>
      </c>
      <c r="Z24" s="31">
        <v>3.8866109816608199</v>
      </c>
      <c r="AA24">
        <v>6.0317210820840002</v>
      </c>
      <c r="AB24">
        <v>0.09</v>
      </c>
      <c r="AC24">
        <v>273957.538037878</v>
      </c>
      <c r="AD24">
        <v>309791.18401323247</v>
      </c>
      <c r="AE24">
        <v>1</v>
      </c>
      <c r="AF24">
        <v>226.40522346536389</v>
      </c>
      <c r="AG24">
        <v>18846.33710649217</v>
      </c>
    </row>
    <row r="25" spans="2:33" hidden="1" x14ac:dyDescent="0.25">
      <c r="B25">
        <v>1</v>
      </c>
      <c r="C25" t="s">
        <v>25</v>
      </c>
      <c r="D25" t="s">
        <v>26</v>
      </c>
      <c r="E25" t="s">
        <v>67</v>
      </c>
      <c r="F25">
        <v>70906</v>
      </c>
      <c r="G25">
        <v>145632</v>
      </c>
      <c r="H25">
        <v>24</v>
      </c>
      <c r="I25">
        <v>898</v>
      </c>
      <c r="J25">
        <v>0.35313667325862452</v>
      </c>
      <c r="K25">
        <v>24573</v>
      </c>
      <c r="L25">
        <v>445568</v>
      </c>
      <c r="M25">
        <v>75341</v>
      </c>
      <c r="N25">
        <v>29800</v>
      </c>
      <c r="O25" s="43">
        <v>30121124.463493198</v>
      </c>
      <c r="P25" s="14">
        <f t="shared" si="2"/>
        <v>3209264.175942</v>
      </c>
      <c r="Q25" s="14" t="str">
        <f t="shared" si="0"/>
        <v/>
      </c>
      <c r="R25" s="14" t="str">
        <f t="shared" si="0"/>
        <v/>
      </c>
      <c r="S25" s="14" t="str">
        <f t="shared" si="1"/>
        <v/>
      </c>
      <c r="T25" s="14" t="s">
        <v>72</v>
      </c>
      <c r="U25" s="14">
        <v>3573.790841806232</v>
      </c>
      <c r="V25">
        <v>5335</v>
      </c>
      <c r="W25">
        <v>28.210473632812501</v>
      </c>
      <c r="X25">
        <v>17.7103246668322</v>
      </c>
      <c r="Y25">
        <v>3.1497688219587601</v>
      </c>
      <c r="Z25" s="31">
        <v>2.9942567632338699</v>
      </c>
      <c r="AA25">
        <v>4.3721588625641301</v>
      </c>
      <c r="AB25">
        <v>0.09</v>
      </c>
      <c r="AC25">
        <v>273957.538037878</v>
      </c>
      <c r="AD25">
        <v>309791.18401323247</v>
      </c>
      <c r="AE25">
        <v>1</v>
      </c>
      <c r="AF25">
        <v>226.40522346536389</v>
      </c>
      <c r="AG25">
        <v>18846.33710649217</v>
      </c>
    </row>
    <row r="26" spans="2:33" hidden="1" x14ac:dyDescent="0.25">
      <c r="B26">
        <v>1</v>
      </c>
      <c r="C26" t="s">
        <v>25</v>
      </c>
      <c r="D26" t="s">
        <v>26</v>
      </c>
      <c r="E26" t="s">
        <v>67</v>
      </c>
      <c r="F26">
        <v>71307</v>
      </c>
      <c r="G26">
        <v>145632</v>
      </c>
      <c r="H26">
        <v>25</v>
      </c>
      <c r="I26">
        <v>1627</v>
      </c>
      <c r="J26">
        <v>0.1184011755658097</v>
      </c>
      <c r="K26">
        <v>24573</v>
      </c>
      <c r="L26">
        <v>445568</v>
      </c>
      <c r="M26">
        <v>75341</v>
      </c>
      <c r="N26">
        <v>29800</v>
      </c>
      <c r="O26" s="43">
        <v>31980647.376590401</v>
      </c>
      <c r="P26" s="14">
        <f t="shared" si="2"/>
        <v>1859522.9130972028</v>
      </c>
      <c r="Q26" s="14" t="str">
        <f t="shared" si="0"/>
        <v/>
      </c>
      <c r="R26" s="14" t="str">
        <f t="shared" si="0"/>
        <v/>
      </c>
      <c r="S26" s="14" t="str">
        <f t="shared" si="1"/>
        <v/>
      </c>
      <c r="T26" s="14" t="s">
        <v>72</v>
      </c>
      <c r="U26" s="14">
        <v>1142.9151279023965</v>
      </c>
      <c r="V26">
        <v>5335</v>
      </c>
      <c r="W26">
        <v>27.248315429687501</v>
      </c>
      <c r="X26">
        <v>16.791857218288801</v>
      </c>
      <c r="Y26">
        <v>3.0112702705512402</v>
      </c>
      <c r="Z26" s="31">
        <v>3.0141064640468098</v>
      </c>
      <c r="AA26">
        <v>4.5513346546360696</v>
      </c>
      <c r="AB26">
        <v>0.09</v>
      </c>
      <c r="AC26">
        <v>273957.538037878</v>
      </c>
      <c r="AD26">
        <v>309791.18401323247</v>
      </c>
      <c r="AE26">
        <v>1</v>
      </c>
      <c r="AF26">
        <v>226.40522346536389</v>
      </c>
      <c r="AG26">
        <v>18846.33710649217</v>
      </c>
    </row>
    <row r="27" spans="2:33" hidden="1" x14ac:dyDescent="0.25">
      <c r="B27">
        <v>1</v>
      </c>
      <c r="C27" t="s">
        <v>25</v>
      </c>
      <c r="D27" t="s">
        <v>26</v>
      </c>
      <c r="E27" t="s">
        <v>67</v>
      </c>
      <c r="F27">
        <v>71383</v>
      </c>
      <c r="G27">
        <v>145632</v>
      </c>
      <c r="H27">
        <v>26</v>
      </c>
      <c r="I27">
        <v>1161</v>
      </c>
      <c r="J27">
        <v>2.2440123049879149E-2</v>
      </c>
      <c r="K27">
        <v>24573</v>
      </c>
      <c r="L27">
        <v>445568</v>
      </c>
      <c r="M27">
        <v>75341</v>
      </c>
      <c r="N27">
        <v>29800</v>
      </c>
      <c r="O27" s="43">
        <v>33380021.2690368</v>
      </c>
      <c r="P27" s="14">
        <f t="shared" si="2"/>
        <v>1399373.8924463987</v>
      </c>
      <c r="Q27" s="14" t="str">
        <f t="shared" si="0"/>
        <v/>
      </c>
      <c r="R27" s="14" t="str">
        <f t="shared" si="0"/>
        <v/>
      </c>
      <c r="S27" s="14" t="str">
        <f t="shared" si="1"/>
        <v/>
      </c>
      <c r="T27" s="14" t="s">
        <v>72</v>
      </c>
      <c r="U27" s="14">
        <v>1205.3177368186068</v>
      </c>
      <c r="V27">
        <v>5335</v>
      </c>
      <c r="W27">
        <v>27.311364746093702</v>
      </c>
      <c r="X27">
        <v>13.1382544307173</v>
      </c>
      <c r="Y27">
        <v>3.15524407941647</v>
      </c>
      <c r="Z27" s="31">
        <v>3.9316237487954302</v>
      </c>
      <c r="AA27">
        <v>6.5729114277000802</v>
      </c>
      <c r="AB27">
        <v>0.09</v>
      </c>
      <c r="AC27">
        <v>273957.538037878</v>
      </c>
      <c r="AD27">
        <v>309791.18401323247</v>
      </c>
      <c r="AE27">
        <v>1</v>
      </c>
      <c r="AF27">
        <v>226.40522346536389</v>
      </c>
      <c r="AG27">
        <v>18846.33710649217</v>
      </c>
    </row>
    <row r="28" spans="2:33" hidden="1" x14ac:dyDescent="0.25">
      <c r="B28">
        <v>1</v>
      </c>
      <c r="C28" t="s">
        <v>25</v>
      </c>
      <c r="D28" t="s">
        <v>26</v>
      </c>
      <c r="E28" t="s">
        <v>67</v>
      </c>
      <c r="F28">
        <v>71468</v>
      </c>
      <c r="G28">
        <v>145632</v>
      </c>
      <c r="H28">
        <v>27</v>
      </c>
      <c r="I28">
        <v>1196</v>
      </c>
      <c r="J28">
        <v>2.509750604262799E-2</v>
      </c>
      <c r="K28">
        <v>24573</v>
      </c>
      <c r="L28">
        <v>445568</v>
      </c>
      <c r="M28">
        <v>75341</v>
      </c>
      <c r="N28">
        <v>29800</v>
      </c>
      <c r="O28" s="43">
        <v>35140447.191326402</v>
      </c>
      <c r="P28" s="14">
        <f t="shared" si="2"/>
        <v>1760425.9222896025</v>
      </c>
      <c r="Q28" s="14" t="str">
        <f t="shared" si="0"/>
        <v/>
      </c>
      <c r="R28" s="14" t="str">
        <f t="shared" si="0"/>
        <v/>
      </c>
      <c r="S28" s="14" t="str">
        <f t="shared" si="1"/>
        <v/>
      </c>
      <c r="T28" s="14" t="s">
        <v>72</v>
      </c>
      <c r="U28" s="14">
        <v>1471.9280286702362</v>
      </c>
      <c r="V28">
        <v>5335</v>
      </c>
      <c r="W28">
        <v>27.452478027343702</v>
      </c>
      <c r="X28">
        <v>15.3958070085367</v>
      </c>
      <c r="Y28">
        <v>3.0986106778034901</v>
      </c>
      <c r="Z28" s="31">
        <v>3.9528692495467599</v>
      </c>
      <c r="AA28">
        <v>4.6191120640041099</v>
      </c>
      <c r="AB28">
        <v>0.09</v>
      </c>
      <c r="AC28">
        <v>273957.538037878</v>
      </c>
      <c r="AD28">
        <v>309791.18401323247</v>
      </c>
      <c r="AE28">
        <v>1</v>
      </c>
      <c r="AF28">
        <v>226.40522346536389</v>
      </c>
      <c r="AG28">
        <v>18846.33710649217</v>
      </c>
    </row>
    <row r="29" spans="2:33" hidden="1" x14ac:dyDescent="0.25">
      <c r="B29">
        <v>1</v>
      </c>
      <c r="C29" t="s">
        <v>25</v>
      </c>
      <c r="D29" t="s">
        <v>26</v>
      </c>
      <c r="E29" t="s">
        <v>67</v>
      </c>
      <c r="F29">
        <v>71504</v>
      </c>
      <c r="G29">
        <v>145632</v>
      </c>
      <c r="H29">
        <v>28</v>
      </c>
      <c r="I29">
        <v>401</v>
      </c>
      <c r="J29">
        <v>1.0629531970995389E-2</v>
      </c>
      <c r="K29">
        <v>24573</v>
      </c>
      <c r="L29">
        <v>445568</v>
      </c>
      <c r="M29">
        <v>75341</v>
      </c>
      <c r="N29">
        <v>29800</v>
      </c>
      <c r="O29" s="43">
        <v>36738124.534263603</v>
      </c>
      <c r="P29" s="14">
        <f t="shared" si="2"/>
        <v>1597677.3429372013</v>
      </c>
      <c r="Q29" s="14" t="str">
        <f t="shared" si="0"/>
        <v/>
      </c>
      <c r="R29" s="14" t="str">
        <f t="shared" si="0"/>
        <v/>
      </c>
      <c r="S29" s="14" t="str">
        <f t="shared" si="1"/>
        <v/>
      </c>
      <c r="T29" s="14" t="s">
        <v>72</v>
      </c>
      <c r="U29" s="14">
        <v>3984.2327754044732</v>
      </c>
      <c r="V29">
        <v>5335</v>
      </c>
      <c r="W29">
        <v>28.021936035156301</v>
      </c>
      <c r="X29">
        <v>11.053933742174699</v>
      </c>
      <c r="Y29">
        <v>3.36773834527308</v>
      </c>
      <c r="Z29" s="31">
        <v>2.65693607152315</v>
      </c>
      <c r="AA29">
        <v>2.8270414141507301</v>
      </c>
      <c r="AB29">
        <v>0.09</v>
      </c>
      <c r="AC29">
        <v>273957.538037878</v>
      </c>
      <c r="AD29">
        <v>309791.18401323247</v>
      </c>
      <c r="AE29">
        <v>1</v>
      </c>
      <c r="AF29">
        <v>226.40522346536389</v>
      </c>
      <c r="AG29">
        <v>18846.33710649217</v>
      </c>
    </row>
    <row r="30" spans="2:33" hidden="1" x14ac:dyDescent="0.25">
      <c r="B30">
        <v>1</v>
      </c>
      <c r="C30" t="s">
        <v>25</v>
      </c>
      <c r="D30" t="s">
        <v>26</v>
      </c>
      <c r="E30" t="s">
        <v>67</v>
      </c>
      <c r="F30">
        <v>71517</v>
      </c>
      <c r="G30">
        <v>145632</v>
      </c>
      <c r="H30">
        <v>29</v>
      </c>
      <c r="I30">
        <v>76</v>
      </c>
      <c r="J30">
        <v>3.838442100637223E-3</v>
      </c>
      <c r="K30">
        <v>24573</v>
      </c>
      <c r="L30">
        <v>445568</v>
      </c>
      <c r="M30">
        <v>75341</v>
      </c>
      <c r="N30">
        <v>29800</v>
      </c>
      <c r="O30" s="43">
        <v>38649589.812568814</v>
      </c>
      <c r="P30" s="14">
        <f t="shared" si="2"/>
        <v>1911465.2783052102</v>
      </c>
      <c r="Q30" s="14" t="str">
        <f t="shared" si="0"/>
        <v/>
      </c>
      <c r="R30" s="14" t="str">
        <f t="shared" si="0"/>
        <v/>
      </c>
      <c r="S30" s="14" t="str">
        <f t="shared" si="1"/>
        <v/>
      </c>
      <c r="T30" s="14" t="s">
        <v>72</v>
      </c>
      <c r="U30" s="14">
        <v>25150.858925068555</v>
      </c>
      <c r="V30">
        <v>5335</v>
      </c>
      <c r="W30">
        <v>31.300958251953102</v>
      </c>
      <c r="X30">
        <v>12.0387959248327</v>
      </c>
      <c r="Y30">
        <v>4.0209191148619698</v>
      </c>
      <c r="Z30" s="31">
        <v>1.35708159033944</v>
      </c>
      <c r="AA30">
        <v>1.2884560409226899</v>
      </c>
      <c r="AB30">
        <v>0.09</v>
      </c>
      <c r="AC30">
        <v>273957.538037878</v>
      </c>
      <c r="AD30">
        <v>309791.18401323247</v>
      </c>
      <c r="AE30">
        <v>1</v>
      </c>
      <c r="AF30">
        <v>226.40522346536389</v>
      </c>
      <c r="AG30">
        <v>18846.33710649217</v>
      </c>
    </row>
    <row r="31" spans="2:33" hidden="1" x14ac:dyDescent="0.25">
      <c r="B31">
        <v>1</v>
      </c>
      <c r="C31" t="s">
        <v>25</v>
      </c>
      <c r="D31" t="s">
        <v>26</v>
      </c>
      <c r="E31" t="s">
        <v>67</v>
      </c>
      <c r="F31">
        <v>71517</v>
      </c>
      <c r="G31">
        <v>145632</v>
      </c>
      <c r="H31">
        <v>30</v>
      </c>
      <c r="I31">
        <v>85</v>
      </c>
      <c r="J31">
        <v>0</v>
      </c>
      <c r="K31">
        <v>24573</v>
      </c>
      <c r="L31">
        <v>445568</v>
      </c>
      <c r="M31">
        <v>75341</v>
      </c>
      <c r="N31">
        <v>29800</v>
      </c>
      <c r="O31" s="43">
        <v>39803584.522050001</v>
      </c>
      <c r="P31" s="14">
        <f t="shared" si="2"/>
        <v>1153994.7094811872</v>
      </c>
      <c r="Q31" s="14" t="str">
        <f t="shared" si="0"/>
        <v/>
      </c>
      <c r="R31" s="14" t="str">
        <f t="shared" si="0"/>
        <v/>
      </c>
      <c r="S31" s="14" t="str">
        <f t="shared" si="1"/>
        <v/>
      </c>
      <c r="T31" s="14" t="s">
        <v>72</v>
      </c>
      <c r="U31" s="14">
        <v>13576.408346837583</v>
      </c>
      <c r="V31">
        <v>5335</v>
      </c>
      <c r="W31">
        <v>32.312768554687501</v>
      </c>
      <c r="X31">
        <v>11.771124782582801</v>
      </c>
      <c r="Y31">
        <v>4.2706562858275703</v>
      </c>
      <c r="Z31" s="31">
        <v>4.6607781254938203</v>
      </c>
      <c r="AA31">
        <v>7.0722940993045302</v>
      </c>
      <c r="AB31">
        <v>0.09</v>
      </c>
      <c r="AC31">
        <v>273957.538037878</v>
      </c>
      <c r="AD31">
        <v>309791.18401323247</v>
      </c>
      <c r="AE31">
        <v>1</v>
      </c>
      <c r="AF31">
        <v>226.40522346536389</v>
      </c>
      <c r="AG31">
        <v>18846.33710649217</v>
      </c>
    </row>
    <row r="32" spans="2:33" hidden="1" x14ac:dyDescent="0.25">
      <c r="B32">
        <v>1</v>
      </c>
      <c r="C32" t="s">
        <v>25</v>
      </c>
      <c r="D32" t="s">
        <v>26</v>
      </c>
      <c r="E32" t="s">
        <v>67</v>
      </c>
      <c r="F32">
        <v>71563</v>
      </c>
      <c r="G32">
        <v>145632</v>
      </c>
      <c r="H32">
        <v>31</v>
      </c>
      <c r="I32">
        <v>36</v>
      </c>
      <c r="J32">
        <v>1.358217974071632E-2</v>
      </c>
      <c r="K32">
        <v>24573</v>
      </c>
      <c r="L32">
        <v>445568</v>
      </c>
      <c r="M32">
        <v>75341</v>
      </c>
      <c r="N32">
        <v>29800</v>
      </c>
      <c r="O32" s="43">
        <v>28495985.08743</v>
      </c>
      <c r="P32" s="14">
        <f t="shared" si="2"/>
        <v>-11307599.43462</v>
      </c>
      <c r="Q32" s="17">
        <f t="shared" si="0"/>
        <v>-11307599.43462</v>
      </c>
      <c r="R32" s="17"/>
      <c r="S32" s="14">
        <f t="shared" si="1"/>
        <v>127861804973818.55</v>
      </c>
      <c r="U32" s="14">
        <v>-314099.98429500003</v>
      </c>
      <c r="V32">
        <v>5335</v>
      </c>
      <c r="W32">
        <v>28.434655761718801</v>
      </c>
      <c r="X32">
        <v>11.9942795746505</v>
      </c>
      <c r="Y32">
        <v>3.4129449465757702</v>
      </c>
      <c r="Z32" s="31">
        <v>5.1145437641456901</v>
      </c>
      <c r="AA32">
        <v>7.37427161852355</v>
      </c>
      <c r="AB32">
        <v>0.09</v>
      </c>
      <c r="AC32">
        <v>273957.538037878</v>
      </c>
      <c r="AD32">
        <v>309791.18401323247</v>
      </c>
      <c r="AE32">
        <v>1</v>
      </c>
      <c r="AF32">
        <v>226.40522346536389</v>
      </c>
      <c r="AG32">
        <v>18846.33710649217</v>
      </c>
    </row>
    <row r="33" spans="2:33" hidden="1" x14ac:dyDescent="0.25">
      <c r="B33">
        <v>1</v>
      </c>
      <c r="C33" t="s">
        <v>25</v>
      </c>
      <c r="D33" t="s">
        <v>26</v>
      </c>
      <c r="E33" t="s">
        <v>67</v>
      </c>
      <c r="F33">
        <v>71567</v>
      </c>
      <c r="G33">
        <v>145632</v>
      </c>
      <c r="H33">
        <v>32</v>
      </c>
      <c r="I33">
        <v>13</v>
      </c>
      <c r="J33">
        <v>1.1810591078883759E-3</v>
      </c>
      <c r="K33">
        <v>24573</v>
      </c>
      <c r="L33">
        <v>445568</v>
      </c>
      <c r="M33">
        <v>75341</v>
      </c>
      <c r="N33">
        <v>29800</v>
      </c>
      <c r="O33" s="43">
        <v>42222368.870172001</v>
      </c>
      <c r="P33" s="14">
        <f t="shared" si="2"/>
        <v>13726383.782742001</v>
      </c>
      <c r="Q33" s="14" t="str">
        <f t="shared" si="0"/>
        <v/>
      </c>
      <c r="R33" s="14" t="str">
        <f t="shared" si="0"/>
        <v/>
      </c>
      <c r="S33" s="14" t="str">
        <f t="shared" si="1"/>
        <v/>
      </c>
      <c r="T33" s="14" t="s">
        <v>72</v>
      </c>
      <c r="U33" s="14">
        <v>1055875.6755955385</v>
      </c>
      <c r="V33">
        <v>5335</v>
      </c>
      <c r="W33">
        <v>26.640222167968801</v>
      </c>
      <c r="X33">
        <v>10.490870909381799</v>
      </c>
      <c r="Y33">
        <v>3.1260029349473899</v>
      </c>
      <c r="Z33" s="31">
        <v>4.0155971264985002</v>
      </c>
      <c r="AA33">
        <v>3.9231125040541501</v>
      </c>
      <c r="AB33">
        <v>0.09</v>
      </c>
      <c r="AC33">
        <v>273957.538037878</v>
      </c>
      <c r="AD33">
        <v>309791.18401323247</v>
      </c>
      <c r="AE33">
        <v>1</v>
      </c>
      <c r="AF33">
        <v>226.40522346536389</v>
      </c>
      <c r="AG33">
        <v>18846.33710649217</v>
      </c>
    </row>
    <row r="34" spans="2:33" hidden="1" x14ac:dyDescent="0.25">
      <c r="B34">
        <v>1</v>
      </c>
      <c r="C34" t="s">
        <v>25</v>
      </c>
      <c r="D34" t="s">
        <v>26</v>
      </c>
      <c r="E34" t="s">
        <v>67</v>
      </c>
      <c r="F34">
        <v>71567</v>
      </c>
      <c r="G34">
        <v>145632</v>
      </c>
      <c r="H34">
        <v>33</v>
      </c>
      <c r="I34">
        <v>0</v>
      </c>
      <c r="J34">
        <v>0</v>
      </c>
      <c r="K34">
        <v>24573</v>
      </c>
      <c r="L34">
        <v>445568</v>
      </c>
      <c r="M34">
        <v>75341</v>
      </c>
      <c r="N34">
        <v>29800</v>
      </c>
      <c r="O34" s="43">
        <v>43414388.901316799</v>
      </c>
      <c r="P34" s="14">
        <f t="shared" si="2"/>
        <v>1192020.0311447978</v>
      </c>
      <c r="Q34" s="14" t="str">
        <f t="shared" si="0"/>
        <v/>
      </c>
      <c r="R34" s="14" t="str">
        <f t="shared" si="0"/>
        <v/>
      </c>
      <c r="S34" s="14" t="str">
        <f t="shared" si="1"/>
        <v/>
      </c>
      <c r="T34" s="14" t="s">
        <v>72</v>
      </c>
      <c r="U34" s="14">
        <v>0</v>
      </c>
      <c r="V34">
        <v>5335</v>
      </c>
      <c r="W34">
        <v>26.843774414062501</v>
      </c>
      <c r="X34">
        <v>15.4709427566345</v>
      </c>
      <c r="Y34">
        <v>2.9874696692683802</v>
      </c>
      <c r="Z34" s="31">
        <v>2.9332686288857501</v>
      </c>
      <c r="AA34">
        <v>3.93904356220526</v>
      </c>
      <c r="AB34">
        <v>0.09</v>
      </c>
      <c r="AC34">
        <v>273957.538037878</v>
      </c>
      <c r="AD34">
        <v>309791.18401323247</v>
      </c>
      <c r="AE34">
        <v>1</v>
      </c>
      <c r="AF34">
        <v>226.40522346536389</v>
      </c>
      <c r="AG34">
        <v>18846.33710649217</v>
      </c>
    </row>
    <row r="35" spans="2:33" hidden="1" x14ac:dyDescent="0.25">
      <c r="B35">
        <v>1</v>
      </c>
      <c r="C35" t="s">
        <v>25</v>
      </c>
      <c r="D35" t="s">
        <v>26</v>
      </c>
      <c r="E35" t="s">
        <v>67</v>
      </c>
      <c r="F35">
        <v>71567</v>
      </c>
      <c r="G35">
        <v>145632</v>
      </c>
      <c r="H35">
        <v>34</v>
      </c>
      <c r="I35">
        <v>46</v>
      </c>
      <c r="J35">
        <v>0</v>
      </c>
      <c r="K35">
        <v>24573</v>
      </c>
      <c r="L35">
        <v>445568</v>
      </c>
      <c r="M35">
        <v>75341</v>
      </c>
      <c r="N35">
        <v>29800</v>
      </c>
      <c r="O35" s="43">
        <v>44173520.816655599</v>
      </c>
      <c r="P35" s="14">
        <f t="shared" si="2"/>
        <v>759131.91533879936</v>
      </c>
      <c r="Q35" s="14" t="str">
        <f t="shared" si="0"/>
        <v/>
      </c>
      <c r="R35" s="14" t="str">
        <f t="shared" si="0"/>
        <v/>
      </c>
      <c r="S35" s="14" t="str">
        <f t="shared" si="1"/>
        <v/>
      </c>
      <c r="T35" s="14" t="s">
        <v>72</v>
      </c>
      <c r="U35" s="14">
        <v>16502.867724756507</v>
      </c>
      <c r="V35">
        <v>5335</v>
      </c>
      <c r="W35">
        <v>25.388391113281301</v>
      </c>
      <c r="X35">
        <v>10.517358450574299</v>
      </c>
      <c r="Y35">
        <v>2.9023477337050401</v>
      </c>
      <c r="Z35" s="31">
        <v>2.8646633663069401</v>
      </c>
      <c r="AA35">
        <v>2.8595459750460601</v>
      </c>
      <c r="AB35">
        <v>0.09</v>
      </c>
      <c r="AC35">
        <v>273957.538037878</v>
      </c>
      <c r="AD35">
        <v>309791.18401323247</v>
      </c>
      <c r="AE35">
        <v>1</v>
      </c>
      <c r="AF35">
        <v>226.40522346536389</v>
      </c>
      <c r="AG35">
        <v>18846.33710649217</v>
      </c>
    </row>
    <row r="36" spans="2:33" hidden="1" x14ac:dyDescent="0.25">
      <c r="B36">
        <v>1</v>
      </c>
      <c r="C36" t="s">
        <v>25</v>
      </c>
      <c r="D36" t="s">
        <v>26</v>
      </c>
      <c r="E36" t="s">
        <v>67</v>
      </c>
      <c r="F36">
        <v>71570</v>
      </c>
      <c r="G36">
        <v>145632</v>
      </c>
      <c r="H36">
        <v>35</v>
      </c>
      <c r="I36">
        <v>4</v>
      </c>
      <c r="J36">
        <v>8.8579433091628208E-4</v>
      </c>
      <c r="K36">
        <v>24573</v>
      </c>
      <c r="L36">
        <v>445568</v>
      </c>
      <c r="M36">
        <v>75341</v>
      </c>
      <c r="N36">
        <v>29800</v>
      </c>
      <c r="O36" s="43">
        <v>45055534.603561193</v>
      </c>
      <c r="P36" s="14">
        <f t="shared" si="2"/>
        <v>882013.78690559417</v>
      </c>
      <c r="Q36" s="14" t="str">
        <f t="shared" si="0"/>
        <v/>
      </c>
      <c r="R36" s="14" t="str">
        <f t="shared" si="0"/>
        <v/>
      </c>
      <c r="S36" s="14" t="str">
        <f t="shared" si="1"/>
        <v/>
      </c>
      <c r="T36" s="14" t="s">
        <v>72</v>
      </c>
      <c r="U36" s="14">
        <v>220503.44672639854</v>
      </c>
      <c r="V36">
        <v>5335</v>
      </c>
      <c r="W36">
        <v>27.499353027343702</v>
      </c>
      <c r="X36">
        <v>10.611730722833</v>
      </c>
      <c r="Y36">
        <v>3.28295290410261</v>
      </c>
      <c r="Z36" s="31">
        <v>0.99752256657003802</v>
      </c>
      <c r="AA36">
        <v>1.4162298524699799</v>
      </c>
      <c r="AB36">
        <v>0.09</v>
      </c>
      <c r="AC36">
        <v>273957.538037878</v>
      </c>
      <c r="AD36">
        <v>309791.18401323247</v>
      </c>
      <c r="AE36">
        <v>1</v>
      </c>
      <c r="AF36">
        <v>226.40522346536389</v>
      </c>
      <c r="AG36">
        <v>18846.33710649217</v>
      </c>
    </row>
    <row r="37" spans="2:33" hidden="1" x14ac:dyDescent="0.25">
      <c r="B37">
        <v>1</v>
      </c>
      <c r="C37" t="s">
        <v>25</v>
      </c>
      <c r="D37" t="s">
        <v>26</v>
      </c>
      <c r="E37" t="s">
        <v>67</v>
      </c>
      <c r="F37">
        <v>71570</v>
      </c>
      <c r="G37">
        <v>145632</v>
      </c>
      <c r="H37">
        <v>36</v>
      </c>
      <c r="I37">
        <v>0</v>
      </c>
      <c r="J37">
        <v>0</v>
      </c>
      <c r="K37">
        <v>24573</v>
      </c>
      <c r="L37">
        <v>445568</v>
      </c>
      <c r="M37">
        <v>75341</v>
      </c>
      <c r="N37">
        <v>29800</v>
      </c>
      <c r="O37" s="43">
        <v>46465232.877572402</v>
      </c>
      <c r="P37" s="14">
        <f t="shared" si="2"/>
        <v>1409698.2740112096</v>
      </c>
      <c r="Q37" s="14" t="str">
        <f t="shared" si="0"/>
        <v/>
      </c>
      <c r="R37" s="14" t="str">
        <f t="shared" si="0"/>
        <v/>
      </c>
      <c r="S37" s="14" t="str">
        <f t="shared" si="1"/>
        <v/>
      </c>
      <c r="T37" s="14" t="s">
        <v>72</v>
      </c>
      <c r="U37" s="14">
        <v>0</v>
      </c>
      <c r="V37">
        <v>5335</v>
      </c>
      <c r="W37">
        <v>30.126245117187501</v>
      </c>
      <c r="X37">
        <v>5.9105147476463999</v>
      </c>
      <c r="Y37">
        <v>4.0226466561237197</v>
      </c>
      <c r="Z37" s="31">
        <v>1.8625456360821999</v>
      </c>
      <c r="AA37">
        <v>3.4573573214639999</v>
      </c>
      <c r="AB37">
        <v>0.09</v>
      </c>
      <c r="AC37">
        <v>273957.538037878</v>
      </c>
      <c r="AD37">
        <v>309791.18401323247</v>
      </c>
      <c r="AE37">
        <v>1</v>
      </c>
      <c r="AF37">
        <v>226.40522346536389</v>
      </c>
      <c r="AG37">
        <v>18846.33710649217</v>
      </c>
    </row>
    <row r="38" spans="2:33" hidden="1" x14ac:dyDescent="0.25">
      <c r="B38">
        <v>1</v>
      </c>
      <c r="C38" t="s">
        <v>25</v>
      </c>
      <c r="D38" t="s">
        <v>26</v>
      </c>
      <c r="E38" t="s">
        <v>67</v>
      </c>
      <c r="F38">
        <v>71573</v>
      </c>
      <c r="G38">
        <v>145632</v>
      </c>
      <c r="H38">
        <v>37</v>
      </c>
      <c r="I38">
        <v>0</v>
      </c>
      <c r="J38">
        <v>8.8579433091628208E-4</v>
      </c>
      <c r="K38">
        <v>24573</v>
      </c>
      <c r="L38">
        <v>445568</v>
      </c>
      <c r="M38">
        <v>75341</v>
      </c>
      <c r="N38">
        <v>29800</v>
      </c>
      <c r="O38" s="43">
        <v>51396683.239429198</v>
      </c>
      <c r="P38" s="14">
        <f t="shared" si="2"/>
        <v>4931450.3618567958</v>
      </c>
      <c r="Q38" s="14" t="str">
        <f t="shared" si="0"/>
        <v/>
      </c>
      <c r="R38" s="14" t="str">
        <f t="shared" si="0"/>
        <v/>
      </c>
      <c r="S38" s="14" t="str">
        <f t="shared" si="1"/>
        <v/>
      </c>
      <c r="T38" s="14" t="s">
        <v>72</v>
      </c>
      <c r="U38" s="14">
        <v>0</v>
      </c>
      <c r="V38">
        <v>5335</v>
      </c>
      <c r="W38">
        <v>32.564782714843702</v>
      </c>
      <c r="X38">
        <v>4.3693608594475002</v>
      </c>
      <c r="Y38">
        <v>4.6954476803912302</v>
      </c>
      <c r="Z38" s="31">
        <v>3.0554603325948699</v>
      </c>
      <c r="AA38">
        <v>4.9597280173112601</v>
      </c>
      <c r="AB38">
        <v>0.09</v>
      </c>
      <c r="AC38">
        <v>273957.538037878</v>
      </c>
      <c r="AD38">
        <v>309791.18401323247</v>
      </c>
      <c r="AE38">
        <v>1</v>
      </c>
      <c r="AF38">
        <v>226.40522346536389</v>
      </c>
      <c r="AG38">
        <v>18846.33710649217</v>
      </c>
    </row>
    <row r="39" spans="2:33" hidden="1" x14ac:dyDescent="0.25">
      <c r="B39">
        <v>1</v>
      </c>
      <c r="C39" t="s">
        <v>25</v>
      </c>
      <c r="D39" t="s">
        <v>26</v>
      </c>
      <c r="E39" t="s">
        <v>67</v>
      </c>
      <c r="F39">
        <v>72724</v>
      </c>
      <c r="G39">
        <v>145632</v>
      </c>
      <c r="H39">
        <v>38</v>
      </c>
      <c r="I39">
        <v>3</v>
      </c>
      <c r="J39">
        <v>0.33984975829488018</v>
      </c>
      <c r="K39">
        <v>24573</v>
      </c>
      <c r="L39">
        <v>445568</v>
      </c>
      <c r="M39">
        <v>75341</v>
      </c>
      <c r="N39">
        <v>29800</v>
      </c>
      <c r="O39" s="43">
        <v>48679016.724720001</v>
      </c>
      <c r="P39" s="14">
        <f t="shared" si="2"/>
        <v>-2717666.514709197</v>
      </c>
      <c r="Q39" s="14">
        <f t="shared" si="0"/>
        <v>-2717666.514709197</v>
      </c>
      <c r="R39" s="14">
        <f t="shared" si="0"/>
        <v>-2717666.514709197</v>
      </c>
      <c r="S39" s="14">
        <f t="shared" si="1"/>
        <v>7385711285171.6338</v>
      </c>
      <c r="T39" s="14">
        <v>7385711285171.6338</v>
      </c>
      <c r="U39" s="14">
        <v>-905888.83823639899</v>
      </c>
      <c r="V39">
        <v>5335</v>
      </c>
      <c r="W39">
        <v>32.771386718750001</v>
      </c>
      <c r="X39">
        <v>6.7835307924133001</v>
      </c>
      <c r="Y39">
        <v>4.6303408292924697</v>
      </c>
      <c r="Z39" s="31">
        <v>1.7286572765375099</v>
      </c>
      <c r="AA39">
        <v>3.58126764942494</v>
      </c>
      <c r="AB39">
        <v>0.09</v>
      </c>
      <c r="AC39">
        <v>273957.538037878</v>
      </c>
      <c r="AD39">
        <v>309791.18401323247</v>
      </c>
      <c r="AE39">
        <v>1</v>
      </c>
      <c r="AF39">
        <v>226.40522346536389</v>
      </c>
      <c r="AG39">
        <v>18846.33710649217</v>
      </c>
    </row>
    <row r="40" spans="2:33" hidden="1" x14ac:dyDescent="0.25">
      <c r="B40">
        <v>1</v>
      </c>
      <c r="C40" t="s">
        <v>25</v>
      </c>
      <c r="D40" t="s">
        <v>26</v>
      </c>
      <c r="E40" t="s">
        <v>67</v>
      </c>
      <c r="F40">
        <v>79760</v>
      </c>
      <c r="G40">
        <v>145632</v>
      </c>
      <c r="H40">
        <v>39</v>
      </c>
      <c r="I40">
        <v>0</v>
      </c>
      <c r="J40">
        <v>2.077482970775653</v>
      </c>
      <c r="K40">
        <v>24573</v>
      </c>
      <c r="L40">
        <v>445568</v>
      </c>
      <c r="M40">
        <v>75341</v>
      </c>
      <c r="N40">
        <v>29800</v>
      </c>
      <c r="O40" s="43">
        <v>52365320.332199998</v>
      </c>
      <c r="P40" s="14">
        <f t="shared" si="2"/>
        <v>3686303.607479997</v>
      </c>
      <c r="Q40" s="14" t="str">
        <f t="shared" si="0"/>
        <v/>
      </c>
      <c r="R40" s="14" t="str">
        <f t="shared" si="0"/>
        <v/>
      </c>
      <c r="S40" s="14" t="str">
        <f t="shared" si="1"/>
        <v/>
      </c>
      <c r="T40" s="14" t="s">
        <v>72</v>
      </c>
      <c r="U40" s="14">
        <v>0</v>
      </c>
      <c r="V40">
        <v>5335</v>
      </c>
      <c r="W40">
        <v>32.672814941406301</v>
      </c>
      <c r="X40">
        <v>14.6289845314377</v>
      </c>
      <c r="Y40">
        <v>4.2166072944645698</v>
      </c>
      <c r="Z40" s="31">
        <v>3.0969331211917499</v>
      </c>
      <c r="AA40">
        <v>5.5506686591865897</v>
      </c>
      <c r="AB40">
        <v>0.09</v>
      </c>
      <c r="AC40">
        <v>273957.538037878</v>
      </c>
      <c r="AD40">
        <v>309791.18401323247</v>
      </c>
      <c r="AE40">
        <v>1</v>
      </c>
      <c r="AF40">
        <v>226.40522346536389</v>
      </c>
      <c r="AG40">
        <v>18846.33710649217</v>
      </c>
    </row>
    <row r="41" spans="2:33" hidden="1" x14ac:dyDescent="0.25">
      <c r="B41">
        <v>1</v>
      </c>
      <c r="C41" t="s">
        <v>25</v>
      </c>
      <c r="D41" t="s">
        <v>26</v>
      </c>
      <c r="E41" t="s">
        <v>67</v>
      </c>
      <c r="F41">
        <v>98722</v>
      </c>
      <c r="G41">
        <v>145632</v>
      </c>
      <c r="H41">
        <v>40</v>
      </c>
      <c r="I41">
        <v>3</v>
      </c>
      <c r="J41">
        <v>5.5988107009448473</v>
      </c>
      <c r="K41">
        <v>24573</v>
      </c>
      <c r="L41">
        <v>445568</v>
      </c>
      <c r="M41">
        <v>75341</v>
      </c>
      <c r="N41">
        <v>29800</v>
      </c>
      <c r="O41" s="43">
        <v>54163404</v>
      </c>
      <c r="P41" s="14">
        <f t="shared" si="2"/>
        <v>1798083.6678000018</v>
      </c>
      <c r="Q41" s="14" t="str">
        <f t="shared" si="0"/>
        <v/>
      </c>
      <c r="R41" s="14" t="str">
        <f t="shared" si="0"/>
        <v/>
      </c>
      <c r="S41" s="14" t="str">
        <f t="shared" si="1"/>
        <v/>
      </c>
      <c r="T41" s="14" t="s">
        <v>72</v>
      </c>
      <c r="U41" s="14">
        <v>599361.22260000056</v>
      </c>
      <c r="V41">
        <v>5335</v>
      </c>
      <c r="W41">
        <v>31.076745605468801</v>
      </c>
      <c r="X41">
        <v>19.315352345905101</v>
      </c>
      <c r="Y41">
        <v>3.6410526212004002</v>
      </c>
      <c r="Z41" s="31">
        <v>4.1305098165347802</v>
      </c>
      <c r="AA41">
        <v>7.6955170194259903</v>
      </c>
      <c r="AB41">
        <v>0.09</v>
      </c>
      <c r="AC41">
        <v>273957.538037878</v>
      </c>
      <c r="AD41">
        <v>309791.18401323247</v>
      </c>
      <c r="AE41">
        <v>1</v>
      </c>
      <c r="AF41">
        <v>226.40522346536389</v>
      </c>
      <c r="AG41">
        <v>18846.33710649217</v>
      </c>
    </row>
    <row r="42" spans="2:33" hidden="1" x14ac:dyDescent="0.25">
      <c r="B42">
        <v>1</v>
      </c>
      <c r="C42" t="s">
        <v>25</v>
      </c>
      <c r="D42" t="s">
        <v>26</v>
      </c>
      <c r="E42" t="s">
        <v>67</v>
      </c>
      <c r="F42">
        <v>98722</v>
      </c>
      <c r="G42">
        <v>145632</v>
      </c>
      <c r="H42">
        <v>41</v>
      </c>
      <c r="I42">
        <v>1151</v>
      </c>
      <c r="J42">
        <v>0</v>
      </c>
      <c r="K42">
        <v>24573</v>
      </c>
      <c r="L42">
        <v>445568</v>
      </c>
      <c r="M42">
        <v>75341</v>
      </c>
      <c r="N42">
        <v>29800</v>
      </c>
      <c r="O42" s="43">
        <v>55407240</v>
      </c>
      <c r="P42" s="14">
        <f t="shared" si="2"/>
        <v>1243836</v>
      </c>
      <c r="Q42" s="14" t="str">
        <f t="shared" si="0"/>
        <v/>
      </c>
      <c r="R42" s="14" t="str">
        <f t="shared" si="0"/>
        <v/>
      </c>
      <c r="S42" s="14" t="str">
        <f t="shared" si="1"/>
        <v/>
      </c>
      <c r="T42" s="14" t="s">
        <v>72</v>
      </c>
      <c r="U42" s="14">
        <v>1080.6568201563857</v>
      </c>
      <c r="V42">
        <v>5335</v>
      </c>
      <c r="W42">
        <v>25.298913574218801</v>
      </c>
      <c r="X42">
        <v>33.338579042283499</v>
      </c>
      <c r="Y42">
        <v>2.1501004599564499</v>
      </c>
      <c r="Z42" s="31">
        <v>5.7242191189036902</v>
      </c>
      <c r="AA42">
        <v>13.679108638836301</v>
      </c>
      <c r="AB42">
        <v>0.09</v>
      </c>
      <c r="AC42">
        <v>273957.538037878</v>
      </c>
      <c r="AD42">
        <v>309791.18401323247</v>
      </c>
      <c r="AE42">
        <v>1</v>
      </c>
      <c r="AF42">
        <v>226.40522346536389</v>
      </c>
      <c r="AG42">
        <v>18846.33710649217</v>
      </c>
    </row>
    <row r="43" spans="2:33" hidden="1" x14ac:dyDescent="0.25">
      <c r="B43">
        <v>1</v>
      </c>
      <c r="C43" t="s">
        <v>25</v>
      </c>
      <c r="D43" t="s">
        <v>26</v>
      </c>
      <c r="E43" t="s">
        <v>67</v>
      </c>
      <c r="F43">
        <v>121694</v>
      </c>
      <c r="G43">
        <v>145632</v>
      </c>
      <c r="H43">
        <v>42</v>
      </c>
      <c r="I43">
        <v>7036</v>
      </c>
      <c r="J43">
        <v>6.7828224566029442</v>
      </c>
      <c r="K43">
        <v>24573</v>
      </c>
      <c r="L43">
        <v>445568</v>
      </c>
      <c r="M43">
        <v>75341</v>
      </c>
      <c r="N43">
        <v>29800</v>
      </c>
      <c r="O43" s="43">
        <v>57668760</v>
      </c>
      <c r="P43" s="14">
        <f t="shared" si="2"/>
        <v>2261520</v>
      </c>
      <c r="Q43" s="14" t="str">
        <f t="shared" si="0"/>
        <v/>
      </c>
      <c r="R43" s="14" t="str">
        <f t="shared" si="0"/>
        <v/>
      </c>
      <c r="S43" s="14" t="str">
        <f t="shared" si="1"/>
        <v/>
      </c>
      <c r="T43" s="14" t="s">
        <v>72</v>
      </c>
      <c r="U43" s="14">
        <v>321.42126208072767</v>
      </c>
      <c r="V43">
        <v>5335</v>
      </c>
      <c r="W43">
        <v>20.713342285156301</v>
      </c>
      <c r="X43">
        <v>55.888107907559899</v>
      </c>
      <c r="Y43">
        <v>1.0783020185741099</v>
      </c>
      <c r="Z43" s="31">
        <v>3.3101965090435801</v>
      </c>
      <c r="AA43">
        <v>7.9833185516379404</v>
      </c>
      <c r="AB43">
        <v>0.09</v>
      </c>
      <c r="AC43">
        <v>273957.538037878</v>
      </c>
      <c r="AD43">
        <v>309791.18401323247</v>
      </c>
      <c r="AE43">
        <v>1</v>
      </c>
      <c r="AF43">
        <v>226.40522346536389</v>
      </c>
      <c r="AG43">
        <v>18846.33710649217</v>
      </c>
    </row>
    <row r="44" spans="2:33" hidden="1" x14ac:dyDescent="0.25">
      <c r="B44">
        <v>1</v>
      </c>
      <c r="C44" t="s">
        <v>25</v>
      </c>
      <c r="D44" t="s">
        <v>26</v>
      </c>
      <c r="E44" t="s">
        <v>67</v>
      </c>
      <c r="F44">
        <v>144040</v>
      </c>
      <c r="G44">
        <v>145632</v>
      </c>
      <c r="H44">
        <v>43</v>
      </c>
      <c r="I44">
        <v>18962</v>
      </c>
      <c r="J44">
        <v>6.5979867062184132</v>
      </c>
      <c r="K44">
        <v>24573</v>
      </c>
      <c r="L44">
        <v>445568</v>
      </c>
      <c r="M44">
        <v>75341</v>
      </c>
      <c r="N44">
        <v>29800</v>
      </c>
      <c r="O44" s="43">
        <v>59591052</v>
      </c>
      <c r="P44" s="14">
        <f t="shared" si="2"/>
        <v>1922292</v>
      </c>
      <c r="Q44" s="14" t="str">
        <f t="shared" si="0"/>
        <v/>
      </c>
      <c r="R44" s="14" t="str">
        <f t="shared" si="0"/>
        <v/>
      </c>
      <c r="S44" s="14" t="str">
        <f t="shared" si="1"/>
        <v/>
      </c>
      <c r="T44" s="14" t="s">
        <v>72</v>
      </c>
      <c r="U44" s="14">
        <v>101.37601518827128</v>
      </c>
      <c r="V44">
        <v>5335</v>
      </c>
      <c r="W44">
        <v>26.055505371093702</v>
      </c>
      <c r="X44">
        <v>24.369468512840299</v>
      </c>
      <c r="Y44">
        <v>2.5514840290760099</v>
      </c>
      <c r="Z44" s="31">
        <v>1.9371557367889101</v>
      </c>
      <c r="AA44">
        <v>2.6074295688990698</v>
      </c>
      <c r="AB44">
        <v>0.09</v>
      </c>
      <c r="AC44">
        <v>273957.538037878</v>
      </c>
      <c r="AD44">
        <v>309791.18401323247</v>
      </c>
      <c r="AE44">
        <v>1</v>
      </c>
      <c r="AF44">
        <v>226.40522346536389</v>
      </c>
      <c r="AG44">
        <v>18846.33710649217</v>
      </c>
    </row>
    <row r="45" spans="2:33" hidden="1" x14ac:dyDescent="0.25">
      <c r="B45">
        <v>1</v>
      </c>
      <c r="C45" t="s">
        <v>25</v>
      </c>
      <c r="D45" t="s">
        <v>26</v>
      </c>
      <c r="E45" t="s">
        <v>67</v>
      </c>
      <c r="F45">
        <v>144040</v>
      </c>
      <c r="G45">
        <v>145632</v>
      </c>
      <c r="H45">
        <v>44</v>
      </c>
      <c r="I45">
        <v>0</v>
      </c>
      <c r="J45">
        <v>0</v>
      </c>
      <c r="K45">
        <v>24573</v>
      </c>
      <c r="L45">
        <v>445568</v>
      </c>
      <c r="M45">
        <v>75341</v>
      </c>
      <c r="N45">
        <v>29800</v>
      </c>
      <c r="O45" s="43">
        <v>60495660</v>
      </c>
      <c r="P45" s="14">
        <f t="shared" si="2"/>
        <v>904608</v>
      </c>
      <c r="Q45" s="14" t="str">
        <f t="shared" si="0"/>
        <v/>
      </c>
      <c r="R45" s="14" t="str">
        <f t="shared" si="0"/>
        <v/>
      </c>
      <c r="S45" s="14" t="str">
        <f t="shared" si="1"/>
        <v/>
      </c>
      <c r="T45" s="14" t="s">
        <v>72</v>
      </c>
      <c r="U45" s="14">
        <v>0</v>
      </c>
      <c r="V45">
        <v>5335</v>
      </c>
      <c r="W45">
        <v>26.104333496093702</v>
      </c>
      <c r="X45">
        <v>18.890129328696101</v>
      </c>
      <c r="Y45">
        <v>2.7444557147056301</v>
      </c>
      <c r="Z45" s="31">
        <v>4.3013893884648304</v>
      </c>
      <c r="AA45">
        <v>6.04858933066508</v>
      </c>
      <c r="AB45">
        <v>0.09</v>
      </c>
      <c r="AC45">
        <v>273957.538037878</v>
      </c>
      <c r="AD45">
        <v>309791.18401323247</v>
      </c>
      <c r="AE45">
        <v>1</v>
      </c>
      <c r="AF45">
        <v>226.40522346536389</v>
      </c>
      <c r="AG45">
        <v>18846.33710649217</v>
      </c>
    </row>
    <row r="46" spans="2:33" hidden="1" x14ac:dyDescent="0.25">
      <c r="B46">
        <v>1</v>
      </c>
      <c r="C46" t="s">
        <v>25</v>
      </c>
      <c r="D46" t="s">
        <v>26</v>
      </c>
      <c r="E46" t="s">
        <v>67</v>
      </c>
      <c r="F46">
        <v>145110</v>
      </c>
      <c r="G46">
        <v>145632</v>
      </c>
      <c r="H46">
        <v>45</v>
      </c>
      <c r="I46">
        <v>22972</v>
      </c>
      <c r="J46">
        <v>0.31593331136014058</v>
      </c>
      <c r="K46">
        <v>24573</v>
      </c>
      <c r="L46">
        <v>445568</v>
      </c>
      <c r="M46">
        <v>75341</v>
      </c>
      <c r="N46">
        <v>29800</v>
      </c>
      <c r="O46" s="43">
        <v>62078724</v>
      </c>
      <c r="P46" s="14">
        <f t="shared" si="2"/>
        <v>1583064</v>
      </c>
      <c r="Q46" s="14" t="str">
        <f t="shared" si="0"/>
        <v/>
      </c>
      <c r="R46" s="14" t="str">
        <f t="shared" si="0"/>
        <v/>
      </c>
      <c r="S46" s="14" t="str">
        <f t="shared" si="1"/>
        <v/>
      </c>
      <c r="T46" s="14" t="s">
        <v>72</v>
      </c>
      <c r="U46" s="14">
        <v>68.912763364095426</v>
      </c>
      <c r="V46">
        <v>5335</v>
      </c>
      <c r="W46">
        <v>27.369409179687501</v>
      </c>
      <c r="X46">
        <v>13.928555813992499</v>
      </c>
      <c r="Y46">
        <v>3.13713931706822</v>
      </c>
      <c r="Z46" s="31">
        <v>2.7975859526354601</v>
      </c>
      <c r="AA46">
        <v>1.4565874084000401</v>
      </c>
      <c r="AB46">
        <v>0.09</v>
      </c>
      <c r="AC46">
        <v>273957.538037878</v>
      </c>
      <c r="AD46">
        <v>309791.18401323247</v>
      </c>
      <c r="AE46">
        <v>1</v>
      </c>
      <c r="AF46">
        <v>226.40522346536389</v>
      </c>
      <c r="AG46">
        <v>18846.33710649217</v>
      </c>
    </row>
    <row r="47" spans="2:33" hidden="1" x14ac:dyDescent="0.25">
      <c r="B47">
        <v>1</v>
      </c>
      <c r="C47" t="s">
        <v>25</v>
      </c>
      <c r="D47" t="s">
        <v>26</v>
      </c>
      <c r="E47" t="s">
        <v>67</v>
      </c>
      <c r="F47">
        <v>145204</v>
      </c>
      <c r="G47">
        <v>145632</v>
      </c>
      <c r="H47">
        <v>46</v>
      </c>
      <c r="I47">
        <v>22346</v>
      </c>
      <c r="J47">
        <v>2.7754889035376842E-2</v>
      </c>
      <c r="K47">
        <v>24573</v>
      </c>
      <c r="L47">
        <v>445568</v>
      </c>
      <c r="M47">
        <v>75341</v>
      </c>
      <c r="N47">
        <v>29800</v>
      </c>
      <c r="O47" s="43">
        <v>63774864</v>
      </c>
      <c r="P47" s="14">
        <f t="shared" si="2"/>
        <v>1696140</v>
      </c>
      <c r="Q47" s="14" t="str">
        <f t="shared" si="0"/>
        <v/>
      </c>
      <c r="R47" s="14" t="str">
        <f t="shared" si="0"/>
        <v/>
      </c>
      <c r="S47" s="14" t="str">
        <f t="shared" si="1"/>
        <v/>
      </c>
      <c r="T47" s="14" t="s">
        <v>72</v>
      </c>
      <c r="U47" s="14">
        <v>75.903517408037231</v>
      </c>
      <c r="V47">
        <v>5335</v>
      </c>
      <c r="W47">
        <v>29.725976562500001</v>
      </c>
      <c r="X47">
        <v>10.676973073437299</v>
      </c>
      <c r="Y47">
        <v>3.7320987675837101</v>
      </c>
      <c r="Z47" s="31">
        <v>2.5293793910146198</v>
      </c>
      <c r="AA47">
        <v>2.9148795517133999</v>
      </c>
      <c r="AB47">
        <v>0.09</v>
      </c>
      <c r="AC47">
        <v>273957.538037878</v>
      </c>
      <c r="AD47">
        <v>309791.18401323247</v>
      </c>
      <c r="AE47">
        <v>1</v>
      </c>
      <c r="AF47">
        <v>226.40522346536389</v>
      </c>
      <c r="AG47">
        <v>18846.33710649217</v>
      </c>
    </row>
    <row r="48" spans="2:33" hidden="1" x14ac:dyDescent="0.25">
      <c r="B48">
        <v>1</v>
      </c>
      <c r="C48" t="s">
        <v>25</v>
      </c>
      <c r="D48" t="s">
        <v>26</v>
      </c>
      <c r="E48" t="s">
        <v>67</v>
      </c>
      <c r="F48">
        <v>145204</v>
      </c>
      <c r="G48">
        <v>145632</v>
      </c>
      <c r="H48">
        <v>47</v>
      </c>
      <c r="I48" s="2">
        <v>0</v>
      </c>
      <c r="J48">
        <v>0</v>
      </c>
      <c r="K48">
        <v>24573</v>
      </c>
      <c r="L48">
        <v>445568</v>
      </c>
      <c r="M48">
        <v>75341</v>
      </c>
      <c r="N48">
        <v>29800</v>
      </c>
      <c r="O48" s="43">
        <v>65584080</v>
      </c>
      <c r="P48" s="14">
        <f t="shared" si="2"/>
        <v>1809216</v>
      </c>
      <c r="Q48" s="14" t="str">
        <f t="shared" si="0"/>
        <v/>
      </c>
      <c r="R48" s="14" t="str">
        <f t="shared" si="0"/>
        <v/>
      </c>
      <c r="S48" s="14" t="str">
        <f t="shared" si="1"/>
        <v/>
      </c>
      <c r="T48" s="14" t="s">
        <v>72</v>
      </c>
      <c r="U48" s="14">
        <v>0</v>
      </c>
      <c r="V48">
        <v>5335</v>
      </c>
      <c r="W48">
        <v>27.175714111328102</v>
      </c>
      <c r="X48">
        <v>18.7931089430006</v>
      </c>
      <c r="Y48">
        <v>2.9263017627877801</v>
      </c>
      <c r="Z48" s="31">
        <v>4.7351994240495001</v>
      </c>
      <c r="AA48">
        <v>5.8823315251557498</v>
      </c>
      <c r="AB48">
        <v>0.09</v>
      </c>
      <c r="AC48">
        <v>273957.538037878</v>
      </c>
      <c r="AD48">
        <v>309791.18401323247</v>
      </c>
      <c r="AE48">
        <v>1</v>
      </c>
      <c r="AF48">
        <v>226.40522346536389</v>
      </c>
      <c r="AG48">
        <v>18846.33710649217</v>
      </c>
    </row>
    <row r="49" spans="2:33" hidden="1" x14ac:dyDescent="0.25">
      <c r="B49">
        <v>1</v>
      </c>
      <c r="C49" t="s">
        <v>25</v>
      </c>
      <c r="D49" t="s">
        <v>26</v>
      </c>
      <c r="E49" t="s">
        <v>67</v>
      </c>
      <c r="F49">
        <v>145243</v>
      </c>
      <c r="G49">
        <v>145632</v>
      </c>
      <c r="H49">
        <v>48</v>
      </c>
      <c r="I49" s="2">
        <v>1070</v>
      </c>
      <c r="J49">
        <v>1.151532630191167E-2</v>
      </c>
      <c r="K49">
        <v>24573</v>
      </c>
      <c r="L49">
        <v>445568</v>
      </c>
      <c r="M49">
        <v>75341</v>
      </c>
      <c r="N49">
        <v>29800</v>
      </c>
      <c r="O49" s="43">
        <v>66714840</v>
      </c>
      <c r="P49" s="14">
        <f t="shared" si="2"/>
        <v>1130760</v>
      </c>
      <c r="Q49" s="14" t="str">
        <f t="shared" si="0"/>
        <v/>
      </c>
      <c r="R49" s="14" t="str">
        <f t="shared" si="0"/>
        <v/>
      </c>
      <c r="S49" s="14" t="str">
        <f t="shared" si="1"/>
        <v/>
      </c>
      <c r="T49" s="14" t="s">
        <v>72</v>
      </c>
      <c r="U49" s="14">
        <v>1056.785046728972</v>
      </c>
      <c r="V49">
        <v>5335</v>
      </c>
      <c r="W49">
        <v>24.774499511718801</v>
      </c>
      <c r="X49">
        <v>17.0697284377991</v>
      </c>
      <c r="Y49">
        <v>2.5933016939520002</v>
      </c>
      <c r="Z49" s="31">
        <v>1.50542420362563</v>
      </c>
      <c r="AA49">
        <v>1.79013809315435</v>
      </c>
      <c r="AB49">
        <v>0.09</v>
      </c>
      <c r="AC49">
        <v>273957.538037878</v>
      </c>
      <c r="AD49">
        <v>309791.18401323247</v>
      </c>
      <c r="AE49">
        <v>1</v>
      </c>
      <c r="AF49">
        <v>226.40522346536389</v>
      </c>
      <c r="AG49">
        <v>18846.33710649217</v>
      </c>
    </row>
    <row r="50" spans="2:33" hidden="1" x14ac:dyDescent="0.25">
      <c r="B50">
        <v>1</v>
      </c>
      <c r="C50" t="s">
        <v>25</v>
      </c>
      <c r="D50" t="s">
        <v>26</v>
      </c>
      <c r="E50" t="s">
        <v>67</v>
      </c>
      <c r="F50">
        <v>145632</v>
      </c>
      <c r="G50">
        <v>145632</v>
      </c>
      <c r="H50">
        <v>49</v>
      </c>
      <c r="I50" s="2">
        <v>94</v>
      </c>
      <c r="J50">
        <v>0.1148579982421446</v>
      </c>
      <c r="K50">
        <v>24573</v>
      </c>
      <c r="L50">
        <v>445568</v>
      </c>
      <c r="M50">
        <v>75341</v>
      </c>
      <c r="N50">
        <v>29800</v>
      </c>
      <c r="O50" s="43">
        <v>67958676</v>
      </c>
      <c r="P50" s="14">
        <f t="shared" si="2"/>
        <v>1243836</v>
      </c>
      <c r="Q50" s="14" t="str">
        <f t="shared" si="0"/>
        <v/>
      </c>
      <c r="R50" s="14" t="str">
        <f t="shared" si="0"/>
        <v/>
      </c>
      <c r="S50" s="14" t="str">
        <f t="shared" si="1"/>
        <v/>
      </c>
      <c r="T50" s="14" t="s">
        <v>72</v>
      </c>
      <c r="U50" s="14">
        <v>13232.297872340425</v>
      </c>
      <c r="V50">
        <v>5335</v>
      </c>
      <c r="W50">
        <v>27.439233398437501</v>
      </c>
      <c r="X50">
        <v>14.046327883685899</v>
      </c>
      <c r="Y50">
        <v>3.1456517463439502</v>
      </c>
      <c r="Z50" s="31">
        <v>4.9284324654248701</v>
      </c>
      <c r="AA50">
        <v>9.6803139094062196</v>
      </c>
      <c r="AB50">
        <v>0.09</v>
      </c>
      <c r="AC50">
        <v>273957.538037878</v>
      </c>
      <c r="AD50">
        <v>309791.18401323247</v>
      </c>
      <c r="AE50">
        <v>1</v>
      </c>
      <c r="AF50">
        <v>226.40522346536389</v>
      </c>
      <c r="AG50">
        <v>18846.33710649217</v>
      </c>
    </row>
    <row r="51" spans="2:33" hidden="1" x14ac:dyDescent="0.25">
      <c r="B51">
        <v>1</v>
      </c>
      <c r="C51" t="s">
        <v>25</v>
      </c>
      <c r="D51" t="s">
        <v>26</v>
      </c>
      <c r="E51" t="s">
        <v>67</v>
      </c>
      <c r="F51">
        <v>145632</v>
      </c>
      <c r="G51">
        <v>145632</v>
      </c>
      <c r="H51">
        <v>50</v>
      </c>
      <c r="I51" s="2">
        <v>0</v>
      </c>
      <c r="J51">
        <v>0</v>
      </c>
      <c r="K51">
        <v>24573</v>
      </c>
      <c r="L51">
        <v>445568</v>
      </c>
      <c r="M51">
        <v>75341</v>
      </c>
      <c r="N51">
        <v>29800</v>
      </c>
      <c r="O51" s="43">
        <v>67958676</v>
      </c>
      <c r="P51" s="14">
        <f t="shared" si="2"/>
        <v>0</v>
      </c>
      <c r="Q51" s="14" t="str">
        <f t="shared" si="0"/>
        <v/>
      </c>
      <c r="R51" s="14" t="str">
        <f t="shared" si="0"/>
        <v/>
      </c>
      <c r="S51" s="14" t="str">
        <f t="shared" si="1"/>
        <v/>
      </c>
      <c r="T51" s="14" t="s">
        <v>72</v>
      </c>
      <c r="U51" s="14">
        <v>0</v>
      </c>
      <c r="V51">
        <v>5335</v>
      </c>
      <c r="W51">
        <v>12.222802734375</v>
      </c>
      <c r="X51">
        <v>77.071455113351604</v>
      </c>
      <c r="Y51">
        <v>0.32678803032610398</v>
      </c>
      <c r="Z51" s="31">
        <v>5.5864830008532902</v>
      </c>
      <c r="AA51">
        <v>21.271298854118399</v>
      </c>
      <c r="AB51">
        <v>0.09</v>
      </c>
      <c r="AC51">
        <v>273957.538037878</v>
      </c>
      <c r="AD51">
        <v>309791.18401323247</v>
      </c>
      <c r="AE51">
        <v>1</v>
      </c>
      <c r="AF51">
        <v>226.40522346536389</v>
      </c>
      <c r="AG51">
        <v>18846.33710649217</v>
      </c>
    </row>
    <row r="52" spans="2:33" hidden="1" x14ac:dyDescent="0.25">
      <c r="B52">
        <v>1</v>
      </c>
      <c r="C52" t="s">
        <v>25</v>
      </c>
      <c r="D52" t="s">
        <v>26</v>
      </c>
      <c r="E52" t="s">
        <v>67</v>
      </c>
      <c r="F52">
        <v>145632</v>
      </c>
      <c r="G52">
        <v>145632</v>
      </c>
      <c r="H52">
        <v>51</v>
      </c>
      <c r="I52" s="2">
        <v>39</v>
      </c>
      <c r="J52">
        <v>0</v>
      </c>
      <c r="K52">
        <v>24573</v>
      </c>
      <c r="L52">
        <v>445568</v>
      </c>
      <c r="M52">
        <v>75341</v>
      </c>
      <c r="N52">
        <v>29800</v>
      </c>
      <c r="O52" s="43">
        <v>68976360</v>
      </c>
      <c r="P52" s="14">
        <f t="shared" si="2"/>
        <v>1017684</v>
      </c>
      <c r="Q52" s="14" t="str">
        <f t="shared" si="0"/>
        <v/>
      </c>
      <c r="R52" s="14" t="str">
        <f t="shared" si="0"/>
        <v/>
      </c>
      <c r="S52" s="14" t="str">
        <f t="shared" si="1"/>
        <v/>
      </c>
      <c r="T52" s="14" t="s">
        <v>72</v>
      </c>
      <c r="U52" s="14">
        <v>26094.461538461539</v>
      </c>
      <c r="V52">
        <v>5335</v>
      </c>
      <c r="W52">
        <v>15.4877258300781</v>
      </c>
      <c r="X52">
        <v>31.2631422981189</v>
      </c>
      <c r="Y52">
        <v>1.2109199555344099</v>
      </c>
      <c r="Z52" s="31">
        <v>3.4637075487023599</v>
      </c>
      <c r="AA52">
        <v>9.2066727571941502</v>
      </c>
      <c r="AB52">
        <v>0.09</v>
      </c>
      <c r="AC52">
        <v>273957.538037878</v>
      </c>
      <c r="AD52">
        <v>309791.18401323247</v>
      </c>
      <c r="AE52">
        <v>1</v>
      </c>
      <c r="AF52">
        <v>226.40522346536389</v>
      </c>
      <c r="AG52">
        <v>18846.33710649217</v>
      </c>
    </row>
    <row r="53" spans="2:33" hidden="1" x14ac:dyDescent="0.25">
      <c r="B53">
        <v>1</v>
      </c>
      <c r="C53" t="s">
        <v>25</v>
      </c>
      <c r="D53" t="s">
        <v>26</v>
      </c>
      <c r="E53" t="s">
        <v>67</v>
      </c>
      <c r="F53">
        <v>145632</v>
      </c>
      <c r="G53">
        <v>145632</v>
      </c>
      <c r="H53">
        <v>52</v>
      </c>
      <c r="I53" s="2">
        <v>389</v>
      </c>
      <c r="J53">
        <v>0</v>
      </c>
      <c r="K53">
        <v>24573</v>
      </c>
      <c r="L53">
        <v>445568</v>
      </c>
      <c r="M53">
        <v>75341</v>
      </c>
      <c r="N53">
        <v>29800</v>
      </c>
      <c r="O53" s="43">
        <v>70107120</v>
      </c>
      <c r="P53" s="14">
        <f t="shared" si="2"/>
        <v>1130760</v>
      </c>
      <c r="Q53" s="14" t="str">
        <f t="shared" si="0"/>
        <v/>
      </c>
      <c r="R53" s="14" t="str">
        <f t="shared" si="0"/>
        <v/>
      </c>
      <c r="S53" s="14" t="str">
        <f t="shared" si="1"/>
        <v/>
      </c>
      <c r="T53" s="14" t="s">
        <v>72</v>
      </c>
      <c r="U53" s="14">
        <v>2906.8380462724936</v>
      </c>
      <c r="V53">
        <v>5335</v>
      </c>
      <c r="W53">
        <v>20.557366943359401</v>
      </c>
      <c r="X53">
        <v>24.765367790114901</v>
      </c>
      <c r="Y53">
        <v>1.8221778206882699</v>
      </c>
      <c r="Z53" s="31">
        <v>3.6189995600907401</v>
      </c>
      <c r="AA53">
        <v>8.9095421190447297</v>
      </c>
      <c r="AB53">
        <v>0.09</v>
      </c>
      <c r="AC53">
        <v>273957.538037878</v>
      </c>
      <c r="AD53">
        <v>309791.18401323247</v>
      </c>
      <c r="AE53">
        <v>1</v>
      </c>
      <c r="AF53">
        <v>226.40522346536389</v>
      </c>
      <c r="AG53">
        <v>18846.33710649217</v>
      </c>
    </row>
    <row r="54" spans="2:33" hidden="1" x14ac:dyDescent="0.25">
      <c r="B54">
        <v>1</v>
      </c>
      <c r="C54" t="s">
        <v>25</v>
      </c>
      <c r="D54" t="s">
        <v>26</v>
      </c>
      <c r="E54" t="s">
        <v>67</v>
      </c>
      <c r="F54">
        <v>145632</v>
      </c>
      <c r="G54">
        <v>145632</v>
      </c>
      <c r="H54">
        <v>53</v>
      </c>
      <c r="I54" s="2">
        <v>0</v>
      </c>
      <c r="J54">
        <v>0</v>
      </c>
      <c r="K54">
        <v>24573</v>
      </c>
      <c r="L54">
        <v>445568</v>
      </c>
      <c r="M54">
        <v>75341</v>
      </c>
      <c r="N54">
        <v>29800</v>
      </c>
      <c r="O54" s="43">
        <v>71237880</v>
      </c>
      <c r="P54" s="14">
        <f t="shared" si="2"/>
        <v>1130760</v>
      </c>
      <c r="Q54" s="14" t="str">
        <f t="shared" si="0"/>
        <v/>
      </c>
      <c r="R54" s="14" t="str">
        <f t="shared" si="0"/>
        <v/>
      </c>
      <c r="S54" s="14" t="str">
        <f t="shared" si="1"/>
        <v/>
      </c>
      <c r="T54" s="14" t="s">
        <v>72</v>
      </c>
      <c r="U54" s="14">
        <v>0</v>
      </c>
      <c r="V54">
        <v>5335</v>
      </c>
      <c r="W54">
        <v>27.393457031250001</v>
      </c>
      <c r="X54">
        <v>14.415720487202</v>
      </c>
      <c r="Y54">
        <v>3.1237533618009299</v>
      </c>
      <c r="Z54" s="31">
        <v>3.1022554739409398</v>
      </c>
      <c r="AA54">
        <v>6.2404567988175899</v>
      </c>
      <c r="AB54">
        <v>0.09</v>
      </c>
      <c r="AC54">
        <v>273957.538037878</v>
      </c>
      <c r="AD54">
        <v>309791.18401323247</v>
      </c>
      <c r="AE54">
        <v>1</v>
      </c>
      <c r="AF54">
        <v>226.40522346536389</v>
      </c>
      <c r="AG54">
        <v>18846.33710649217</v>
      </c>
    </row>
    <row r="55" spans="2:33" hidden="1" x14ac:dyDescent="0.25">
      <c r="B55">
        <v>1</v>
      </c>
      <c r="C55" t="s">
        <v>25</v>
      </c>
      <c r="D55" t="s">
        <v>26</v>
      </c>
      <c r="E55" t="s">
        <v>67</v>
      </c>
      <c r="F55">
        <v>145632</v>
      </c>
      <c r="G55">
        <v>145632</v>
      </c>
      <c r="H55">
        <v>54</v>
      </c>
      <c r="I55" s="2">
        <v>0</v>
      </c>
      <c r="J55">
        <v>0</v>
      </c>
      <c r="K55">
        <v>24573</v>
      </c>
      <c r="L55">
        <v>445568</v>
      </c>
      <c r="M55">
        <v>75341</v>
      </c>
      <c r="N55">
        <v>29800</v>
      </c>
      <c r="O55" s="43">
        <v>73492615.439999998</v>
      </c>
      <c r="P55" s="14">
        <f t="shared" si="2"/>
        <v>2254735.4399999976</v>
      </c>
      <c r="Q55" s="14" t="str">
        <f t="shared" si="0"/>
        <v/>
      </c>
      <c r="R55" s="14" t="str">
        <f t="shared" si="0"/>
        <v/>
      </c>
      <c r="S55" s="14" t="str">
        <f t="shared" si="1"/>
        <v/>
      </c>
      <c r="T55" s="14" t="s">
        <v>72</v>
      </c>
      <c r="U55" s="14">
        <v>0</v>
      </c>
      <c r="V55">
        <v>5335</v>
      </c>
      <c r="W55">
        <v>23.944970703125001</v>
      </c>
      <c r="X55">
        <v>21.667809083883501</v>
      </c>
      <c r="Y55">
        <v>2.3308788136806902</v>
      </c>
      <c r="Z55" s="31">
        <v>5.7891704297735096</v>
      </c>
      <c r="AA55">
        <v>8.5005102848227505</v>
      </c>
      <c r="AB55">
        <v>0.09</v>
      </c>
      <c r="AC55">
        <v>273957.538037878</v>
      </c>
      <c r="AD55">
        <v>309791.18401323247</v>
      </c>
      <c r="AE55">
        <v>1</v>
      </c>
      <c r="AF55">
        <v>226.40522346536389</v>
      </c>
      <c r="AG55">
        <v>18846.33710649217</v>
      </c>
    </row>
    <row r="56" spans="2:33" hidden="1" x14ac:dyDescent="0.25">
      <c r="B56">
        <v>1</v>
      </c>
      <c r="C56" t="s">
        <v>25</v>
      </c>
      <c r="D56" t="s">
        <v>26</v>
      </c>
      <c r="E56" t="s">
        <v>67</v>
      </c>
      <c r="F56">
        <v>145632</v>
      </c>
      <c r="G56">
        <v>145632</v>
      </c>
      <c r="H56">
        <v>55</v>
      </c>
      <c r="I56" s="2">
        <v>0</v>
      </c>
      <c r="J56">
        <v>0</v>
      </c>
      <c r="K56">
        <v>24573</v>
      </c>
      <c r="L56">
        <v>445568</v>
      </c>
      <c r="M56">
        <v>75341</v>
      </c>
      <c r="N56">
        <v>29800</v>
      </c>
      <c r="O56" s="43">
        <v>74354254.560000002</v>
      </c>
      <c r="P56" s="14">
        <f t="shared" si="2"/>
        <v>861639.12000000477</v>
      </c>
      <c r="Q56" s="14" t="str">
        <f t="shared" si="0"/>
        <v/>
      </c>
      <c r="R56" s="14" t="str">
        <f t="shared" si="0"/>
        <v/>
      </c>
      <c r="S56" s="14" t="str">
        <f t="shared" si="1"/>
        <v/>
      </c>
      <c r="T56" s="14" t="s">
        <v>72</v>
      </c>
      <c r="U56" s="14">
        <v>0</v>
      </c>
      <c r="V56">
        <v>5335</v>
      </c>
      <c r="W56">
        <v>25.042077636718801</v>
      </c>
      <c r="X56">
        <v>17.943140011898802</v>
      </c>
      <c r="Y56">
        <v>2.60718030082869</v>
      </c>
      <c r="Z56" s="31">
        <v>3.4580940859909601</v>
      </c>
      <c r="AA56">
        <v>6.1739169978838397</v>
      </c>
      <c r="AB56">
        <v>0.09</v>
      </c>
      <c r="AC56">
        <v>273957.538037878</v>
      </c>
      <c r="AD56">
        <v>309791.18401323247</v>
      </c>
      <c r="AE56">
        <v>1</v>
      </c>
      <c r="AF56">
        <v>226.40522346536389</v>
      </c>
      <c r="AG56">
        <v>18846.33710649217</v>
      </c>
    </row>
    <row r="57" spans="2:33" hidden="1" x14ac:dyDescent="0.25">
      <c r="B57">
        <v>1</v>
      </c>
      <c r="C57" t="s">
        <v>25</v>
      </c>
      <c r="D57" t="s">
        <v>26</v>
      </c>
      <c r="E57" t="s">
        <v>67</v>
      </c>
      <c r="F57">
        <v>145632</v>
      </c>
      <c r="G57">
        <v>145632</v>
      </c>
      <c r="H57">
        <v>56</v>
      </c>
      <c r="I57" s="2">
        <v>0</v>
      </c>
      <c r="J57">
        <v>0</v>
      </c>
      <c r="K57">
        <v>24573</v>
      </c>
      <c r="L57">
        <v>445568</v>
      </c>
      <c r="M57">
        <v>75341</v>
      </c>
      <c r="N57">
        <v>29800</v>
      </c>
      <c r="O57" s="43">
        <v>74915111.519999996</v>
      </c>
      <c r="P57" s="14">
        <f t="shared" si="2"/>
        <v>560856.95999999344</v>
      </c>
      <c r="Q57" s="14" t="str">
        <f t="shared" si="0"/>
        <v/>
      </c>
      <c r="R57" s="14" t="str">
        <f t="shared" si="0"/>
        <v/>
      </c>
      <c r="S57" s="14" t="str">
        <f t="shared" si="1"/>
        <v/>
      </c>
      <c r="T57" s="14" t="s">
        <v>72</v>
      </c>
      <c r="U57" s="14">
        <v>0</v>
      </c>
      <c r="V57">
        <v>5335</v>
      </c>
      <c r="W57">
        <v>29.366052246093702</v>
      </c>
      <c r="X57">
        <v>9.7571455132848701</v>
      </c>
      <c r="Y57">
        <v>3.69331724732948</v>
      </c>
      <c r="Z57" s="31">
        <v>0.58348787852613204</v>
      </c>
      <c r="AA57">
        <v>2.1083304401756799</v>
      </c>
      <c r="AB57">
        <v>0.09</v>
      </c>
      <c r="AC57">
        <v>273957.538037878</v>
      </c>
      <c r="AD57">
        <v>309791.18401323247</v>
      </c>
      <c r="AE57">
        <v>1</v>
      </c>
      <c r="AF57">
        <v>226.40522346536389</v>
      </c>
      <c r="AG57">
        <v>18846.33710649217</v>
      </c>
    </row>
    <row r="58" spans="2:33" hidden="1" x14ac:dyDescent="0.25">
      <c r="B58">
        <v>1</v>
      </c>
      <c r="C58" t="s">
        <v>25</v>
      </c>
      <c r="D58" t="s">
        <v>26</v>
      </c>
      <c r="E58" t="s">
        <v>67</v>
      </c>
      <c r="F58">
        <v>145632</v>
      </c>
      <c r="G58">
        <v>145632</v>
      </c>
      <c r="H58">
        <v>57</v>
      </c>
      <c r="I58" s="2">
        <v>0</v>
      </c>
      <c r="J58">
        <v>0</v>
      </c>
      <c r="K58">
        <v>24573</v>
      </c>
      <c r="L58">
        <v>445568</v>
      </c>
      <c r="M58">
        <v>75341</v>
      </c>
      <c r="N58">
        <v>29800</v>
      </c>
      <c r="O58" s="43">
        <v>74926419.120000005</v>
      </c>
      <c r="P58" s="14">
        <f t="shared" si="2"/>
        <v>11307.600000008941</v>
      </c>
      <c r="Q58" s="14" t="str">
        <f t="shared" si="0"/>
        <v/>
      </c>
      <c r="R58" s="14" t="str">
        <f t="shared" si="0"/>
        <v/>
      </c>
      <c r="S58" s="14" t="str">
        <f t="shared" si="1"/>
        <v/>
      </c>
      <c r="T58" s="14" t="s">
        <v>72</v>
      </c>
      <c r="U58" s="14">
        <v>0</v>
      </c>
      <c r="V58">
        <v>5335</v>
      </c>
      <c r="W58">
        <v>27.835473632812501</v>
      </c>
      <c r="X58">
        <v>13.351722019179499</v>
      </c>
      <c r="Y58">
        <v>3.24524946173428</v>
      </c>
      <c r="Z58" s="31">
        <v>4.0014097833714599</v>
      </c>
      <c r="AA58">
        <v>6.1354440053580399</v>
      </c>
      <c r="AB58">
        <v>0.09</v>
      </c>
      <c r="AC58">
        <v>273957.538037878</v>
      </c>
      <c r="AD58">
        <v>309791.18401323247</v>
      </c>
      <c r="AE58">
        <v>1</v>
      </c>
      <c r="AF58">
        <v>226.40522346536389</v>
      </c>
      <c r="AG58">
        <v>18846.33710649217</v>
      </c>
    </row>
    <row r="59" spans="2:33" hidden="1" x14ac:dyDescent="0.25">
      <c r="B59">
        <v>1</v>
      </c>
      <c r="C59" t="s">
        <v>25</v>
      </c>
      <c r="D59" t="s">
        <v>26</v>
      </c>
      <c r="E59" t="s">
        <v>67</v>
      </c>
      <c r="F59">
        <v>145632</v>
      </c>
      <c r="G59">
        <v>145632</v>
      </c>
      <c r="H59">
        <v>58</v>
      </c>
      <c r="I59" s="2">
        <v>0</v>
      </c>
      <c r="J59">
        <v>0</v>
      </c>
      <c r="K59">
        <v>24573</v>
      </c>
      <c r="L59">
        <v>445568</v>
      </c>
      <c r="M59">
        <v>75341</v>
      </c>
      <c r="N59">
        <v>29800</v>
      </c>
      <c r="O59" s="43">
        <v>75568690.799999997</v>
      </c>
      <c r="P59" s="14">
        <f t="shared" si="2"/>
        <v>642271.67999999225</v>
      </c>
      <c r="Q59" s="14" t="str">
        <f t="shared" si="0"/>
        <v/>
      </c>
      <c r="R59" s="14" t="str">
        <f t="shared" si="0"/>
        <v/>
      </c>
      <c r="S59" s="14" t="str">
        <f t="shared" si="1"/>
        <v/>
      </c>
      <c r="T59" s="14" t="s">
        <v>72</v>
      </c>
      <c r="U59" s="14">
        <v>0</v>
      </c>
      <c r="V59">
        <v>5335</v>
      </c>
      <c r="W59">
        <v>25.425439453125001</v>
      </c>
      <c r="X59">
        <v>16.107733160581098</v>
      </c>
      <c r="Y59">
        <v>2.7269389061054001</v>
      </c>
      <c r="Z59" s="31">
        <v>4.4475101365041496</v>
      </c>
      <c r="AA59">
        <v>8.6082993868442905</v>
      </c>
      <c r="AB59">
        <v>0.09</v>
      </c>
      <c r="AC59">
        <v>273957.538037878</v>
      </c>
      <c r="AD59">
        <v>309791.18401323247</v>
      </c>
      <c r="AE59">
        <v>1</v>
      </c>
      <c r="AF59">
        <v>226.40522346536389</v>
      </c>
      <c r="AG59">
        <v>18846.33710649217</v>
      </c>
    </row>
    <row r="60" spans="2:33" hidden="1" x14ac:dyDescent="0.25">
      <c r="B60">
        <v>1</v>
      </c>
      <c r="C60" t="s">
        <v>25</v>
      </c>
      <c r="D60" t="s">
        <v>26</v>
      </c>
      <c r="E60" t="s">
        <v>67</v>
      </c>
      <c r="F60">
        <v>145632</v>
      </c>
      <c r="G60">
        <v>145632</v>
      </c>
      <c r="H60">
        <v>59</v>
      </c>
      <c r="I60" s="2">
        <v>0</v>
      </c>
      <c r="J60">
        <v>0</v>
      </c>
      <c r="K60">
        <v>24573</v>
      </c>
      <c r="L60">
        <v>445568</v>
      </c>
      <c r="M60">
        <v>75341</v>
      </c>
      <c r="N60">
        <v>29800</v>
      </c>
      <c r="O60" s="43">
        <v>76229054.640000001</v>
      </c>
      <c r="P60" s="14">
        <f t="shared" si="2"/>
        <v>660363.84000000358</v>
      </c>
      <c r="Q60" s="14" t="str">
        <f t="shared" si="0"/>
        <v/>
      </c>
      <c r="R60" s="14" t="str">
        <f t="shared" si="0"/>
        <v/>
      </c>
      <c r="S60" s="14" t="str">
        <f t="shared" si="1"/>
        <v/>
      </c>
      <c r="T60" s="14" t="s">
        <v>72</v>
      </c>
      <c r="U60" s="14">
        <v>0</v>
      </c>
      <c r="V60">
        <v>5335</v>
      </c>
      <c r="W60">
        <v>14.073327636718799</v>
      </c>
      <c r="X60">
        <v>61.480179876502703</v>
      </c>
      <c r="Y60">
        <v>0.61945225282979899</v>
      </c>
      <c r="Z60" s="31">
        <v>4.2205678922788596</v>
      </c>
      <c r="AA60">
        <v>19.641232247202701</v>
      </c>
      <c r="AB60">
        <v>0.09</v>
      </c>
      <c r="AC60">
        <v>273957.538037878</v>
      </c>
      <c r="AD60">
        <v>309791.18401323247</v>
      </c>
      <c r="AE60">
        <v>1</v>
      </c>
      <c r="AF60">
        <v>226.40522346536389</v>
      </c>
      <c r="AG60">
        <v>18846.33710649217</v>
      </c>
    </row>
    <row r="61" spans="2:33" hidden="1" x14ac:dyDescent="0.25">
      <c r="B61">
        <v>1</v>
      </c>
      <c r="C61" t="s">
        <v>25</v>
      </c>
      <c r="D61" t="s">
        <v>26</v>
      </c>
      <c r="E61" t="s">
        <v>67</v>
      </c>
      <c r="F61">
        <v>145632</v>
      </c>
      <c r="G61">
        <v>145632</v>
      </c>
      <c r="H61">
        <v>60</v>
      </c>
      <c r="I61" s="2">
        <v>0</v>
      </c>
      <c r="J61">
        <v>0</v>
      </c>
      <c r="K61">
        <v>24573</v>
      </c>
      <c r="L61">
        <v>445568</v>
      </c>
      <c r="M61">
        <v>75341</v>
      </c>
      <c r="N61">
        <v>29800</v>
      </c>
      <c r="O61" s="43">
        <v>76654220.400000006</v>
      </c>
      <c r="P61" s="14">
        <f t="shared" si="2"/>
        <v>425165.76000000536</v>
      </c>
      <c r="Q61" s="14" t="str">
        <f t="shared" si="0"/>
        <v/>
      </c>
      <c r="R61" s="14" t="str">
        <f t="shared" si="0"/>
        <v/>
      </c>
      <c r="S61" s="14" t="str">
        <f t="shared" si="1"/>
        <v/>
      </c>
      <c r="T61" s="14" t="s">
        <v>72</v>
      </c>
      <c r="U61" s="14">
        <v>0</v>
      </c>
      <c r="V61">
        <v>5335</v>
      </c>
      <c r="W61">
        <v>12.8265930175781</v>
      </c>
      <c r="X61">
        <v>30.394186798179401</v>
      </c>
      <c r="Y61">
        <v>1.03221578307427</v>
      </c>
      <c r="Z61" s="31">
        <v>2.1554896144066298</v>
      </c>
      <c r="AA61">
        <v>1.7810431803975699</v>
      </c>
      <c r="AB61">
        <v>0.09</v>
      </c>
      <c r="AC61">
        <v>273957.538037878</v>
      </c>
      <c r="AD61">
        <v>309791.18401323247</v>
      </c>
      <c r="AE61">
        <v>1</v>
      </c>
      <c r="AF61">
        <v>226.40522346536389</v>
      </c>
      <c r="AG61">
        <v>18846.33710649217</v>
      </c>
    </row>
    <row r="62" spans="2:33" hidden="1" x14ac:dyDescent="0.25">
      <c r="B62">
        <v>1</v>
      </c>
      <c r="C62" t="s">
        <v>25</v>
      </c>
      <c r="D62" t="s">
        <v>26</v>
      </c>
      <c r="E62" t="s">
        <v>67</v>
      </c>
      <c r="F62">
        <v>145632</v>
      </c>
      <c r="G62">
        <v>145632</v>
      </c>
      <c r="H62">
        <v>61</v>
      </c>
      <c r="I62" s="2">
        <v>0</v>
      </c>
      <c r="J62">
        <v>0</v>
      </c>
      <c r="K62">
        <v>24573</v>
      </c>
      <c r="L62">
        <v>445568</v>
      </c>
      <c r="M62">
        <v>75341</v>
      </c>
      <c r="N62">
        <v>29800</v>
      </c>
      <c r="O62" s="43">
        <v>77052247.920000002</v>
      </c>
      <c r="P62" s="14">
        <f t="shared" si="2"/>
        <v>398027.51999999583</v>
      </c>
      <c r="Q62" s="14" t="str">
        <f t="shared" si="0"/>
        <v/>
      </c>
      <c r="R62" s="14" t="str">
        <f t="shared" si="0"/>
        <v/>
      </c>
      <c r="S62" s="14" t="str">
        <f t="shared" si="1"/>
        <v/>
      </c>
      <c r="T62" s="14" t="s">
        <v>72</v>
      </c>
      <c r="U62" s="14">
        <v>0</v>
      </c>
      <c r="V62">
        <v>5335</v>
      </c>
      <c r="W62">
        <v>18.629479980468801</v>
      </c>
      <c r="X62">
        <v>20.0386291127279</v>
      </c>
      <c r="Y62">
        <v>1.7184037110772199</v>
      </c>
      <c r="Z62" s="31">
        <v>1.7507795127511501</v>
      </c>
      <c r="AA62">
        <v>4.6174738001690097</v>
      </c>
      <c r="AB62">
        <v>0.09</v>
      </c>
      <c r="AC62">
        <v>273957.538037878</v>
      </c>
      <c r="AD62">
        <v>309791.18401323247</v>
      </c>
      <c r="AE62">
        <v>1</v>
      </c>
      <c r="AF62">
        <v>226.40522346536389</v>
      </c>
      <c r="AG62">
        <v>18846.33710649217</v>
      </c>
    </row>
    <row r="63" spans="2:33" hidden="1" x14ac:dyDescent="0.25">
      <c r="B63">
        <v>1</v>
      </c>
      <c r="C63" t="s">
        <v>25</v>
      </c>
      <c r="D63" t="s">
        <v>26</v>
      </c>
      <c r="E63" t="s">
        <v>67</v>
      </c>
      <c r="F63">
        <v>145632</v>
      </c>
      <c r="G63">
        <v>145632</v>
      </c>
      <c r="H63">
        <v>62</v>
      </c>
      <c r="I63" s="2">
        <v>0</v>
      </c>
      <c r="J63">
        <v>0</v>
      </c>
      <c r="K63">
        <v>24573</v>
      </c>
      <c r="L63">
        <v>445568</v>
      </c>
      <c r="M63">
        <v>75341</v>
      </c>
      <c r="N63">
        <v>29800</v>
      </c>
      <c r="O63" s="43">
        <v>77558828.400000006</v>
      </c>
      <c r="P63" s="14">
        <f t="shared" si="2"/>
        <v>506580.48000000417</v>
      </c>
      <c r="Q63" s="14" t="str">
        <f t="shared" si="0"/>
        <v/>
      </c>
      <c r="R63" s="14" t="str">
        <f t="shared" si="0"/>
        <v/>
      </c>
      <c r="S63" s="14" t="str">
        <f t="shared" si="1"/>
        <v/>
      </c>
      <c r="T63" s="14" t="s">
        <v>72</v>
      </c>
      <c r="U63" s="14">
        <v>0</v>
      </c>
      <c r="V63">
        <v>5335</v>
      </c>
      <c r="W63">
        <v>21.975366210937501</v>
      </c>
      <c r="X63">
        <v>17.255816975021801</v>
      </c>
      <c r="Y63">
        <v>2.18590899091416</v>
      </c>
      <c r="Z63" s="31">
        <v>1.51284070929251</v>
      </c>
      <c r="AA63">
        <v>2.1986679693670999</v>
      </c>
      <c r="AB63">
        <v>0.09</v>
      </c>
      <c r="AC63">
        <v>273957.538037878</v>
      </c>
      <c r="AD63">
        <v>309791.18401323247</v>
      </c>
      <c r="AE63">
        <v>1</v>
      </c>
      <c r="AF63">
        <v>226.40522346536389</v>
      </c>
      <c r="AG63">
        <v>18846.33710649217</v>
      </c>
    </row>
    <row r="64" spans="2:33" hidden="1" x14ac:dyDescent="0.25">
      <c r="B64">
        <v>1</v>
      </c>
      <c r="C64" t="s">
        <v>25</v>
      </c>
      <c r="D64" t="s">
        <v>26</v>
      </c>
      <c r="E64" t="s">
        <v>67</v>
      </c>
      <c r="F64">
        <v>145632</v>
      </c>
      <c r="G64">
        <v>145632</v>
      </c>
      <c r="H64">
        <v>63</v>
      </c>
      <c r="I64" s="2">
        <v>0</v>
      </c>
      <c r="J64">
        <v>0</v>
      </c>
      <c r="K64">
        <v>24573</v>
      </c>
      <c r="L64">
        <v>445568</v>
      </c>
      <c r="M64">
        <v>75341</v>
      </c>
      <c r="N64">
        <v>29800</v>
      </c>
      <c r="O64" s="43">
        <v>78246330.480000004</v>
      </c>
      <c r="P64" s="14">
        <f t="shared" si="2"/>
        <v>687502.07999999821</v>
      </c>
      <c r="Q64" s="14" t="str">
        <f t="shared" si="0"/>
        <v/>
      </c>
      <c r="R64" s="14" t="str">
        <f t="shared" si="0"/>
        <v/>
      </c>
      <c r="S64" s="14" t="str">
        <f t="shared" si="1"/>
        <v/>
      </c>
      <c r="T64" s="14" t="s">
        <v>72</v>
      </c>
      <c r="U64" s="14">
        <v>0</v>
      </c>
      <c r="V64">
        <v>5335</v>
      </c>
      <c r="W64">
        <v>22.051873779296901</v>
      </c>
      <c r="X64">
        <v>27.6889755818429</v>
      </c>
      <c r="Y64">
        <v>1.9190637603801</v>
      </c>
      <c r="Z64" s="31">
        <v>1.2996603867209799</v>
      </c>
      <c r="AA64">
        <v>1.09220138242618</v>
      </c>
      <c r="AB64">
        <v>0.09</v>
      </c>
      <c r="AC64">
        <v>273957.538037878</v>
      </c>
      <c r="AD64">
        <v>309791.18401323247</v>
      </c>
      <c r="AE64">
        <v>1</v>
      </c>
      <c r="AF64">
        <v>226.40522346536389</v>
      </c>
      <c r="AG64">
        <v>18846.33710649217</v>
      </c>
    </row>
    <row r="65" spans="1:33" hidden="1" x14ac:dyDescent="0.25">
      <c r="B65">
        <v>1</v>
      </c>
      <c r="C65" t="s">
        <v>25</v>
      </c>
      <c r="D65" t="s">
        <v>26</v>
      </c>
      <c r="E65" t="s">
        <v>67</v>
      </c>
      <c r="F65">
        <v>145632</v>
      </c>
      <c r="G65">
        <v>145632</v>
      </c>
      <c r="H65">
        <v>64</v>
      </c>
      <c r="I65" s="2">
        <v>0</v>
      </c>
      <c r="J65">
        <v>0</v>
      </c>
      <c r="K65">
        <v>24573</v>
      </c>
      <c r="L65">
        <v>445568</v>
      </c>
      <c r="M65">
        <v>75341</v>
      </c>
      <c r="N65">
        <v>29800</v>
      </c>
      <c r="O65" s="43">
        <v>78845633.280000001</v>
      </c>
      <c r="P65" s="14">
        <f t="shared" si="2"/>
        <v>599302.79999999702</v>
      </c>
      <c r="Q65" s="14" t="str">
        <f t="shared" si="0"/>
        <v/>
      </c>
      <c r="R65" s="14" t="str">
        <f t="shared" si="0"/>
        <v/>
      </c>
      <c r="S65" s="14" t="str">
        <f t="shared" si="1"/>
        <v/>
      </c>
      <c r="T65" s="14" t="s">
        <v>72</v>
      </c>
      <c r="U65" s="14">
        <v>0</v>
      </c>
      <c r="V65">
        <v>5335</v>
      </c>
      <c r="W65">
        <v>24.850732421875001</v>
      </c>
      <c r="X65">
        <v>14.8429426264622</v>
      </c>
      <c r="Y65">
        <v>2.6751048175448902</v>
      </c>
      <c r="Z65" s="31">
        <v>1.13184462760785</v>
      </c>
      <c r="AA65">
        <v>1.85248885321708</v>
      </c>
      <c r="AB65">
        <v>0.09</v>
      </c>
      <c r="AC65">
        <v>273957.538037878</v>
      </c>
      <c r="AD65">
        <v>309791.18401323247</v>
      </c>
      <c r="AE65">
        <v>1</v>
      </c>
      <c r="AF65">
        <v>226.40522346536389</v>
      </c>
      <c r="AG65">
        <v>18846.33710649217</v>
      </c>
    </row>
    <row r="66" spans="1:33" hidden="1" x14ac:dyDescent="0.25">
      <c r="B66">
        <v>1</v>
      </c>
      <c r="C66" t="s">
        <v>25</v>
      </c>
      <c r="D66" t="s">
        <v>26</v>
      </c>
      <c r="E66" t="s">
        <v>67</v>
      </c>
      <c r="F66">
        <v>145632</v>
      </c>
      <c r="G66">
        <v>145632</v>
      </c>
      <c r="H66">
        <v>65</v>
      </c>
      <c r="I66" s="2">
        <v>0</v>
      </c>
      <c r="J66">
        <v>0</v>
      </c>
      <c r="K66">
        <v>24573</v>
      </c>
      <c r="L66">
        <v>445568</v>
      </c>
      <c r="M66">
        <v>75341</v>
      </c>
      <c r="N66">
        <v>29800</v>
      </c>
      <c r="O66" s="43">
        <v>79676741.879999995</v>
      </c>
      <c r="P66" s="14">
        <f t="shared" si="2"/>
        <v>831108.59999999404</v>
      </c>
      <c r="Q66" s="14" t="str">
        <f t="shared" si="0"/>
        <v/>
      </c>
      <c r="R66" s="14" t="str">
        <f t="shared" si="0"/>
        <v/>
      </c>
      <c r="S66" s="14" t="str">
        <f t="shared" si="1"/>
        <v/>
      </c>
      <c r="T66" s="14" t="s">
        <v>72</v>
      </c>
      <c r="U66" s="14">
        <v>0</v>
      </c>
      <c r="V66">
        <v>5335</v>
      </c>
      <c r="W66">
        <v>26.460961914062501</v>
      </c>
      <c r="X66">
        <v>13.749326693845999</v>
      </c>
      <c r="Y66">
        <v>2.9805539642354901</v>
      </c>
      <c r="Z66" s="31">
        <v>1.4156315109076101</v>
      </c>
      <c r="AA66">
        <v>3.0435118369644298</v>
      </c>
      <c r="AB66">
        <v>0.09</v>
      </c>
      <c r="AC66">
        <v>273957.538037878</v>
      </c>
      <c r="AD66">
        <v>309791.18401323247</v>
      </c>
      <c r="AE66">
        <v>1</v>
      </c>
      <c r="AF66">
        <v>226.40522346536389</v>
      </c>
      <c r="AG66">
        <v>18846.33710649217</v>
      </c>
    </row>
    <row r="67" spans="1:33" hidden="1" x14ac:dyDescent="0.25">
      <c r="B67">
        <v>1</v>
      </c>
      <c r="C67" t="s">
        <v>25</v>
      </c>
      <c r="D67" t="s">
        <v>26</v>
      </c>
      <c r="E67" t="s">
        <v>67</v>
      </c>
      <c r="F67">
        <v>145632</v>
      </c>
      <c r="G67">
        <v>145632</v>
      </c>
      <c r="H67">
        <v>66</v>
      </c>
      <c r="I67" s="2">
        <v>0</v>
      </c>
      <c r="J67">
        <v>0</v>
      </c>
      <c r="K67">
        <v>24573</v>
      </c>
      <c r="L67">
        <v>445568</v>
      </c>
      <c r="M67">
        <v>75341</v>
      </c>
      <c r="N67">
        <v>29800</v>
      </c>
      <c r="O67" s="43">
        <v>80295267.599999994</v>
      </c>
      <c r="P67" s="14">
        <f t="shared" si="2"/>
        <v>618525.71999999881</v>
      </c>
      <c r="Q67" s="14" t="str">
        <f t="shared" ref="Q67:R130" si="3">IF(P67&gt;=0,"",P67)</f>
        <v/>
      </c>
      <c r="R67" s="14" t="str">
        <f t="shared" si="3"/>
        <v/>
      </c>
      <c r="S67" s="14" t="str">
        <f t="shared" ref="S67:S130" si="4">IFERROR(IF(ISNA(Q67),NA(),Q67^2),"")</f>
        <v/>
      </c>
      <c r="T67" s="14" t="s">
        <v>72</v>
      </c>
      <c r="U67" s="14">
        <v>0</v>
      </c>
      <c r="V67">
        <v>5335</v>
      </c>
      <c r="W67">
        <v>23.493371582031301</v>
      </c>
      <c r="X67">
        <v>15.6435564092933</v>
      </c>
      <c r="Y67">
        <v>2.4430537073008698</v>
      </c>
      <c r="Z67" s="31">
        <v>4.4704257254128699</v>
      </c>
      <c r="AA67">
        <v>11.685226632588501</v>
      </c>
      <c r="AB67">
        <v>0.09</v>
      </c>
      <c r="AC67">
        <v>273957.538037878</v>
      </c>
      <c r="AD67">
        <v>309791.18401323247</v>
      </c>
      <c r="AE67">
        <v>1</v>
      </c>
      <c r="AF67">
        <v>226.40522346536389</v>
      </c>
      <c r="AG67">
        <v>18846.33710649217</v>
      </c>
    </row>
    <row r="68" spans="1:33" hidden="1" x14ac:dyDescent="0.25">
      <c r="B68">
        <v>1</v>
      </c>
      <c r="C68" t="s">
        <v>25</v>
      </c>
      <c r="D68" t="s">
        <v>26</v>
      </c>
      <c r="E68" t="s">
        <v>67</v>
      </c>
      <c r="F68">
        <v>145632</v>
      </c>
      <c r="G68">
        <v>145632</v>
      </c>
      <c r="H68">
        <v>67</v>
      </c>
      <c r="I68" s="2">
        <v>0</v>
      </c>
      <c r="J68">
        <v>0</v>
      </c>
      <c r="K68">
        <v>24573</v>
      </c>
      <c r="L68">
        <v>445568</v>
      </c>
      <c r="M68">
        <v>75341</v>
      </c>
      <c r="N68">
        <v>29800</v>
      </c>
      <c r="O68" s="43">
        <v>80600616.899639994</v>
      </c>
      <c r="P68" s="14">
        <f t="shared" ref="P68:P131" si="5">O68-O67</f>
        <v>305349.29963999987</v>
      </c>
      <c r="Q68" s="14" t="str">
        <f t="shared" si="3"/>
        <v/>
      </c>
      <c r="R68" s="14" t="str">
        <f t="shared" si="3"/>
        <v/>
      </c>
      <c r="S68" s="14" t="str">
        <f t="shared" si="4"/>
        <v/>
      </c>
      <c r="T68" s="14" t="s">
        <v>72</v>
      </c>
      <c r="U68" s="14">
        <v>0</v>
      </c>
      <c r="V68">
        <v>5335</v>
      </c>
      <c r="W68">
        <v>20.325219726562501</v>
      </c>
      <c r="X68">
        <v>17.6981734475198</v>
      </c>
      <c r="Y68">
        <v>1.9650757356266799</v>
      </c>
      <c r="Z68" s="31">
        <v>4.7126711875777101</v>
      </c>
      <c r="AA68">
        <v>11.707952984689401</v>
      </c>
      <c r="AB68">
        <v>0.09</v>
      </c>
      <c r="AC68">
        <v>273957.538037878</v>
      </c>
      <c r="AD68">
        <v>309791.18401323247</v>
      </c>
      <c r="AE68">
        <v>1</v>
      </c>
      <c r="AF68">
        <v>226.40522346536389</v>
      </c>
      <c r="AG68">
        <v>18846.33710649217</v>
      </c>
    </row>
    <row r="69" spans="1:33" hidden="1" x14ac:dyDescent="0.25">
      <c r="B69">
        <v>1</v>
      </c>
      <c r="C69" t="s">
        <v>25</v>
      </c>
      <c r="D69" t="s">
        <v>26</v>
      </c>
      <c r="E69" t="s">
        <v>67</v>
      </c>
      <c r="F69">
        <v>145632</v>
      </c>
      <c r="G69">
        <v>145632</v>
      </c>
      <c r="H69">
        <v>68</v>
      </c>
      <c r="I69" s="2">
        <v>0</v>
      </c>
      <c r="J69">
        <v>0</v>
      </c>
      <c r="K69">
        <v>24573</v>
      </c>
      <c r="L69">
        <v>445568</v>
      </c>
      <c r="M69">
        <v>75341</v>
      </c>
      <c r="N69">
        <v>29800</v>
      </c>
      <c r="O69" s="43">
        <v>81187492.647239998</v>
      </c>
      <c r="P69" s="14">
        <f t="shared" si="5"/>
        <v>586875.74760000408</v>
      </c>
      <c r="Q69" s="14" t="str">
        <f t="shared" si="3"/>
        <v/>
      </c>
      <c r="R69" s="14" t="str">
        <f t="shared" si="3"/>
        <v/>
      </c>
      <c r="S69" s="14" t="str">
        <f t="shared" si="4"/>
        <v/>
      </c>
      <c r="T69" s="14" t="s">
        <v>72</v>
      </c>
      <c r="U69" s="14">
        <v>0</v>
      </c>
      <c r="V69">
        <v>5335</v>
      </c>
      <c r="W69">
        <v>11.3552795410156</v>
      </c>
      <c r="X69">
        <v>47.121841724062001</v>
      </c>
      <c r="Y69">
        <v>0.71183671340642396</v>
      </c>
      <c r="Z69" s="31">
        <v>1.0582425061099401</v>
      </c>
      <c r="AA69">
        <v>7.9166923311384396</v>
      </c>
      <c r="AB69">
        <v>0.09</v>
      </c>
      <c r="AC69">
        <v>273957.538037878</v>
      </c>
      <c r="AD69">
        <v>309791.18401323247</v>
      </c>
      <c r="AE69">
        <v>1</v>
      </c>
      <c r="AF69">
        <v>226.40522346536389</v>
      </c>
      <c r="AG69">
        <v>18846.33710649217</v>
      </c>
    </row>
    <row r="70" spans="1:33" hidden="1" x14ac:dyDescent="0.25">
      <c r="B70">
        <v>1</v>
      </c>
      <c r="C70" t="s">
        <v>25</v>
      </c>
      <c r="D70" t="s">
        <v>26</v>
      </c>
      <c r="E70" t="s">
        <v>67</v>
      </c>
      <c r="F70">
        <v>145632</v>
      </c>
      <c r="G70">
        <v>145632</v>
      </c>
      <c r="H70">
        <v>69</v>
      </c>
      <c r="I70" s="2">
        <v>0</v>
      </c>
      <c r="J70">
        <v>0</v>
      </c>
      <c r="K70">
        <v>24573</v>
      </c>
      <c r="L70">
        <v>445568</v>
      </c>
      <c r="M70">
        <v>75341</v>
      </c>
      <c r="N70">
        <v>29800</v>
      </c>
      <c r="O70" s="43">
        <v>81923562</v>
      </c>
      <c r="P70" s="14">
        <f t="shared" si="5"/>
        <v>736069.35276000202</v>
      </c>
      <c r="Q70" s="14" t="str">
        <f t="shared" si="3"/>
        <v/>
      </c>
      <c r="R70" s="14" t="str">
        <f t="shared" si="3"/>
        <v/>
      </c>
      <c r="S70" s="14" t="str">
        <f t="shared" si="4"/>
        <v/>
      </c>
      <c r="T70" s="14" t="s">
        <v>72</v>
      </c>
      <c r="U70" s="14">
        <v>0</v>
      </c>
      <c r="V70">
        <v>5335</v>
      </c>
      <c r="W70">
        <v>16.070642089843702</v>
      </c>
      <c r="X70">
        <v>21.483560511107498</v>
      </c>
      <c r="Y70">
        <v>1.4356684695461399</v>
      </c>
      <c r="Z70" s="31">
        <v>3.00152530053861</v>
      </c>
      <c r="AA70">
        <v>7.2538857347551904</v>
      </c>
      <c r="AB70">
        <v>0.09</v>
      </c>
      <c r="AC70">
        <v>273957.538037878</v>
      </c>
      <c r="AD70">
        <v>309791.18401323247</v>
      </c>
      <c r="AE70">
        <v>1</v>
      </c>
      <c r="AF70">
        <v>226.40522346536389</v>
      </c>
      <c r="AG70">
        <v>18846.33710649217</v>
      </c>
    </row>
    <row r="71" spans="1:33" hidden="1" x14ac:dyDescent="0.25">
      <c r="B71">
        <v>1</v>
      </c>
      <c r="C71" t="s">
        <v>25</v>
      </c>
      <c r="D71" t="s">
        <v>26</v>
      </c>
      <c r="E71" t="s">
        <v>67</v>
      </c>
      <c r="F71">
        <v>145632</v>
      </c>
      <c r="G71">
        <v>145632</v>
      </c>
      <c r="H71">
        <v>70</v>
      </c>
      <c r="I71" s="2">
        <v>0</v>
      </c>
      <c r="J71">
        <v>0</v>
      </c>
      <c r="K71">
        <v>24573</v>
      </c>
      <c r="L71">
        <v>445568</v>
      </c>
      <c r="M71">
        <v>75341</v>
      </c>
      <c r="N71">
        <v>29800</v>
      </c>
      <c r="O71" s="43">
        <v>82658556</v>
      </c>
      <c r="P71" s="14">
        <f t="shared" si="5"/>
        <v>734994</v>
      </c>
      <c r="Q71" s="14" t="str">
        <f t="shared" si="3"/>
        <v/>
      </c>
      <c r="R71" s="14" t="str">
        <f t="shared" si="3"/>
        <v/>
      </c>
      <c r="S71" s="14" t="str">
        <f t="shared" si="4"/>
        <v/>
      </c>
      <c r="T71" s="14" t="s">
        <v>72</v>
      </c>
      <c r="U71" s="14">
        <v>0</v>
      </c>
      <c r="V71">
        <v>5335</v>
      </c>
      <c r="W71">
        <v>14.096337890625</v>
      </c>
      <c r="X71">
        <v>25.6229170301587</v>
      </c>
      <c r="Y71">
        <v>1.1979647084385701</v>
      </c>
      <c r="Z71" s="31">
        <v>4.6051825468015801</v>
      </c>
      <c r="AA71">
        <v>8.4762048635567595</v>
      </c>
      <c r="AB71">
        <v>0.09</v>
      </c>
      <c r="AC71">
        <v>273957.538037878</v>
      </c>
      <c r="AD71">
        <v>309791.18401323247</v>
      </c>
      <c r="AE71">
        <v>1</v>
      </c>
      <c r="AF71">
        <v>226.40522346536389</v>
      </c>
      <c r="AG71">
        <v>18846.33710649217</v>
      </c>
    </row>
    <row r="72" spans="1:33" hidden="1" x14ac:dyDescent="0.25">
      <c r="B72">
        <v>1</v>
      </c>
      <c r="C72" t="s">
        <v>25</v>
      </c>
      <c r="D72" t="s">
        <v>26</v>
      </c>
      <c r="E72" t="s">
        <v>67</v>
      </c>
      <c r="F72">
        <v>145632</v>
      </c>
      <c r="G72">
        <v>145632</v>
      </c>
      <c r="H72">
        <v>71</v>
      </c>
      <c r="I72" s="2">
        <v>0</v>
      </c>
      <c r="J72">
        <v>0</v>
      </c>
      <c r="K72">
        <v>24573</v>
      </c>
      <c r="L72">
        <v>445568</v>
      </c>
      <c r="M72">
        <v>75341</v>
      </c>
      <c r="N72">
        <v>29800</v>
      </c>
      <c r="O72" s="43">
        <v>83404857.599999994</v>
      </c>
      <c r="P72" s="14">
        <f t="shared" si="5"/>
        <v>746301.59999999404</v>
      </c>
      <c r="Q72" s="14" t="str">
        <f t="shared" si="3"/>
        <v/>
      </c>
      <c r="R72" s="14" t="str">
        <f t="shared" si="3"/>
        <v/>
      </c>
      <c r="S72" s="14" t="str">
        <f t="shared" si="4"/>
        <v/>
      </c>
      <c r="T72" s="14" t="s">
        <v>72</v>
      </c>
      <c r="U72" s="14">
        <v>0</v>
      </c>
      <c r="V72">
        <v>5335</v>
      </c>
      <c r="W72">
        <v>16.926782226562501</v>
      </c>
      <c r="X72">
        <v>20.913561288545601</v>
      </c>
      <c r="Y72">
        <v>1.52694480201615</v>
      </c>
      <c r="Z72" s="31">
        <v>2.3216887641680199</v>
      </c>
      <c r="AA72">
        <v>4.3843835666893796</v>
      </c>
      <c r="AB72">
        <v>0.09</v>
      </c>
      <c r="AC72">
        <v>273957.538037878</v>
      </c>
      <c r="AD72">
        <v>309791.18401323247</v>
      </c>
      <c r="AE72">
        <v>1</v>
      </c>
      <c r="AF72">
        <v>226.40522346536389</v>
      </c>
      <c r="AG72">
        <v>18846.33710649217</v>
      </c>
    </row>
    <row r="73" spans="1:33" hidden="1" x14ac:dyDescent="0.25">
      <c r="B73">
        <v>1</v>
      </c>
      <c r="C73" t="s">
        <v>25</v>
      </c>
      <c r="D73" t="s">
        <v>26</v>
      </c>
      <c r="E73" t="s">
        <v>67</v>
      </c>
      <c r="F73">
        <v>145632</v>
      </c>
      <c r="G73">
        <v>145632</v>
      </c>
      <c r="H73">
        <v>72</v>
      </c>
      <c r="I73" s="2">
        <v>0</v>
      </c>
      <c r="J73">
        <v>0</v>
      </c>
      <c r="K73">
        <v>24573</v>
      </c>
      <c r="L73">
        <v>445568</v>
      </c>
      <c r="M73">
        <v>75341</v>
      </c>
      <c r="N73">
        <v>29800</v>
      </c>
      <c r="O73" s="43">
        <v>84162466.799999997</v>
      </c>
      <c r="P73" s="14">
        <f t="shared" si="5"/>
        <v>757609.20000000298</v>
      </c>
      <c r="Q73" s="14" t="str">
        <f t="shared" si="3"/>
        <v/>
      </c>
      <c r="R73" s="14" t="str">
        <f t="shared" si="3"/>
        <v/>
      </c>
      <c r="S73" s="14" t="str">
        <f t="shared" si="4"/>
        <v/>
      </c>
      <c r="T73" s="14" t="s">
        <v>72</v>
      </c>
      <c r="U73" s="14">
        <v>0</v>
      </c>
      <c r="V73">
        <v>5335</v>
      </c>
      <c r="W73">
        <v>12.693078613281299</v>
      </c>
      <c r="X73">
        <v>53.7245294740435</v>
      </c>
      <c r="Y73">
        <v>0.68026814963858495</v>
      </c>
      <c r="Z73" s="31">
        <v>5.6356123574415999</v>
      </c>
      <c r="AA73">
        <v>11.158264875460199</v>
      </c>
      <c r="AB73">
        <v>0.09</v>
      </c>
      <c r="AC73">
        <v>273957.538037878</v>
      </c>
      <c r="AD73">
        <v>309791.18401323247</v>
      </c>
      <c r="AE73">
        <v>1</v>
      </c>
      <c r="AF73">
        <v>226.40522346536389</v>
      </c>
      <c r="AG73">
        <v>18846.33710649217</v>
      </c>
    </row>
    <row r="74" spans="1:33" hidden="1" x14ac:dyDescent="0.25">
      <c r="B74">
        <v>1</v>
      </c>
      <c r="C74" t="s">
        <v>25</v>
      </c>
      <c r="D74" t="s">
        <v>26</v>
      </c>
      <c r="E74" t="s">
        <v>67</v>
      </c>
      <c r="F74">
        <v>145632</v>
      </c>
      <c r="G74">
        <v>145632</v>
      </c>
      <c r="H74">
        <v>73</v>
      </c>
      <c r="I74" s="2">
        <v>0</v>
      </c>
      <c r="J74">
        <v>0</v>
      </c>
      <c r="K74">
        <v>24573</v>
      </c>
      <c r="L74">
        <v>445568</v>
      </c>
      <c r="M74">
        <v>75341</v>
      </c>
      <c r="N74">
        <v>29800</v>
      </c>
      <c r="O74" s="43">
        <v>84162466.799999997</v>
      </c>
      <c r="P74" s="14">
        <f t="shared" si="5"/>
        <v>0</v>
      </c>
      <c r="Q74" s="14" t="str">
        <f t="shared" si="3"/>
        <v/>
      </c>
      <c r="R74" s="14" t="str">
        <f t="shared" si="3"/>
        <v/>
      </c>
      <c r="S74" s="14" t="str">
        <f t="shared" si="4"/>
        <v/>
      </c>
      <c r="T74" s="14" t="s">
        <v>72</v>
      </c>
      <c r="U74" s="14">
        <v>0</v>
      </c>
      <c r="V74">
        <v>5335</v>
      </c>
      <c r="W74">
        <v>6.8816772460937203</v>
      </c>
      <c r="X74">
        <v>26.863787629366101</v>
      </c>
      <c r="Y74">
        <v>0.72817732643535404</v>
      </c>
      <c r="Z74" s="31">
        <v>6.23844784712439</v>
      </c>
      <c r="AA74">
        <v>10.0770270354099</v>
      </c>
      <c r="AB74">
        <v>0.09</v>
      </c>
      <c r="AC74">
        <v>273957.538037878</v>
      </c>
      <c r="AD74">
        <v>309791.18401323247</v>
      </c>
      <c r="AE74">
        <v>1</v>
      </c>
      <c r="AF74">
        <v>226.40522346536389</v>
      </c>
      <c r="AG74">
        <v>18846.33710649217</v>
      </c>
    </row>
    <row r="75" spans="1:33" hidden="1" x14ac:dyDescent="0.25">
      <c r="B75">
        <v>1</v>
      </c>
      <c r="C75" t="s">
        <v>25</v>
      </c>
      <c r="D75" t="s">
        <v>26</v>
      </c>
      <c r="E75" t="s">
        <v>67</v>
      </c>
      <c r="F75">
        <v>145632</v>
      </c>
      <c r="G75">
        <v>145632</v>
      </c>
      <c r="H75">
        <v>74</v>
      </c>
      <c r="I75" s="2">
        <v>0</v>
      </c>
      <c r="J75">
        <v>0</v>
      </c>
      <c r="K75">
        <v>24573</v>
      </c>
      <c r="L75">
        <v>445568</v>
      </c>
      <c r="M75">
        <v>75341</v>
      </c>
      <c r="N75">
        <v>29800</v>
      </c>
      <c r="O75" s="43">
        <v>84637386</v>
      </c>
      <c r="P75" s="14">
        <f t="shared" si="5"/>
        <v>474919.20000000298</v>
      </c>
      <c r="Q75" s="14" t="str">
        <f t="shared" si="3"/>
        <v/>
      </c>
      <c r="R75" s="14" t="str">
        <f t="shared" si="3"/>
        <v/>
      </c>
      <c r="S75" s="14" t="str">
        <f t="shared" si="4"/>
        <v/>
      </c>
      <c r="T75" s="14" t="s">
        <v>72</v>
      </c>
      <c r="U75" s="14">
        <v>0</v>
      </c>
      <c r="V75">
        <v>5335</v>
      </c>
      <c r="W75">
        <v>10.363732910156299</v>
      </c>
      <c r="X75">
        <v>15.2602794200687</v>
      </c>
      <c r="Y75">
        <v>1.0676709754489599</v>
      </c>
      <c r="Z75" s="31">
        <v>3.1380779955796601</v>
      </c>
      <c r="AA75">
        <v>11.772805320397</v>
      </c>
      <c r="AB75">
        <v>0.09</v>
      </c>
      <c r="AC75">
        <v>273957.538037878</v>
      </c>
      <c r="AD75">
        <v>309791.18401323247</v>
      </c>
      <c r="AE75">
        <v>1</v>
      </c>
      <c r="AF75">
        <v>226.40522346536389</v>
      </c>
      <c r="AG75">
        <v>18846.33710649217</v>
      </c>
    </row>
    <row r="76" spans="1:33" hidden="1" x14ac:dyDescent="0.25">
      <c r="B76">
        <v>1</v>
      </c>
      <c r="C76" t="s">
        <v>25</v>
      </c>
      <c r="D76" t="s">
        <v>26</v>
      </c>
      <c r="E76" t="s">
        <v>67</v>
      </c>
      <c r="F76">
        <v>145632</v>
      </c>
      <c r="G76">
        <v>145632</v>
      </c>
      <c r="H76">
        <v>75</v>
      </c>
      <c r="I76" s="2">
        <v>0</v>
      </c>
      <c r="J76">
        <v>0</v>
      </c>
      <c r="K76">
        <v>24573</v>
      </c>
      <c r="L76">
        <v>445568</v>
      </c>
      <c r="M76">
        <v>75341</v>
      </c>
      <c r="N76">
        <v>29800</v>
      </c>
      <c r="O76" s="43">
        <v>84693924</v>
      </c>
      <c r="P76" s="14">
        <f t="shared" si="5"/>
        <v>56538</v>
      </c>
      <c r="Q76" s="14" t="str">
        <f t="shared" si="3"/>
        <v/>
      </c>
      <c r="R76" s="14" t="str">
        <f t="shared" si="3"/>
        <v/>
      </c>
      <c r="S76" s="14" t="str">
        <f t="shared" si="4"/>
        <v/>
      </c>
      <c r="T76" s="14" t="s">
        <v>72</v>
      </c>
      <c r="U76" s="14">
        <v>0</v>
      </c>
      <c r="V76">
        <v>5335</v>
      </c>
      <c r="W76">
        <v>9.7781311035156495</v>
      </c>
      <c r="X76">
        <v>33.951644807088002</v>
      </c>
      <c r="Y76">
        <v>0.80044751561561001</v>
      </c>
      <c r="Z76" s="31">
        <v>3.9243968690998599</v>
      </c>
      <c r="AA76">
        <v>6.65354926164584</v>
      </c>
      <c r="AB76">
        <v>0.09</v>
      </c>
      <c r="AC76">
        <v>273957.538037878</v>
      </c>
      <c r="AD76">
        <v>309791.18401323247</v>
      </c>
      <c r="AE76">
        <v>1</v>
      </c>
      <c r="AF76">
        <v>226.40522346536389</v>
      </c>
      <c r="AG76">
        <v>18846.33710649217</v>
      </c>
    </row>
    <row r="77" spans="1:33" hidden="1" x14ac:dyDescent="0.25">
      <c r="B77">
        <v>1</v>
      </c>
      <c r="C77" t="s">
        <v>25</v>
      </c>
      <c r="D77" t="s">
        <v>26</v>
      </c>
      <c r="E77" t="s">
        <v>67</v>
      </c>
      <c r="F77">
        <v>145632</v>
      </c>
      <c r="G77">
        <v>145632</v>
      </c>
      <c r="H77">
        <v>76</v>
      </c>
      <c r="I77" s="2">
        <v>0</v>
      </c>
      <c r="J77">
        <v>0</v>
      </c>
      <c r="K77">
        <v>24573</v>
      </c>
      <c r="L77">
        <v>445568</v>
      </c>
      <c r="M77">
        <v>75341</v>
      </c>
      <c r="N77">
        <v>29800</v>
      </c>
      <c r="O77" s="43">
        <v>84750801.228</v>
      </c>
      <c r="P77" s="14">
        <f t="shared" si="5"/>
        <v>56877.228000000119</v>
      </c>
      <c r="Q77" s="14" t="str">
        <f t="shared" si="3"/>
        <v/>
      </c>
      <c r="R77" s="14" t="str">
        <f t="shared" si="3"/>
        <v/>
      </c>
      <c r="S77" s="14" t="str">
        <f t="shared" si="4"/>
        <v/>
      </c>
      <c r="T77" s="14" t="s">
        <v>72</v>
      </c>
      <c r="U77" s="14">
        <v>0</v>
      </c>
      <c r="V77">
        <v>5335</v>
      </c>
      <c r="W77">
        <v>13.4647766113281</v>
      </c>
      <c r="X77">
        <v>29.911450592792999</v>
      </c>
      <c r="Y77">
        <v>1.0835637483927201</v>
      </c>
      <c r="Z77" s="31">
        <v>0.94732869346316395</v>
      </c>
      <c r="AA77">
        <v>8.4441285323093602</v>
      </c>
      <c r="AB77">
        <v>0.09</v>
      </c>
      <c r="AC77">
        <v>273957.538037878</v>
      </c>
      <c r="AD77">
        <v>309791.18401323247</v>
      </c>
      <c r="AE77">
        <v>1</v>
      </c>
      <c r="AF77">
        <v>226.40522346536389</v>
      </c>
      <c r="AG77">
        <v>18846.33710649217</v>
      </c>
    </row>
    <row r="78" spans="1:33" hidden="1" x14ac:dyDescent="0.25">
      <c r="A78" t="s">
        <v>100</v>
      </c>
      <c r="B78">
        <v>2</v>
      </c>
      <c r="C78" t="s">
        <v>27</v>
      </c>
      <c r="D78" t="s">
        <v>28</v>
      </c>
      <c r="E78" t="s">
        <v>68</v>
      </c>
      <c r="F78">
        <v>43971</v>
      </c>
      <c r="G78">
        <v>131542</v>
      </c>
      <c r="H78">
        <v>1</v>
      </c>
      <c r="I78" s="2">
        <v>0</v>
      </c>
      <c r="J78">
        <v>6.351195815785073</v>
      </c>
      <c r="K78">
        <v>476209</v>
      </c>
      <c r="L78">
        <v>24424</v>
      </c>
      <c r="M78">
        <v>0</v>
      </c>
      <c r="N78">
        <v>19900</v>
      </c>
      <c r="O78" s="43">
        <v>171649.36799999999</v>
      </c>
      <c r="P78" s="14">
        <v>0</v>
      </c>
      <c r="Q78" s="14" t="str">
        <f t="shared" si="3"/>
        <v/>
      </c>
      <c r="R78" s="14" t="str">
        <f t="shared" si="3"/>
        <v/>
      </c>
      <c r="S78" s="14" t="str">
        <f t="shared" si="4"/>
        <v/>
      </c>
      <c r="T78" s="14" t="s">
        <v>72</v>
      </c>
      <c r="U78" s="14">
        <v>0</v>
      </c>
      <c r="V78">
        <v>3406</v>
      </c>
      <c r="W78">
        <v>30.650354003906301</v>
      </c>
      <c r="X78">
        <v>26.908809456594799</v>
      </c>
      <c r="Y78">
        <v>3.2186910240029301</v>
      </c>
      <c r="Z78" s="31">
        <v>3.5343354903436701</v>
      </c>
      <c r="AA78">
        <v>9.7489850690256308</v>
      </c>
      <c r="AB78">
        <v>0.05</v>
      </c>
      <c r="AC78">
        <v>242382.33872153901</v>
      </c>
      <c r="AD78">
        <v>277358.11019905709</v>
      </c>
      <c r="AE78">
        <v>1</v>
      </c>
      <c r="AF78">
        <v>4070.0323032193301</v>
      </c>
      <c r="AG78">
        <v>76465.606137190625</v>
      </c>
    </row>
    <row r="79" spans="1:33" hidden="1" x14ac:dyDescent="0.25">
      <c r="B79">
        <v>2</v>
      </c>
      <c r="C79" t="s">
        <v>27</v>
      </c>
      <c r="D79" t="s">
        <v>28</v>
      </c>
      <c r="E79" t="s">
        <v>68</v>
      </c>
      <c r="F79">
        <v>97345</v>
      </c>
      <c r="G79">
        <v>131542</v>
      </c>
      <c r="H79">
        <v>2</v>
      </c>
      <c r="I79" s="2">
        <v>0</v>
      </c>
      <c r="J79">
        <v>7.7093703912058507</v>
      </c>
      <c r="K79">
        <v>476209</v>
      </c>
      <c r="L79">
        <v>24424</v>
      </c>
      <c r="M79">
        <v>0</v>
      </c>
      <c r="N79">
        <v>19900</v>
      </c>
      <c r="O79" s="43">
        <v>286082.28000000003</v>
      </c>
      <c r="P79" s="14">
        <f t="shared" si="5"/>
        <v>114432.91200000004</v>
      </c>
      <c r="Q79" s="14" t="str">
        <f t="shared" si="3"/>
        <v/>
      </c>
      <c r="R79" s="14" t="str">
        <f t="shared" si="3"/>
        <v/>
      </c>
      <c r="S79" s="14" t="str">
        <f t="shared" si="4"/>
        <v/>
      </c>
      <c r="T79" s="14" t="s">
        <v>72</v>
      </c>
      <c r="U79" s="14">
        <v>0</v>
      </c>
      <c r="V79">
        <v>3406</v>
      </c>
      <c r="W79">
        <v>28.875817871093702</v>
      </c>
      <c r="X79">
        <v>8.1462244777709802</v>
      </c>
      <c r="Y79">
        <v>3.65443403234686</v>
      </c>
      <c r="Z79" s="31">
        <v>3.6233257559097898</v>
      </c>
      <c r="AA79">
        <v>7.4895179057256804</v>
      </c>
      <c r="AB79">
        <v>0.05</v>
      </c>
      <c r="AC79">
        <v>242382.33872153901</v>
      </c>
      <c r="AD79">
        <v>277358.11019905709</v>
      </c>
      <c r="AE79">
        <v>1</v>
      </c>
      <c r="AF79">
        <v>4070.0323032193301</v>
      </c>
      <c r="AG79">
        <v>76465.606137190625</v>
      </c>
    </row>
    <row r="80" spans="1:33" hidden="1" x14ac:dyDescent="0.25">
      <c r="B80">
        <v>2</v>
      </c>
      <c r="C80" t="s">
        <v>27</v>
      </c>
      <c r="D80" t="s">
        <v>28</v>
      </c>
      <c r="E80" t="s">
        <v>68</v>
      </c>
      <c r="F80">
        <v>107492</v>
      </c>
      <c r="G80">
        <v>131542</v>
      </c>
      <c r="H80">
        <v>3</v>
      </c>
      <c r="I80" s="2">
        <v>0</v>
      </c>
      <c r="J80">
        <v>1.465638351249031</v>
      </c>
      <c r="K80">
        <v>476209</v>
      </c>
      <c r="L80">
        <v>24424</v>
      </c>
      <c r="M80">
        <v>0</v>
      </c>
      <c r="N80">
        <v>19900</v>
      </c>
      <c r="O80" s="43">
        <v>410275.17506447999</v>
      </c>
      <c r="P80" s="14">
        <f t="shared" si="5"/>
        <v>124192.89506447996</v>
      </c>
      <c r="Q80" s="14" t="str">
        <f t="shared" si="3"/>
        <v/>
      </c>
      <c r="R80" s="14" t="str">
        <f t="shared" si="3"/>
        <v/>
      </c>
      <c r="S80" s="14" t="str">
        <f t="shared" si="4"/>
        <v/>
      </c>
      <c r="T80" s="14" t="s">
        <v>72</v>
      </c>
      <c r="U80" s="14">
        <v>0</v>
      </c>
      <c r="V80">
        <v>3406</v>
      </c>
      <c r="W80">
        <v>33.235498046875001</v>
      </c>
      <c r="X80">
        <v>10.023068160983399</v>
      </c>
      <c r="Y80">
        <v>4.5870030094100702</v>
      </c>
      <c r="Z80" s="31">
        <v>1.74030006443389</v>
      </c>
      <c r="AA80">
        <v>6.7361115854837204</v>
      </c>
      <c r="AB80">
        <v>0.05</v>
      </c>
      <c r="AC80">
        <v>242382.33872153901</v>
      </c>
      <c r="AD80">
        <v>277358.11019905709</v>
      </c>
      <c r="AE80">
        <v>1</v>
      </c>
      <c r="AF80">
        <v>4070.0323032193301</v>
      </c>
      <c r="AG80">
        <v>76465.606137190625</v>
      </c>
    </row>
    <row r="81" spans="2:33" hidden="1" x14ac:dyDescent="0.25">
      <c r="B81">
        <v>2</v>
      </c>
      <c r="C81" t="s">
        <v>27</v>
      </c>
      <c r="D81" t="s">
        <v>28</v>
      </c>
      <c r="E81" t="s">
        <v>68</v>
      </c>
      <c r="F81">
        <v>115857</v>
      </c>
      <c r="G81">
        <v>131542</v>
      </c>
      <c r="H81">
        <v>4</v>
      </c>
      <c r="I81">
        <v>43971</v>
      </c>
      <c r="J81">
        <v>1.2082452752732971</v>
      </c>
      <c r="K81">
        <v>476209</v>
      </c>
      <c r="L81">
        <v>24424</v>
      </c>
      <c r="M81">
        <v>0</v>
      </c>
      <c r="N81">
        <v>19900</v>
      </c>
      <c r="O81" s="43">
        <v>1586168.32518144</v>
      </c>
      <c r="P81" s="14">
        <f t="shared" si="5"/>
        <v>1175893.1501169601</v>
      </c>
      <c r="Q81" s="14" t="str">
        <f t="shared" si="3"/>
        <v/>
      </c>
      <c r="R81" s="14" t="str">
        <f t="shared" si="3"/>
        <v/>
      </c>
      <c r="S81" s="14" t="str">
        <f t="shared" si="4"/>
        <v/>
      </c>
      <c r="T81" s="14" t="s">
        <v>72</v>
      </c>
      <c r="U81" s="14">
        <v>26.742470039729824</v>
      </c>
      <c r="V81">
        <v>3406</v>
      </c>
      <c r="W81">
        <v>25.136743164062501</v>
      </c>
      <c r="X81">
        <v>29.028601160533</v>
      </c>
      <c r="Y81">
        <v>2.26734369901162</v>
      </c>
      <c r="Z81" s="31">
        <v>2.9579000858379301</v>
      </c>
      <c r="AA81">
        <v>3.0470656896563701</v>
      </c>
      <c r="AB81">
        <v>0.05</v>
      </c>
      <c r="AC81">
        <v>242382.33872153901</v>
      </c>
      <c r="AD81">
        <v>277358.11019905709</v>
      </c>
      <c r="AE81">
        <v>1</v>
      </c>
      <c r="AF81">
        <v>4070.0323032193301</v>
      </c>
      <c r="AG81">
        <v>76465.606137190625</v>
      </c>
    </row>
    <row r="82" spans="2:33" hidden="1" x14ac:dyDescent="0.25">
      <c r="B82">
        <v>2</v>
      </c>
      <c r="C82" t="s">
        <v>27</v>
      </c>
      <c r="D82" t="s">
        <v>28</v>
      </c>
      <c r="E82" t="s">
        <v>68</v>
      </c>
      <c r="F82">
        <v>121378</v>
      </c>
      <c r="G82">
        <v>131542</v>
      </c>
      <c r="H82">
        <v>5</v>
      </c>
      <c r="I82">
        <v>53374</v>
      </c>
      <c r="J82">
        <v>0.79745632573626679</v>
      </c>
      <c r="K82">
        <v>476209</v>
      </c>
      <c r="L82">
        <v>24424</v>
      </c>
      <c r="M82">
        <v>0</v>
      </c>
      <c r="N82">
        <v>19900</v>
      </c>
      <c r="O82" s="43">
        <v>2605036.6334520001</v>
      </c>
      <c r="P82" s="14">
        <f t="shared" si="5"/>
        <v>1018868.3082705601</v>
      </c>
      <c r="Q82" s="14" t="str">
        <f t="shared" si="3"/>
        <v/>
      </c>
      <c r="R82" s="14" t="str">
        <f t="shared" si="3"/>
        <v/>
      </c>
      <c r="S82" s="14" t="str">
        <f t="shared" si="4"/>
        <v/>
      </c>
      <c r="T82" s="14" t="s">
        <v>72</v>
      </c>
      <c r="U82" s="14">
        <v>19.089225245823059</v>
      </c>
      <c r="V82">
        <v>3406</v>
      </c>
      <c r="W82">
        <v>24.882958984375001</v>
      </c>
      <c r="X82">
        <v>32.386029464146503</v>
      </c>
      <c r="Y82">
        <v>2.12760498241762</v>
      </c>
      <c r="Z82" s="31">
        <v>2.6945781766513699</v>
      </c>
      <c r="AA82">
        <v>5.6557138706578503</v>
      </c>
      <c r="AB82">
        <v>0.05</v>
      </c>
      <c r="AC82">
        <v>242382.33872153901</v>
      </c>
      <c r="AD82">
        <v>277358.11019905709</v>
      </c>
      <c r="AE82">
        <v>1</v>
      </c>
      <c r="AF82">
        <v>4070.0323032193301</v>
      </c>
      <c r="AG82">
        <v>76465.606137190625</v>
      </c>
    </row>
    <row r="83" spans="2:33" hidden="1" x14ac:dyDescent="0.25">
      <c r="B83">
        <v>2</v>
      </c>
      <c r="C83" t="s">
        <v>27</v>
      </c>
      <c r="D83" t="s">
        <v>28</v>
      </c>
      <c r="E83" t="s">
        <v>68</v>
      </c>
      <c r="F83">
        <v>121379</v>
      </c>
      <c r="G83">
        <v>131542</v>
      </c>
      <c r="H83">
        <v>6</v>
      </c>
      <c r="I83">
        <v>10147</v>
      </c>
      <c r="J83">
        <v>1.4444055890894161E-4</v>
      </c>
      <c r="K83">
        <v>476209</v>
      </c>
      <c r="L83">
        <v>24424</v>
      </c>
      <c r="M83">
        <v>0</v>
      </c>
      <c r="N83">
        <v>19900</v>
      </c>
      <c r="O83" s="43">
        <v>3510189.5240807999</v>
      </c>
      <c r="P83" s="14">
        <f t="shared" si="5"/>
        <v>905152.8906287998</v>
      </c>
      <c r="Q83" s="14" t="str">
        <f t="shared" si="3"/>
        <v/>
      </c>
      <c r="R83" s="14" t="str">
        <f t="shared" si="3"/>
        <v/>
      </c>
      <c r="S83" s="14" t="str">
        <f t="shared" si="4"/>
        <v/>
      </c>
      <c r="T83" s="14" t="s">
        <v>72</v>
      </c>
      <c r="U83" s="14">
        <v>89.203990403942072</v>
      </c>
      <c r="V83">
        <v>3406</v>
      </c>
      <c r="W83">
        <v>23.394586181640602</v>
      </c>
      <c r="X83">
        <v>41.737929367974701</v>
      </c>
      <c r="Y83">
        <v>1.67678850041651</v>
      </c>
      <c r="Z83">
        <v>2.3980181647611101</v>
      </c>
      <c r="AA83">
        <v>11.2411061606728</v>
      </c>
      <c r="AB83">
        <v>0.05</v>
      </c>
      <c r="AC83">
        <v>242382.33872153901</v>
      </c>
      <c r="AD83">
        <v>277358.11019905709</v>
      </c>
      <c r="AE83">
        <v>1</v>
      </c>
      <c r="AF83">
        <v>4070.0323032193301</v>
      </c>
      <c r="AG83">
        <v>76465.606137190625</v>
      </c>
    </row>
    <row r="84" spans="2:33" hidden="1" x14ac:dyDescent="0.25">
      <c r="B84">
        <v>2</v>
      </c>
      <c r="C84" t="s">
        <v>27</v>
      </c>
      <c r="D84" t="s">
        <v>28</v>
      </c>
      <c r="E84" t="s">
        <v>68</v>
      </c>
      <c r="F84">
        <v>125498</v>
      </c>
      <c r="G84">
        <v>131542</v>
      </c>
      <c r="H84">
        <v>7</v>
      </c>
      <c r="I84">
        <v>8365</v>
      </c>
      <c r="J84">
        <v>0.59495066214593062</v>
      </c>
      <c r="K84">
        <v>476209</v>
      </c>
      <c r="L84">
        <v>24424</v>
      </c>
      <c r="M84">
        <v>0</v>
      </c>
      <c r="N84">
        <v>19900</v>
      </c>
      <c r="O84" s="43">
        <v>5392227.5762256002</v>
      </c>
      <c r="P84" s="14">
        <f t="shared" si="5"/>
        <v>1882038.0521448003</v>
      </c>
      <c r="Q84" s="14" t="str">
        <f t="shared" si="3"/>
        <v/>
      </c>
      <c r="R84" s="14" t="str">
        <f t="shared" si="3"/>
        <v/>
      </c>
      <c r="S84" s="14" t="str">
        <f t="shared" si="4"/>
        <v/>
      </c>
      <c r="T84" s="14" t="s">
        <v>72</v>
      </c>
      <c r="U84" s="14">
        <v>224.98960575550507</v>
      </c>
      <c r="V84">
        <v>3406</v>
      </c>
      <c r="W84">
        <v>23.164422607421901</v>
      </c>
      <c r="X84">
        <v>42.461511624406697</v>
      </c>
      <c r="Y84">
        <v>1.63313921478104</v>
      </c>
      <c r="Z84">
        <v>2.4285198570008699</v>
      </c>
      <c r="AA84">
        <v>18.035283330611801</v>
      </c>
      <c r="AB84">
        <v>0.05</v>
      </c>
      <c r="AC84">
        <v>242382.33872153901</v>
      </c>
      <c r="AD84">
        <v>277358.11019905709</v>
      </c>
      <c r="AE84">
        <v>1</v>
      </c>
      <c r="AF84">
        <v>4070.0323032193301</v>
      </c>
      <c r="AG84">
        <v>76465.606137190625</v>
      </c>
    </row>
    <row r="85" spans="2:33" hidden="1" x14ac:dyDescent="0.25">
      <c r="B85">
        <v>2</v>
      </c>
      <c r="C85" t="s">
        <v>27</v>
      </c>
      <c r="D85" t="s">
        <v>28</v>
      </c>
      <c r="E85" t="s">
        <v>68</v>
      </c>
      <c r="F85">
        <v>125498</v>
      </c>
      <c r="G85">
        <v>131542</v>
      </c>
      <c r="H85">
        <v>8</v>
      </c>
      <c r="I85">
        <v>5521</v>
      </c>
      <c r="J85">
        <v>0</v>
      </c>
      <c r="K85">
        <v>476209</v>
      </c>
      <c r="L85">
        <v>24424</v>
      </c>
      <c r="M85">
        <v>0</v>
      </c>
      <c r="N85">
        <v>19900</v>
      </c>
      <c r="O85" s="43">
        <v>6932873.3446843214</v>
      </c>
      <c r="P85" s="14">
        <f t="shared" si="5"/>
        <v>1540645.7684587212</v>
      </c>
      <c r="Q85" s="14" t="str">
        <f t="shared" si="3"/>
        <v/>
      </c>
      <c r="R85" s="14" t="str">
        <f t="shared" si="3"/>
        <v/>
      </c>
      <c r="S85" s="14" t="str">
        <f t="shared" si="4"/>
        <v/>
      </c>
      <c r="T85" s="14" t="s">
        <v>72</v>
      </c>
      <c r="U85" s="14">
        <v>279.05194139806559</v>
      </c>
      <c r="V85">
        <v>3406</v>
      </c>
      <c r="W85">
        <v>26.181970214843702</v>
      </c>
      <c r="X85">
        <v>27.711441334930399</v>
      </c>
      <c r="Y85">
        <v>2.4568579570801301</v>
      </c>
      <c r="Z85" s="31">
        <v>1.8783966145170501</v>
      </c>
      <c r="AA85">
        <v>15.535669274316</v>
      </c>
      <c r="AB85">
        <v>0.05</v>
      </c>
      <c r="AC85">
        <v>242382.33872153901</v>
      </c>
      <c r="AD85">
        <v>277358.11019905709</v>
      </c>
      <c r="AE85">
        <v>1</v>
      </c>
      <c r="AF85">
        <v>4070.0323032193301</v>
      </c>
      <c r="AG85">
        <v>76465.606137190625</v>
      </c>
    </row>
    <row r="86" spans="2:33" hidden="1" x14ac:dyDescent="0.25">
      <c r="B86">
        <v>2</v>
      </c>
      <c r="C86" t="s">
        <v>27</v>
      </c>
      <c r="D86" t="s">
        <v>28</v>
      </c>
      <c r="E86" t="s">
        <v>68</v>
      </c>
      <c r="F86">
        <v>126979</v>
      </c>
      <c r="G86">
        <v>131542</v>
      </c>
      <c r="H86">
        <v>9</v>
      </c>
      <c r="I86">
        <v>1</v>
      </c>
      <c r="J86">
        <v>0.21391646774414261</v>
      </c>
      <c r="K86">
        <v>476209</v>
      </c>
      <c r="L86">
        <v>24424</v>
      </c>
      <c r="M86">
        <v>0</v>
      </c>
      <c r="N86">
        <v>19900</v>
      </c>
      <c r="O86" s="43">
        <v>8495897.6134137604</v>
      </c>
      <c r="P86" s="14">
        <f t="shared" si="5"/>
        <v>1563024.268729439</v>
      </c>
      <c r="Q86" s="14" t="str">
        <f t="shared" si="3"/>
        <v/>
      </c>
      <c r="R86" s="14" t="str">
        <f t="shared" si="3"/>
        <v/>
      </c>
      <c r="S86" s="14" t="str">
        <f t="shared" si="4"/>
        <v/>
      </c>
      <c r="T86" s="14" t="s">
        <v>72</v>
      </c>
      <c r="U86" s="14">
        <v>1563024.2687294399</v>
      </c>
      <c r="V86">
        <v>3406</v>
      </c>
      <c r="W86">
        <v>25.523645019531301</v>
      </c>
      <c r="X86">
        <v>29.3094594364463</v>
      </c>
      <c r="Y86">
        <v>2.3108030901381</v>
      </c>
      <c r="Z86" s="31">
        <v>2.6906739583563599</v>
      </c>
      <c r="AA86">
        <v>11.313975174263501</v>
      </c>
      <c r="AB86">
        <v>0.05</v>
      </c>
      <c r="AC86">
        <v>242382.33872153901</v>
      </c>
      <c r="AD86">
        <v>277358.11019905709</v>
      </c>
      <c r="AE86">
        <v>1</v>
      </c>
      <c r="AF86">
        <v>4070.0323032193301</v>
      </c>
      <c r="AG86">
        <v>76465.606137190625</v>
      </c>
    </row>
    <row r="87" spans="2:33" hidden="1" x14ac:dyDescent="0.25">
      <c r="B87">
        <v>2</v>
      </c>
      <c r="C87" t="s">
        <v>27</v>
      </c>
      <c r="D87" t="s">
        <v>28</v>
      </c>
      <c r="E87" t="s">
        <v>68</v>
      </c>
      <c r="F87">
        <v>130119</v>
      </c>
      <c r="G87">
        <v>131542</v>
      </c>
      <c r="H87">
        <v>10</v>
      </c>
      <c r="I87">
        <v>4119</v>
      </c>
      <c r="J87">
        <v>0.45354335497407672</v>
      </c>
      <c r="K87">
        <v>476209</v>
      </c>
      <c r="L87">
        <v>24424</v>
      </c>
      <c r="M87">
        <v>0</v>
      </c>
      <c r="N87">
        <v>19900</v>
      </c>
      <c r="O87" s="43">
        <v>9777564.5370796807</v>
      </c>
      <c r="P87" s="14">
        <f t="shared" si="5"/>
        <v>1281666.9236659203</v>
      </c>
      <c r="Q87" s="14" t="str">
        <f t="shared" si="3"/>
        <v/>
      </c>
      <c r="R87" s="14" t="str">
        <f t="shared" si="3"/>
        <v/>
      </c>
      <c r="S87" s="14" t="str">
        <f t="shared" si="4"/>
        <v/>
      </c>
      <c r="T87" s="14" t="s">
        <v>72</v>
      </c>
      <c r="U87" s="14">
        <v>311.15972897934455</v>
      </c>
      <c r="V87">
        <v>3406</v>
      </c>
      <c r="W87">
        <v>23.464959716796901</v>
      </c>
      <c r="X87">
        <v>44.010545743934202</v>
      </c>
      <c r="Y87">
        <v>1.61816086462756</v>
      </c>
      <c r="Z87" s="31">
        <v>2.7316193061500198</v>
      </c>
      <c r="AA87">
        <v>12.961259774571101</v>
      </c>
      <c r="AB87">
        <v>0.05</v>
      </c>
      <c r="AC87">
        <v>242382.33872153901</v>
      </c>
      <c r="AD87">
        <v>277358.11019905709</v>
      </c>
      <c r="AE87">
        <v>1</v>
      </c>
      <c r="AF87">
        <v>4070.0323032193301</v>
      </c>
      <c r="AG87">
        <v>76465.606137190625</v>
      </c>
    </row>
    <row r="88" spans="2:33" hidden="1" x14ac:dyDescent="0.25">
      <c r="B88">
        <v>2</v>
      </c>
      <c r="C88" t="s">
        <v>27</v>
      </c>
      <c r="D88" t="s">
        <v>28</v>
      </c>
      <c r="E88" t="s">
        <v>68</v>
      </c>
      <c r="F88">
        <v>130119</v>
      </c>
      <c r="G88">
        <v>131542</v>
      </c>
      <c r="H88">
        <v>11</v>
      </c>
      <c r="I88">
        <v>0</v>
      </c>
      <c r="J88">
        <v>0</v>
      </c>
      <c r="K88">
        <v>476209</v>
      </c>
      <c r="L88">
        <v>24424</v>
      </c>
      <c r="M88">
        <v>0</v>
      </c>
      <c r="N88">
        <v>19900</v>
      </c>
      <c r="O88" s="43">
        <v>12504270.81988656</v>
      </c>
      <c r="P88" s="14">
        <f t="shared" si="5"/>
        <v>2726706.2828068789</v>
      </c>
      <c r="Q88" s="14" t="str">
        <f t="shared" si="3"/>
        <v/>
      </c>
      <c r="R88" s="14" t="str">
        <f t="shared" si="3"/>
        <v/>
      </c>
      <c r="S88" s="14" t="str">
        <f t="shared" si="4"/>
        <v/>
      </c>
      <c r="T88" s="14" t="s">
        <v>72</v>
      </c>
      <c r="U88" s="14">
        <v>0</v>
      </c>
      <c r="V88">
        <v>3406</v>
      </c>
      <c r="W88">
        <v>20.376733398437501</v>
      </c>
      <c r="X88">
        <v>64.646265022749404</v>
      </c>
      <c r="Y88">
        <v>0.84639679558901904</v>
      </c>
      <c r="Z88" s="31">
        <v>2.45061523312134</v>
      </c>
      <c r="AA88">
        <v>14.4137068514154</v>
      </c>
      <c r="AB88">
        <v>0.05</v>
      </c>
      <c r="AC88">
        <v>242382.33872153901</v>
      </c>
      <c r="AD88">
        <v>277358.11019905709</v>
      </c>
      <c r="AE88">
        <v>1</v>
      </c>
      <c r="AF88">
        <v>4070.0323032193301</v>
      </c>
      <c r="AG88">
        <v>76465.606137190625</v>
      </c>
    </row>
    <row r="89" spans="2:33" hidden="1" x14ac:dyDescent="0.25">
      <c r="B89">
        <v>2</v>
      </c>
      <c r="C89" t="s">
        <v>27</v>
      </c>
      <c r="D89" t="s">
        <v>28</v>
      </c>
      <c r="E89" t="s">
        <v>68</v>
      </c>
      <c r="F89">
        <v>130178</v>
      </c>
      <c r="G89">
        <v>131542</v>
      </c>
      <c r="H89">
        <v>12</v>
      </c>
      <c r="I89">
        <v>1481</v>
      </c>
      <c r="J89">
        <v>8.521992975627557E-3</v>
      </c>
      <c r="K89">
        <v>476209</v>
      </c>
      <c r="L89">
        <v>24424</v>
      </c>
      <c r="M89">
        <v>0</v>
      </c>
      <c r="N89">
        <v>19900</v>
      </c>
      <c r="O89" s="43">
        <v>12504270.81988656</v>
      </c>
      <c r="P89" s="14">
        <f t="shared" si="5"/>
        <v>0</v>
      </c>
      <c r="Q89" s="14" t="str">
        <f t="shared" si="3"/>
        <v/>
      </c>
      <c r="R89" s="14" t="str">
        <f t="shared" si="3"/>
        <v/>
      </c>
      <c r="S89" s="14" t="str">
        <f t="shared" si="4"/>
        <v/>
      </c>
      <c r="T89" s="14" t="s">
        <v>72</v>
      </c>
      <c r="U89" s="14">
        <v>-8443.1268196398123</v>
      </c>
      <c r="V89">
        <v>3406</v>
      </c>
      <c r="W89">
        <v>16.114160156250001</v>
      </c>
      <c r="X89">
        <v>86.616789830113106</v>
      </c>
      <c r="Y89">
        <v>0.24528694594290801</v>
      </c>
      <c r="Z89" s="31">
        <v>0.63501330458649596</v>
      </c>
      <c r="AA89">
        <v>7.7908242194036497</v>
      </c>
      <c r="AB89">
        <v>0.05</v>
      </c>
      <c r="AC89">
        <v>242382.33872153901</v>
      </c>
      <c r="AD89">
        <v>277358.11019905709</v>
      </c>
      <c r="AE89">
        <v>1</v>
      </c>
      <c r="AF89">
        <v>4070.0323032193301</v>
      </c>
      <c r="AG89">
        <v>76465.606137190625</v>
      </c>
    </row>
    <row r="90" spans="2:33" hidden="1" x14ac:dyDescent="0.25">
      <c r="B90">
        <v>2</v>
      </c>
      <c r="C90" t="s">
        <v>27</v>
      </c>
      <c r="D90" t="s">
        <v>28</v>
      </c>
      <c r="E90" t="s">
        <v>68</v>
      </c>
      <c r="F90">
        <v>131383</v>
      </c>
      <c r="G90">
        <v>131542</v>
      </c>
      <c r="H90">
        <v>13</v>
      </c>
      <c r="I90">
        <v>3140</v>
      </c>
      <c r="J90">
        <v>0.1740508734852747</v>
      </c>
      <c r="K90">
        <v>476209</v>
      </c>
      <c r="L90">
        <v>24424</v>
      </c>
      <c r="M90">
        <v>0</v>
      </c>
      <c r="N90">
        <v>19900</v>
      </c>
      <c r="O90" s="43">
        <v>16068486.410380799</v>
      </c>
      <c r="P90" s="14">
        <f t="shared" si="5"/>
        <v>3564215.5904942397</v>
      </c>
      <c r="Q90" s="14" t="str">
        <f t="shared" si="3"/>
        <v/>
      </c>
      <c r="R90" s="14" t="str">
        <f t="shared" si="3"/>
        <v/>
      </c>
      <c r="S90" s="14" t="str">
        <f t="shared" si="4"/>
        <v/>
      </c>
      <c r="T90" s="14" t="s">
        <v>72</v>
      </c>
      <c r="U90" s="14">
        <v>5117.3523599938853</v>
      </c>
      <c r="V90">
        <v>3406</v>
      </c>
      <c r="W90">
        <v>19.670556640625001</v>
      </c>
      <c r="X90">
        <v>56.465455342390896</v>
      </c>
      <c r="Y90">
        <v>0.99788256848461798</v>
      </c>
      <c r="Z90" s="31">
        <v>2.3513352413104198</v>
      </c>
      <c r="AA90">
        <v>9.8321395180678905</v>
      </c>
      <c r="AB90">
        <v>0.05</v>
      </c>
      <c r="AC90">
        <v>242382.33872153901</v>
      </c>
      <c r="AD90">
        <v>277358.11019905709</v>
      </c>
      <c r="AE90">
        <v>1</v>
      </c>
      <c r="AF90">
        <v>4070.0323032193301</v>
      </c>
      <c r="AG90">
        <v>76465.606137190625</v>
      </c>
    </row>
    <row r="91" spans="2:33" hidden="1" x14ac:dyDescent="0.25">
      <c r="B91">
        <v>2</v>
      </c>
      <c r="C91" t="s">
        <v>27</v>
      </c>
      <c r="D91" t="s">
        <v>28</v>
      </c>
      <c r="E91" t="s">
        <v>68</v>
      </c>
      <c r="F91">
        <v>131383</v>
      </c>
      <c r="G91">
        <v>131542</v>
      </c>
      <c r="H91">
        <v>14</v>
      </c>
      <c r="I91">
        <v>0</v>
      </c>
      <c r="J91">
        <v>0</v>
      </c>
      <c r="K91">
        <v>476209</v>
      </c>
      <c r="L91">
        <v>24424</v>
      </c>
      <c r="M91">
        <v>0</v>
      </c>
      <c r="N91">
        <v>19900</v>
      </c>
      <c r="O91" s="43">
        <v>17898103.889867522</v>
      </c>
      <c r="P91" s="14">
        <f t="shared" si="5"/>
        <v>1829617.4794867225</v>
      </c>
      <c r="Q91" s="14" t="str">
        <f t="shared" si="3"/>
        <v/>
      </c>
      <c r="R91" s="14" t="str">
        <f t="shared" si="3"/>
        <v/>
      </c>
      <c r="S91" s="14" t="str">
        <f t="shared" si="4"/>
        <v/>
      </c>
      <c r="T91" s="14" t="s">
        <v>72</v>
      </c>
      <c r="U91" s="14">
        <v>0</v>
      </c>
      <c r="V91">
        <v>3406</v>
      </c>
      <c r="W91">
        <v>21.939752197265602</v>
      </c>
      <c r="X91">
        <v>47.616383884562097</v>
      </c>
      <c r="Y91">
        <v>1.3803930671578</v>
      </c>
      <c r="Z91" s="31">
        <v>2.2980055212820099</v>
      </c>
      <c r="AA91">
        <v>7.1718824143464897</v>
      </c>
      <c r="AB91">
        <v>0.05</v>
      </c>
      <c r="AC91">
        <v>242382.33872153901</v>
      </c>
      <c r="AD91">
        <v>277358.11019905709</v>
      </c>
      <c r="AE91">
        <v>1</v>
      </c>
      <c r="AF91">
        <v>4070.0323032193301</v>
      </c>
      <c r="AG91">
        <v>76465.606137190625</v>
      </c>
    </row>
    <row r="92" spans="2:33" hidden="1" x14ac:dyDescent="0.25">
      <c r="B92">
        <v>2</v>
      </c>
      <c r="C92" t="s">
        <v>27</v>
      </c>
      <c r="D92" t="s">
        <v>28</v>
      </c>
      <c r="E92" t="s">
        <v>68</v>
      </c>
      <c r="F92">
        <v>131383</v>
      </c>
      <c r="G92">
        <v>131542</v>
      </c>
      <c r="H92">
        <v>15</v>
      </c>
      <c r="I92">
        <v>59</v>
      </c>
      <c r="J92">
        <v>0</v>
      </c>
      <c r="K92">
        <v>476209</v>
      </c>
      <c r="L92">
        <v>24424</v>
      </c>
      <c r="M92">
        <v>0</v>
      </c>
      <c r="N92">
        <v>19900</v>
      </c>
      <c r="O92" s="43">
        <v>19564749.449071199</v>
      </c>
      <c r="P92" s="14">
        <f t="shared" si="5"/>
        <v>1666645.5592036769</v>
      </c>
      <c r="Q92" s="14" t="str">
        <f t="shared" si="3"/>
        <v/>
      </c>
      <c r="R92" s="14" t="str">
        <f t="shared" si="3"/>
        <v/>
      </c>
      <c r="S92" s="14" t="str">
        <f t="shared" si="4"/>
        <v/>
      </c>
      <c r="T92" s="14" t="s">
        <v>72</v>
      </c>
      <c r="U92" s="14">
        <v>28248.229817011535</v>
      </c>
      <c r="V92">
        <v>3406</v>
      </c>
      <c r="W92">
        <v>19.875939941406301</v>
      </c>
      <c r="X92">
        <v>59.482384593890799</v>
      </c>
      <c r="Y92">
        <v>0.94057201182903805</v>
      </c>
      <c r="Z92" s="31">
        <v>2.7593024883785202</v>
      </c>
      <c r="AA92">
        <v>10.3435937225088</v>
      </c>
      <c r="AB92">
        <v>0.05</v>
      </c>
      <c r="AC92">
        <v>242382.33872153901</v>
      </c>
      <c r="AD92">
        <v>277358.11019905709</v>
      </c>
      <c r="AE92">
        <v>1</v>
      </c>
      <c r="AF92">
        <v>4070.0323032193301</v>
      </c>
      <c r="AG92">
        <v>76465.606137190625</v>
      </c>
    </row>
    <row r="93" spans="2:33" hidden="1" x14ac:dyDescent="0.25">
      <c r="B93">
        <v>2</v>
      </c>
      <c r="C93" t="s">
        <v>27</v>
      </c>
      <c r="D93" t="s">
        <v>28</v>
      </c>
      <c r="E93" t="s">
        <v>68</v>
      </c>
      <c r="F93">
        <v>131494</v>
      </c>
      <c r="G93">
        <v>131542</v>
      </c>
      <c r="H93">
        <v>16</v>
      </c>
      <c r="I93">
        <v>1205</v>
      </c>
      <c r="J93">
        <v>1.6032902038892519E-2</v>
      </c>
      <c r="K93">
        <v>476209</v>
      </c>
      <c r="L93">
        <v>24424</v>
      </c>
      <c r="M93">
        <v>0</v>
      </c>
      <c r="N93">
        <v>19900</v>
      </c>
      <c r="O93" s="43">
        <v>21422283.981769439</v>
      </c>
      <c r="P93" s="14">
        <f t="shared" si="5"/>
        <v>1857534.5326982401</v>
      </c>
      <c r="Q93" s="14" t="str">
        <f t="shared" si="3"/>
        <v/>
      </c>
      <c r="R93" s="14" t="str">
        <f t="shared" si="3"/>
        <v/>
      </c>
      <c r="S93" s="14" t="str">
        <f t="shared" si="4"/>
        <v/>
      </c>
      <c r="T93" s="14" t="s">
        <v>72</v>
      </c>
      <c r="U93" s="14">
        <v>1541.522433774473</v>
      </c>
      <c r="V93">
        <v>3406</v>
      </c>
      <c r="W93">
        <v>20.762994384765602</v>
      </c>
      <c r="X93">
        <v>54.474217803426498</v>
      </c>
      <c r="Y93">
        <v>1.1162856204112499</v>
      </c>
      <c r="Z93" s="31">
        <v>1.6399816336536699</v>
      </c>
      <c r="AA93">
        <v>11.5254750923103</v>
      </c>
      <c r="AB93">
        <v>0.05</v>
      </c>
      <c r="AC93">
        <v>242382.33872153901</v>
      </c>
      <c r="AD93">
        <v>277358.11019905709</v>
      </c>
      <c r="AE93">
        <v>1</v>
      </c>
      <c r="AF93">
        <v>4070.0323032193301</v>
      </c>
      <c r="AG93">
        <v>76465.606137190625</v>
      </c>
    </row>
    <row r="94" spans="2:33" hidden="1" x14ac:dyDescent="0.25">
      <c r="B94">
        <v>2</v>
      </c>
      <c r="C94" t="s">
        <v>27</v>
      </c>
      <c r="D94" t="s">
        <v>28</v>
      </c>
      <c r="E94" t="s">
        <v>68</v>
      </c>
      <c r="F94">
        <v>131515</v>
      </c>
      <c r="G94">
        <v>131542</v>
      </c>
      <c r="H94">
        <v>17</v>
      </c>
      <c r="I94">
        <v>0</v>
      </c>
      <c r="J94">
        <v>3.0332517370877739E-3</v>
      </c>
      <c r="K94">
        <v>476209</v>
      </c>
      <c r="L94">
        <v>24424</v>
      </c>
      <c r="M94">
        <v>0</v>
      </c>
      <c r="N94">
        <v>19900</v>
      </c>
      <c r="O94" s="43">
        <v>22851236.362141442</v>
      </c>
      <c r="P94" s="14">
        <f t="shared" si="5"/>
        <v>1428952.3803720027</v>
      </c>
      <c r="Q94" s="14" t="str">
        <f t="shared" si="3"/>
        <v/>
      </c>
      <c r="R94" s="14" t="str">
        <f t="shared" si="3"/>
        <v/>
      </c>
      <c r="S94" s="14" t="str">
        <f t="shared" si="4"/>
        <v/>
      </c>
      <c r="T94" s="14" t="s">
        <v>72</v>
      </c>
      <c r="U94" s="14">
        <v>0</v>
      </c>
      <c r="V94">
        <v>3406</v>
      </c>
      <c r="W94">
        <v>23.005548095703102</v>
      </c>
      <c r="X94">
        <v>47.283253002699901</v>
      </c>
      <c r="Y94">
        <v>1.4818916216482101</v>
      </c>
      <c r="Z94" s="31">
        <v>4.4670206711781102</v>
      </c>
      <c r="AA94">
        <v>27.308219496295202</v>
      </c>
      <c r="AB94">
        <v>0.05</v>
      </c>
      <c r="AC94">
        <v>242382.33872153901</v>
      </c>
      <c r="AD94">
        <v>277358.11019905709</v>
      </c>
      <c r="AE94">
        <v>1</v>
      </c>
      <c r="AF94">
        <v>4070.0323032193301</v>
      </c>
      <c r="AG94">
        <v>76465.606137190625</v>
      </c>
    </row>
    <row r="95" spans="2:33" hidden="1" x14ac:dyDescent="0.25">
      <c r="B95">
        <v>2</v>
      </c>
      <c r="C95" t="s">
        <v>27</v>
      </c>
      <c r="D95" t="s">
        <v>28</v>
      </c>
      <c r="E95" t="s">
        <v>68</v>
      </c>
      <c r="F95">
        <v>131536</v>
      </c>
      <c r="G95">
        <v>131542</v>
      </c>
      <c r="H95">
        <v>18</v>
      </c>
      <c r="I95">
        <v>0</v>
      </c>
      <c r="J95">
        <v>3.0332517370877739E-3</v>
      </c>
      <c r="K95">
        <v>476209</v>
      </c>
      <c r="L95">
        <v>24424</v>
      </c>
      <c r="M95">
        <v>0</v>
      </c>
      <c r="N95">
        <v>19900</v>
      </c>
      <c r="O95" s="43">
        <v>25274055.748170242</v>
      </c>
      <c r="P95" s="14">
        <f t="shared" si="5"/>
        <v>2422819.3860288002</v>
      </c>
      <c r="Q95" s="14" t="str">
        <f t="shared" si="3"/>
        <v/>
      </c>
      <c r="R95" s="14" t="str">
        <f t="shared" si="3"/>
        <v/>
      </c>
      <c r="S95" s="14" t="str">
        <f t="shared" si="4"/>
        <v/>
      </c>
      <c r="T95" s="14" t="s">
        <v>72</v>
      </c>
      <c r="U95" s="14">
        <v>0</v>
      </c>
      <c r="V95">
        <v>3406</v>
      </c>
      <c r="W95">
        <v>18.674951171875001</v>
      </c>
      <c r="X95">
        <v>48.983974872840598</v>
      </c>
      <c r="Y95">
        <v>1.099269491944</v>
      </c>
      <c r="Z95" s="31">
        <v>1.93804113292447</v>
      </c>
      <c r="AA95">
        <v>9.2126221399578192</v>
      </c>
      <c r="AB95">
        <v>0.05</v>
      </c>
      <c r="AC95">
        <v>242382.33872153901</v>
      </c>
      <c r="AD95">
        <v>277358.11019905709</v>
      </c>
      <c r="AE95">
        <v>1</v>
      </c>
      <c r="AF95">
        <v>4070.0323032193301</v>
      </c>
      <c r="AG95">
        <v>76465.606137190625</v>
      </c>
    </row>
    <row r="96" spans="2:33" hidden="1" x14ac:dyDescent="0.25">
      <c r="B96">
        <v>2</v>
      </c>
      <c r="C96" t="s">
        <v>27</v>
      </c>
      <c r="D96" t="s">
        <v>28</v>
      </c>
      <c r="E96" t="s">
        <v>68</v>
      </c>
      <c r="F96">
        <v>131537</v>
      </c>
      <c r="G96">
        <v>131542</v>
      </c>
      <c r="H96">
        <v>19</v>
      </c>
      <c r="I96">
        <v>111</v>
      </c>
      <c r="J96">
        <v>1.4444055890894161E-4</v>
      </c>
      <c r="K96">
        <v>476209</v>
      </c>
      <c r="L96">
        <v>24424</v>
      </c>
      <c r="M96">
        <v>0</v>
      </c>
      <c r="N96">
        <v>19900</v>
      </c>
      <c r="O96" s="43">
        <v>27086317.18789392</v>
      </c>
      <c r="P96" s="14">
        <f t="shared" si="5"/>
        <v>1812261.4397236779</v>
      </c>
      <c r="Q96" s="14" t="str">
        <f t="shared" si="3"/>
        <v/>
      </c>
      <c r="R96" s="14" t="str">
        <f t="shared" si="3"/>
        <v/>
      </c>
      <c r="S96" s="14" t="str">
        <f t="shared" si="4"/>
        <v/>
      </c>
      <c r="T96" s="14" t="s">
        <v>72</v>
      </c>
      <c r="U96" s="14">
        <v>16326.679637150286</v>
      </c>
      <c r="V96">
        <v>3406</v>
      </c>
      <c r="W96">
        <v>14.4021240234375</v>
      </c>
      <c r="X96">
        <v>90.801850293552306</v>
      </c>
      <c r="Y96">
        <v>0.15105957145691601</v>
      </c>
      <c r="Z96" s="31">
        <v>2.5021348785981101</v>
      </c>
      <c r="AA96">
        <v>23.378280238494</v>
      </c>
      <c r="AB96">
        <v>0.05</v>
      </c>
      <c r="AC96">
        <v>242382.33872153901</v>
      </c>
      <c r="AD96">
        <v>277358.11019905709</v>
      </c>
      <c r="AE96">
        <v>1</v>
      </c>
      <c r="AF96">
        <v>4070.0323032193301</v>
      </c>
      <c r="AG96">
        <v>76465.606137190625</v>
      </c>
    </row>
    <row r="97" spans="2:33" hidden="1" x14ac:dyDescent="0.25">
      <c r="B97">
        <v>2</v>
      </c>
      <c r="C97" t="s">
        <v>27</v>
      </c>
      <c r="D97" t="s">
        <v>28</v>
      </c>
      <c r="E97" t="s">
        <v>68</v>
      </c>
      <c r="F97">
        <v>131542</v>
      </c>
      <c r="G97">
        <v>131542</v>
      </c>
      <c r="H97">
        <v>20</v>
      </c>
      <c r="I97">
        <v>21</v>
      </c>
      <c r="J97">
        <v>7.2220279454470815E-4</v>
      </c>
      <c r="K97">
        <v>476209</v>
      </c>
      <c r="L97">
        <v>24424</v>
      </c>
      <c r="M97">
        <v>0</v>
      </c>
      <c r="N97">
        <v>19900</v>
      </c>
      <c r="O97" s="43">
        <v>28645316.85110832</v>
      </c>
      <c r="P97" s="14">
        <f t="shared" si="5"/>
        <v>1558999.6632144004</v>
      </c>
      <c r="Q97" s="14" t="str">
        <f t="shared" si="3"/>
        <v/>
      </c>
      <c r="R97" s="14" t="str">
        <f t="shared" si="3"/>
        <v/>
      </c>
      <c r="S97" s="14" t="str">
        <f t="shared" si="4"/>
        <v/>
      </c>
      <c r="T97" s="14" t="s">
        <v>72</v>
      </c>
      <c r="U97" s="14">
        <v>74238.079200685737</v>
      </c>
      <c r="V97">
        <v>3406</v>
      </c>
      <c r="W97">
        <v>17.908044433593702</v>
      </c>
      <c r="X97">
        <v>64.385178726699706</v>
      </c>
      <c r="Y97">
        <v>0.73131123936208597</v>
      </c>
      <c r="Z97" s="31">
        <v>2.2872868890165901</v>
      </c>
      <c r="AA97">
        <v>13.6812095868938</v>
      </c>
      <c r="AB97">
        <v>0.05</v>
      </c>
      <c r="AC97">
        <v>242382.33872153901</v>
      </c>
      <c r="AD97">
        <v>277358.11019905709</v>
      </c>
      <c r="AE97">
        <v>1</v>
      </c>
      <c r="AF97">
        <v>4070.0323032193301</v>
      </c>
      <c r="AG97">
        <v>76465.606137190625</v>
      </c>
    </row>
    <row r="98" spans="2:33" hidden="1" x14ac:dyDescent="0.25">
      <c r="B98">
        <v>2</v>
      </c>
      <c r="C98" t="s">
        <v>27</v>
      </c>
      <c r="D98" t="s">
        <v>28</v>
      </c>
      <c r="E98" t="s">
        <v>68</v>
      </c>
      <c r="F98">
        <v>131542</v>
      </c>
      <c r="G98">
        <v>131542</v>
      </c>
      <c r="H98">
        <v>21</v>
      </c>
      <c r="I98">
        <v>21</v>
      </c>
      <c r="J98">
        <v>0</v>
      </c>
      <c r="K98">
        <v>476209</v>
      </c>
      <c r="L98">
        <v>24424</v>
      </c>
      <c r="M98">
        <v>0</v>
      </c>
      <c r="N98">
        <v>19900</v>
      </c>
      <c r="O98" s="43">
        <v>29842148.935463041</v>
      </c>
      <c r="P98" s="14">
        <f t="shared" si="5"/>
        <v>1196832.084354721</v>
      </c>
      <c r="Q98" s="14" t="str">
        <f t="shared" si="3"/>
        <v/>
      </c>
      <c r="R98" s="14" t="str">
        <f t="shared" si="3"/>
        <v/>
      </c>
      <c r="S98" s="14" t="str">
        <f t="shared" si="4"/>
        <v/>
      </c>
      <c r="T98" s="14" t="s">
        <v>72</v>
      </c>
      <c r="U98" s="14">
        <v>56992.004016891296</v>
      </c>
      <c r="V98">
        <v>3406</v>
      </c>
      <c r="W98">
        <v>23.214196777343702</v>
      </c>
      <c r="X98">
        <v>49.723267583388399</v>
      </c>
      <c r="Y98">
        <v>1.4311438883243</v>
      </c>
      <c r="Z98" s="31">
        <v>2.7617739906023502</v>
      </c>
      <c r="AA98">
        <v>11.9209417261357</v>
      </c>
      <c r="AB98">
        <v>0.05</v>
      </c>
      <c r="AC98">
        <v>242382.33872153901</v>
      </c>
      <c r="AD98">
        <v>277358.11019905709</v>
      </c>
      <c r="AE98">
        <v>1</v>
      </c>
      <c r="AF98">
        <v>4070.0323032193301</v>
      </c>
      <c r="AG98">
        <v>76465.606137190625</v>
      </c>
    </row>
    <row r="99" spans="2:33" hidden="1" x14ac:dyDescent="0.25">
      <c r="B99">
        <v>2</v>
      </c>
      <c r="C99" t="s">
        <v>27</v>
      </c>
      <c r="D99" t="s">
        <v>28</v>
      </c>
      <c r="E99" t="s">
        <v>68</v>
      </c>
      <c r="F99">
        <v>131542</v>
      </c>
      <c r="G99">
        <v>131542</v>
      </c>
      <c r="H99">
        <v>22</v>
      </c>
      <c r="I99">
        <v>1</v>
      </c>
      <c r="J99">
        <v>0</v>
      </c>
      <c r="K99">
        <v>476209</v>
      </c>
      <c r="L99">
        <v>24424</v>
      </c>
      <c r="M99">
        <v>0</v>
      </c>
      <c r="N99">
        <v>19900</v>
      </c>
      <c r="O99" s="43">
        <v>30403532.77082352</v>
      </c>
      <c r="P99" s="14">
        <f t="shared" si="5"/>
        <v>561383.83536047861</v>
      </c>
      <c r="Q99" s="14" t="str">
        <f t="shared" si="3"/>
        <v/>
      </c>
      <c r="R99" s="14" t="str">
        <f t="shared" si="3"/>
        <v/>
      </c>
      <c r="S99" s="14" t="str">
        <f t="shared" si="4"/>
        <v/>
      </c>
      <c r="T99" s="14" t="s">
        <v>72</v>
      </c>
      <c r="U99" s="14">
        <v>561383.83536048234</v>
      </c>
      <c r="V99">
        <v>3406</v>
      </c>
      <c r="W99">
        <v>31.089959716796901</v>
      </c>
      <c r="X99">
        <v>43.579965374435702</v>
      </c>
      <c r="Y99">
        <v>2.54636081257541</v>
      </c>
      <c r="Z99" s="31">
        <v>1.4180536719250201</v>
      </c>
      <c r="AA99">
        <v>5.4492502786295098</v>
      </c>
      <c r="AB99">
        <v>0.05</v>
      </c>
      <c r="AC99">
        <v>242382.33872153901</v>
      </c>
      <c r="AD99">
        <v>277358.11019905709</v>
      </c>
      <c r="AE99">
        <v>1</v>
      </c>
      <c r="AF99">
        <v>4070.0323032193301</v>
      </c>
      <c r="AG99">
        <v>76465.606137190625</v>
      </c>
    </row>
    <row r="100" spans="2:33" hidden="1" x14ac:dyDescent="0.25">
      <c r="B100">
        <v>2</v>
      </c>
      <c r="C100" t="s">
        <v>27</v>
      </c>
      <c r="D100" t="s">
        <v>28</v>
      </c>
      <c r="E100" t="s">
        <v>68</v>
      </c>
      <c r="F100">
        <v>131542</v>
      </c>
      <c r="G100">
        <v>131542</v>
      </c>
      <c r="H100">
        <v>23</v>
      </c>
      <c r="I100" s="3">
        <v>5</v>
      </c>
      <c r="J100">
        <v>0</v>
      </c>
      <c r="K100">
        <v>476209</v>
      </c>
      <c r="L100">
        <v>24424</v>
      </c>
      <c r="M100">
        <v>0</v>
      </c>
      <c r="N100">
        <v>19900</v>
      </c>
      <c r="O100" s="43">
        <v>33015344.97699504</v>
      </c>
      <c r="P100" s="14">
        <f t="shared" si="5"/>
        <v>2611812.2061715201</v>
      </c>
      <c r="Q100" s="14" t="str">
        <f t="shared" si="3"/>
        <v/>
      </c>
      <c r="R100" s="14" t="str">
        <f t="shared" si="3"/>
        <v/>
      </c>
      <c r="S100" s="14" t="str">
        <f t="shared" si="4"/>
        <v/>
      </c>
      <c r="T100" s="14" t="s">
        <v>72</v>
      </c>
      <c r="U100" s="14">
        <v>522362.44123430399</v>
      </c>
      <c r="V100">
        <v>3406</v>
      </c>
      <c r="W100">
        <v>28.596215820312501</v>
      </c>
      <c r="X100">
        <v>36.0812855486529</v>
      </c>
      <c r="Y100">
        <v>2.5009572945567302</v>
      </c>
      <c r="Z100" s="31">
        <v>1.2900069687220399</v>
      </c>
      <c r="AA100">
        <v>3.9942340887986498</v>
      </c>
      <c r="AB100">
        <v>0.05</v>
      </c>
      <c r="AC100">
        <v>242382.33872153901</v>
      </c>
      <c r="AD100">
        <v>277358.11019905709</v>
      </c>
      <c r="AE100">
        <v>1</v>
      </c>
      <c r="AF100">
        <v>4070.0323032193301</v>
      </c>
      <c r="AG100">
        <v>76465.606137190625</v>
      </c>
    </row>
    <row r="101" spans="2:33" hidden="1" x14ac:dyDescent="0.25">
      <c r="B101">
        <v>2</v>
      </c>
      <c r="C101" t="s">
        <v>27</v>
      </c>
      <c r="D101" t="s">
        <v>28</v>
      </c>
      <c r="E101" t="s">
        <v>68</v>
      </c>
      <c r="F101">
        <v>131542</v>
      </c>
      <c r="G101">
        <v>131542</v>
      </c>
      <c r="H101">
        <v>24</v>
      </c>
      <c r="I101" s="3">
        <v>0</v>
      </c>
      <c r="J101">
        <v>0</v>
      </c>
      <c r="K101">
        <v>476209</v>
      </c>
      <c r="L101">
        <v>24424</v>
      </c>
      <c r="M101">
        <v>0</v>
      </c>
      <c r="N101">
        <v>19900</v>
      </c>
      <c r="O101" s="43">
        <v>34166281.453333922</v>
      </c>
      <c r="P101" s="14">
        <f t="shared" si="5"/>
        <v>1150936.476338882</v>
      </c>
      <c r="Q101" s="14" t="str">
        <f t="shared" si="3"/>
        <v/>
      </c>
      <c r="R101" s="14" t="str">
        <f t="shared" si="3"/>
        <v/>
      </c>
      <c r="S101" s="14" t="str">
        <f t="shared" si="4"/>
        <v/>
      </c>
      <c r="T101" s="14" t="s">
        <v>72</v>
      </c>
      <c r="U101" s="14">
        <v>0</v>
      </c>
      <c r="V101">
        <v>3406</v>
      </c>
      <c r="W101">
        <v>25.931359863281301</v>
      </c>
      <c r="X101">
        <v>51.560745924979003</v>
      </c>
      <c r="Y101">
        <v>1.6213820148761799</v>
      </c>
      <c r="Z101" s="31">
        <v>1.3744670183085299</v>
      </c>
      <c r="AA101">
        <v>6.8341743501977801</v>
      </c>
      <c r="AB101">
        <v>0.05</v>
      </c>
      <c r="AC101">
        <v>242382.33872153901</v>
      </c>
      <c r="AD101">
        <v>277358.11019905709</v>
      </c>
      <c r="AE101">
        <v>1</v>
      </c>
      <c r="AF101">
        <v>4070.0323032193301</v>
      </c>
      <c r="AG101">
        <v>76465.606137190625</v>
      </c>
    </row>
    <row r="102" spans="2:33" hidden="1" x14ac:dyDescent="0.25">
      <c r="B102">
        <v>2</v>
      </c>
      <c r="C102" t="s">
        <v>27</v>
      </c>
      <c r="D102" t="s">
        <v>28</v>
      </c>
      <c r="E102" t="s">
        <v>68</v>
      </c>
      <c r="F102">
        <v>131542</v>
      </c>
      <c r="G102">
        <v>131542</v>
      </c>
      <c r="H102">
        <v>25</v>
      </c>
      <c r="I102" s="3">
        <v>0</v>
      </c>
      <c r="J102">
        <v>0</v>
      </c>
      <c r="K102">
        <v>476209</v>
      </c>
      <c r="L102">
        <v>24424</v>
      </c>
      <c r="M102">
        <v>0</v>
      </c>
      <c r="N102">
        <v>19900</v>
      </c>
      <c r="O102" s="43">
        <v>35307665.070179053</v>
      </c>
      <c r="P102" s="14">
        <f t="shared" si="5"/>
        <v>1141383.6168451309</v>
      </c>
      <c r="Q102" s="14" t="str">
        <f t="shared" si="3"/>
        <v/>
      </c>
      <c r="R102" s="14" t="str">
        <f t="shared" si="3"/>
        <v/>
      </c>
      <c r="S102" s="14" t="str">
        <f t="shared" si="4"/>
        <v/>
      </c>
      <c r="T102" s="14" t="s">
        <v>72</v>
      </c>
      <c r="U102" s="14">
        <v>0</v>
      </c>
      <c r="V102">
        <v>3406</v>
      </c>
      <c r="W102">
        <v>26.802880859375001</v>
      </c>
      <c r="X102">
        <v>46.846744459780503</v>
      </c>
      <c r="Y102">
        <v>1.87296785523468</v>
      </c>
      <c r="Z102" s="31">
        <v>1.36129656530026</v>
      </c>
      <c r="AA102">
        <v>5.8850762262213596</v>
      </c>
      <c r="AB102">
        <v>0.05</v>
      </c>
      <c r="AC102">
        <v>242382.33872153901</v>
      </c>
      <c r="AD102">
        <v>277358.11019905709</v>
      </c>
      <c r="AE102">
        <v>1</v>
      </c>
      <c r="AF102">
        <v>4070.0323032193301</v>
      </c>
      <c r="AG102">
        <v>76465.606137190625</v>
      </c>
    </row>
    <row r="103" spans="2:33" hidden="1" x14ac:dyDescent="0.25">
      <c r="B103">
        <v>2</v>
      </c>
      <c r="C103" t="s">
        <v>27</v>
      </c>
      <c r="D103" t="s">
        <v>28</v>
      </c>
      <c r="E103" t="s">
        <v>68</v>
      </c>
      <c r="F103">
        <v>131542</v>
      </c>
      <c r="G103">
        <v>131542</v>
      </c>
      <c r="H103">
        <v>26</v>
      </c>
      <c r="I103" s="3">
        <v>0</v>
      </c>
      <c r="J103">
        <v>0</v>
      </c>
      <c r="K103">
        <v>476209</v>
      </c>
      <c r="L103">
        <v>24424</v>
      </c>
      <c r="M103">
        <v>0</v>
      </c>
      <c r="N103">
        <v>19900</v>
      </c>
      <c r="O103" s="43">
        <v>35864740.506402723</v>
      </c>
      <c r="P103" s="14">
        <f t="shared" si="5"/>
        <v>557075.43622367084</v>
      </c>
      <c r="Q103" s="14" t="str">
        <f t="shared" si="3"/>
        <v/>
      </c>
      <c r="R103" s="14" t="str">
        <f t="shared" si="3"/>
        <v/>
      </c>
      <c r="S103" s="14" t="str">
        <f t="shared" si="4"/>
        <v/>
      </c>
      <c r="T103" s="14" t="s">
        <v>72</v>
      </c>
      <c r="U103" s="14">
        <v>0</v>
      </c>
      <c r="V103">
        <v>3406</v>
      </c>
      <c r="W103">
        <v>26.774285888671901</v>
      </c>
      <c r="X103">
        <v>41.908404498628499</v>
      </c>
      <c r="Y103">
        <v>2.0437631774187102</v>
      </c>
      <c r="Z103" s="31">
        <v>2.1398743608551198</v>
      </c>
      <c r="AA103">
        <v>4.9856240291471696</v>
      </c>
      <c r="AB103">
        <v>0.05</v>
      </c>
      <c r="AC103">
        <v>242382.33872153901</v>
      </c>
      <c r="AD103">
        <v>277358.11019905709</v>
      </c>
      <c r="AE103">
        <v>1</v>
      </c>
      <c r="AF103">
        <v>4070.0323032193301</v>
      </c>
      <c r="AG103">
        <v>76465.606137190625</v>
      </c>
    </row>
    <row r="104" spans="2:33" hidden="1" x14ac:dyDescent="0.25">
      <c r="B104">
        <v>2</v>
      </c>
      <c r="C104" t="s">
        <v>27</v>
      </c>
      <c r="D104" t="s">
        <v>28</v>
      </c>
      <c r="E104" t="s">
        <v>68</v>
      </c>
      <c r="F104">
        <v>131542</v>
      </c>
      <c r="G104">
        <v>131542</v>
      </c>
      <c r="H104">
        <v>27</v>
      </c>
      <c r="I104" s="3">
        <v>0</v>
      </c>
      <c r="J104">
        <v>0</v>
      </c>
      <c r="K104">
        <v>476209</v>
      </c>
      <c r="L104">
        <v>24424</v>
      </c>
      <c r="M104">
        <v>0</v>
      </c>
      <c r="N104">
        <v>19900</v>
      </c>
      <c r="O104" s="43">
        <v>36618531.840000004</v>
      </c>
      <c r="P104" s="14">
        <f t="shared" si="5"/>
        <v>753791.33359728009</v>
      </c>
      <c r="Q104" s="14" t="str">
        <f t="shared" si="3"/>
        <v/>
      </c>
      <c r="R104" s="14" t="str">
        <f t="shared" si="3"/>
        <v/>
      </c>
      <c r="S104" s="14" t="str">
        <f t="shared" si="4"/>
        <v/>
      </c>
      <c r="T104" s="14" t="s">
        <v>72</v>
      </c>
      <c r="U104" s="14">
        <v>0</v>
      </c>
      <c r="V104">
        <v>3406</v>
      </c>
      <c r="W104">
        <v>24.593957519531301</v>
      </c>
      <c r="X104">
        <v>38.273304128754098</v>
      </c>
      <c r="Y104">
        <v>1.9089925495637201</v>
      </c>
      <c r="Z104" s="31">
        <v>1.8837827269080301</v>
      </c>
      <c r="AA104">
        <v>8.6327613602095497</v>
      </c>
      <c r="AB104">
        <v>0.05</v>
      </c>
      <c r="AC104">
        <v>242382.33872153901</v>
      </c>
      <c r="AD104">
        <v>277358.11019905709</v>
      </c>
      <c r="AE104">
        <v>1</v>
      </c>
      <c r="AF104">
        <v>4070.0323032193301</v>
      </c>
      <c r="AG104">
        <v>76465.606137190625</v>
      </c>
    </row>
    <row r="105" spans="2:33" hidden="1" x14ac:dyDescent="0.25">
      <c r="B105">
        <v>2</v>
      </c>
      <c r="C105" t="s">
        <v>27</v>
      </c>
      <c r="D105" t="s">
        <v>28</v>
      </c>
      <c r="E105" t="s">
        <v>68</v>
      </c>
      <c r="F105">
        <v>131542</v>
      </c>
      <c r="G105">
        <v>131542</v>
      </c>
      <c r="H105">
        <v>28</v>
      </c>
      <c r="I105" s="3">
        <v>0</v>
      </c>
      <c r="J105">
        <v>0</v>
      </c>
      <c r="K105">
        <v>476209</v>
      </c>
      <c r="L105">
        <v>24424</v>
      </c>
      <c r="M105">
        <v>0</v>
      </c>
      <c r="N105">
        <v>19900</v>
      </c>
      <c r="O105" s="43">
        <v>36618531.840000004</v>
      </c>
      <c r="P105" s="14">
        <f t="shared" si="5"/>
        <v>0</v>
      </c>
      <c r="Q105" s="14" t="str">
        <f t="shared" si="3"/>
        <v/>
      </c>
      <c r="R105" s="14" t="str">
        <f t="shared" si="3"/>
        <v/>
      </c>
      <c r="S105" s="14" t="str">
        <f t="shared" si="4"/>
        <v/>
      </c>
      <c r="T105" s="14" t="s">
        <v>72</v>
      </c>
      <c r="U105" s="14">
        <v>0</v>
      </c>
      <c r="V105">
        <v>3406</v>
      </c>
      <c r="W105">
        <v>20.448510742187501</v>
      </c>
      <c r="X105">
        <v>58.263084034233003</v>
      </c>
      <c r="Y105">
        <v>1.00373122851773</v>
      </c>
      <c r="Z105" s="31">
        <v>2.7379778608560699</v>
      </c>
      <c r="AA105">
        <v>4.5904375777969797</v>
      </c>
      <c r="AB105">
        <v>0.05</v>
      </c>
      <c r="AC105">
        <v>242382.33872153901</v>
      </c>
      <c r="AD105">
        <v>277358.11019905709</v>
      </c>
      <c r="AE105">
        <v>1</v>
      </c>
      <c r="AF105">
        <v>4070.0323032193301</v>
      </c>
      <c r="AG105">
        <v>76465.606137190625</v>
      </c>
    </row>
    <row r="106" spans="2:33" hidden="1" x14ac:dyDescent="0.25">
      <c r="B106">
        <v>2</v>
      </c>
      <c r="C106" t="s">
        <v>27</v>
      </c>
      <c r="D106" t="s">
        <v>28</v>
      </c>
      <c r="E106" t="s">
        <v>68</v>
      </c>
      <c r="F106">
        <v>131542</v>
      </c>
      <c r="G106">
        <v>131542</v>
      </c>
      <c r="H106">
        <v>29</v>
      </c>
      <c r="I106" s="3">
        <v>0</v>
      </c>
      <c r="J106">
        <v>0</v>
      </c>
      <c r="K106">
        <v>476209</v>
      </c>
      <c r="L106">
        <v>24424</v>
      </c>
      <c r="M106">
        <v>0</v>
      </c>
      <c r="N106">
        <v>19900</v>
      </c>
      <c r="O106" s="43">
        <v>37419562.223999999</v>
      </c>
      <c r="P106" s="14">
        <f t="shared" si="5"/>
        <v>801030.38399999589</v>
      </c>
      <c r="Q106" s="14" t="str">
        <f t="shared" si="3"/>
        <v/>
      </c>
      <c r="R106" s="14" t="str">
        <f t="shared" si="3"/>
        <v/>
      </c>
      <c r="S106" s="14" t="str">
        <f t="shared" si="4"/>
        <v/>
      </c>
      <c r="T106" s="14" t="s">
        <v>72</v>
      </c>
      <c r="U106" s="14">
        <v>0</v>
      </c>
      <c r="V106">
        <v>3406</v>
      </c>
      <c r="W106">
        <v>23.351403808593702</v>
      </c>
      <c r="X106">
        <v>49.658536744720998</v>
      </c>
      <c r="Y106">
        <v>1.4448810013835001</v>
      </c>
      <c r="Z106" s="31">
        <v>1.72356297632473</v>
      </c>
      <c r="AA106">
        <v>2.89032538164451</v>
      </c>
      <c r="AB106">
        <v>0.05</v>
      </c>
      <c r="AC106">
        <v>242382.33872153901</v>
      </c>
      <c r="AD106">
        <v>277358.11019905709</v>
      </c>
      <c r="AE106">
        <v>1</v>
      </c>
      <c r="AF106">
        <v>4070.0323032193301</v>
      </c>
      <c r="AG106">
        <v>76465.606137190625</v>
      </c>
    </row>
    <row r="107" spans="2:33" hidden="1" x14ac:dyDescent="0.25">
      <c r="B107">
        <v>2</v>
      </c>
      <c r="C107" t="s">
        <v>27</v>
      </c>
      <c r="D107" t="s">
        <v>28</v>
      </c>
      <c r="E107" t="s">
        <v>68</v>
      </c>
      <c r="F107">
        <v>131542</v>
      </c>
      <c r="G107">
        <v>131542</v>
      </c>
      <c r="H107">
        <v>30</v>
      </c>
      <c r="I107" s="3">
        <v>0</v>
      </c>
      <c r="J107">
        <v>0</v>
      </c>
      <c r="K107">
        <v>476209</v>
      </c>
      <c r="L107">
        <v>24424</v>
      </c>
      <c r="M107">
        <v>0</v>
      </c>
      <c r="N107">
        <v>19900</v>
      </c>
      <c r="O107" s="43">
        <v>37762860.960000001</v>
      </c>
      <c r="P107" s="14">
        <f t="shared" si="5"/>
        <v>343298.73600000143</v>
      </c>
      <c r="Q107" s="14" t="str">
        <f t="shared" si="3"/>
        <v/>
      </c>
      <c r="R107" s="14" t="str">
        <f t="shared" si="3"/>
        <v/>
      </c>
      <c r="S107" s="14" t="str">
        <f t="shared" si="4"/>
        <v/>
      </c>
      <c r="T107" s="14" t="s">
        <v>72</v>
      </c>
      <c r="U107" s="14">
        <v>0</v>
      </c>
      <c r="V107">
        <v>3406</v>
      </c>
      <c r="W107">
        <v>25.622247314453102</v>
      </c>
      <c r="X107">
        <v>42.3914733702155</v>
      </c>
      <c r="Y107">
        <v>1.89373465818035</v>
      </c>
      <c r="Z107" s="31">
        <v>1.5169908877575</v>
      </c>
      <c r="AA107">
        <v>4.3283748681807701</v>
      </c>
      <c r="AB107">
        <v>0.05</v>
      </c>
      <c r="AC107">
        <v>242382.33872153901</v>
      </c>
      <c r="AD107">
        <v>277358.11019905709</v>
      </c>
      <c r="AE107">
        <v>1</v>
      </c>
      <c r="AF107">
        <v>4070.0323032193301</v>
      </c>
      <c r="AG107">
        <v>76465.606137190625</v>
      </c>
    </row>
    <row r="108" spans="2:33" hidden="1" x14ac:dyDescent="0.25">
      <c r="B108">
        <v>2</v>
      </c>
      <c r="C108" t="s">
        <v>27</v>
      </c>
      <c r="D108" t="s">
        <v>28</v>
      </c>
      <c r="E108" t="s">
        <v>68</v>
      </c>
      <c r="F108">
        <v>131542</v>
      </c>
      <c r="G108">
        <v>131542</v>
      </c>
      <c r="H108">
        <v>31</v>
      </c>
      <c r="I108" s="3">
        <v>0</v>
      </c>
      <c r="J108">
        <v>0</v>
      </c>
      <c r="K108">
        <v>476209</v>
      </c>
      <c r="L108">
        <v>24424</v>
      </c>
      <c r="M108">
        <v>0</v>
      </c>
      <c r="N108">
        <v>19900</v>
      </c>
      <c r="O108" s="43">
        <v>38563891.343999997</v>
      </c>
      <c r="P108" s="14">
        <f t="shared" si="5"/>
        <v>801030.38399999589</v>
      </c>
      <c r="Q108" s="14" t="str">
        <f t="shared" si="3"/>
        <v/>
      </c>
      <c r="R108" s="14" t="str">
        <f t="shared" si="3"/>
        <v/>
      </c>
      <c r="S108" s="14" t="str">
        <f t="shared" si="4"/>
        <v/>
      </c>
      <c r="T108" s="14" t="s">
        <v>72</v>
      </c>
      <c r="U108" s="14">
        <v>0</v>
      </c>
      <c r="V108">
        <v>3406</v>
      </c>
      <c r="W108">
        <v>21.672082519531301</v>
      </c>
      <c r="X108">
        <v>55.118963874038201</v>
      </c>
      <c r="Y108">
        <v>1.16342580882249</v>
      </c>
      <c r="Z108" s="31">
        <v>1.70411967319822</v>
      </c>
      <c r="AA108">
        <v>10.016768587036401</v>
      </c>
      <c r="AB108">
        <v>0.05</v>
      </c>
      <c r="AC108">
        <v>242382.33872153901</v>
      </c>
      <c r="AD108">
        <v>277358.11019905709</v>
      </c>
      <c r="AE108">
        <v>1</v>
      </c>
      <c r="AF108">
        <v>4070.0323032193301</v>
      </c>
      <c r="AG108">
        <v>76465.606137190625</v>
      </c>
    </row>
    <row r="109" spans="2:33" hidden="1" x14ac:dyDescent="0.25">
      <c r="B109">
        <v>2</v>
      </c>
      <c r="C109" t="s">
        <v>27</v>
      </c>
      <c r="D109" t="s">
        <v>28</v>
      </c>
      <c r="E109" t="s">
        <v>68</v>
      </c>
      <c r="F109">
        <v>131542</v>
      </c>
      <c r="G109">
        <v>131542</v>
      </c>
      <c r="H109">
        <v>32</v>
      </c>
      <c r="I109" s="3">
        <v>0</v>
      </c>
      <c r="J109">
        <v>0</v>
      </c>
      <c r="K109">
        <v>476209</v>
      </c>
      <c r="L109">
        <v>24424</v>
      </c>
      <c r="M109">
        <v>0</v>
      </c>
      <c r="N109">
        <v>19900</v>
      </c>
      <c r="O109" s="43">
        <v>38907190.080000013</v>
      </c>
      <c r="P109" s="14">
        <f t="shared" si="5"/>
        <v>343298.73600001633</v>
      </c>
      <c r="Q109" s="14" t="str">
        <f t="shared" si="3"/>
        <v/>
      </c>
      <c r="R109" s="14" t="str">
        <f t="shared" si="3"/>
        <v/>
      </c>
      <c r="S109" s="14" t="str">
        <f t="shared" si="4"/>
        <v/>
      </c>
      <c r="T109" s="14" t="s">
        <v>72</v>
      </c>
      <c r="U109" s="14">
        <v>0</v>
      </c>
      <c r="V109">
        <v>3406</v>
      </c>
      <c r="W109">
        <v>19.780969238281301</v>
      </c>
      <c r="X109">
        <v>53.799771223030703</v>
      </c>
      <c r="Y109">
        <v>1.06628443475917</v>
      </c>
      <c r="Z109" s="31">
        <v>1.9810853445965599</v>
      </c>
      <c r="AA109">
        <v>8.6940036620021193</v>
      </c>
      <c r="AB109">
        <v>0.05</v>
      </c>
      <c r="AC109">
        <v>242382.33872153901</v>
      </c>
      <c r="AD109">
        <v>277358.11019905709</v>
      </c>
      <c r="AE109">
        <v>1</v>
      </c>
      <c r="AF109">
        <v>4070.0323032193301</v>
      </c>
      <c r="AG109">
        <v>76465.606137190625</v>
      </c>
    </row>
    <row r="110" spans="2:33" hidden="1" x14ac:dyDescent="0.25">
      <c r="B110">
        <v>2</v>
      </c>
      <c r="C110" t="s">
        <v>27</v>
      </c>
      <c r="D110" t="s">
        <v>28</v>
      </c>
      <c r="E110" t="s">
        <v>68</v>
      </c>
      <c r="F110">
        <v>131542</v>
      </c>
      <c r="G110">
        <v>131542</v>
      </c>
      <c r="H110">
        <v>33</v>
      </c>
      <c r="I110" s="3">
        <v>0</v>
      </c>
      <c r="J110">
        <v>0</v>
      </c>
      <c r="K110">
        <v>476209</v>
      </c>
      <c r="L110">
        <v>24424</v>
      </c>
      <c r="M110">
        <v>0</v>
      </c>
      <c r="N110">
        <v>19900</v>
      </c>
      <c r="O110" s="43">
        <v>39364921.728</v>
      </c>
      <c r="P110" s="14">
        <f t="shared" si="5"/>
        <v>457731.64799998701</v>
      </c>
      <c r="Q110" s="14" t="str">
        <f t="shared" si="3"/>
        <v/>
      </c>
      <c r="R110" s="14" t="str">
        <f t="shared" si="3"/>
        <v/>
      </c>
      <c r="S110" s="14" t="str">
        <f t="shared" si="4"/>
        <v/>
      </c>
      <c r="T110" s="14" t="s">
        <v>72</v>
      </c>
      <c r="U110" s="14">
        <v>0</v>
      </c>
      <c r="V110">
        <v>3406</v>
      </c>
      <c r="W110">
        <v>20.850488281250001</v>
      </c>
      <c r="X110">
        <v>51.413363421638898</v>
      </c>
      <c r="Y110">
        <v>1.1978052309859599</v>
      </c>
      <c r="Z110" s="31">
        <v>1.92801124538451</v>
      </c>
      <c r="AA110">
        <v>11.312312937148199</v>
      </c>
      <c r="AB110">
        <v>0.05</v>
      </c>
      <c r="AC110">
        <v>242382.33872153901</v>
      </c>
      <c r="AD110">
        <v>277358.11019905709</v>
      </c>
      <c r="AE110">
        <v>1</v>
      </c>
      <c r="AF110">
        <v>4070.0323032193301</v>
      </c>
      <c r="AG110">
        <v>76465.606137190625</v>
      </c>
    </row>
    <row r="111" spans="2:33" hidden="1" x14ac:dyDescent="0.25">
      <c r="B111">
        <v>2</v>
      </c>
      <c r="C111" t="s">
        <v>27</v>
      </c>
      <c r="D111" t="s">
        <v>28</v>
      </c>
      <c r="E111" t="s">
        <v>68</v>
      </c>
      <c r="F111">
        <v>131542</v>
      </c>
      <c r="G111">
        <v>131542</v>
      </c>
      <c r="H111">
        <v>34</v>
      </c>
      <c r="I111" s="3">
        <v>0</v>
      </c>
      <c r="J111">
        <v>0</v>
      </c>
      <c r="K111">
        <v>476209</v>
      </c>
      <c r="L111">
        <v>24424</v>
      </c>
      <c r="M111">
        <v>0</v>
      </c>
      <c r="N111">
        <v>19900</v>
      </c>
      <c r="O111" s="43">
        <v>39822653.376000002</v>
      </c>
      <c r="P111" s="14">
        <f t="shared" si="5"/>
        <v>457731.64800000191</v>
      </c>
      <c r="Q111" s="14" t="str">
        <f t="shared" si="3"/>
        <v/>
      </c>
      <c r="R111" s="14" t="str">
        <f t="shared" si="3"/>
        <v/>
      </c>
      <c r="S111" s="14" t="str">
        <f t="shared" si="4"/>
        <v/>
      </c>
      <c r="T111" s="14" t="s">
        <v>72</v>
      </c>
      <c r="U111" s="14">
        <v>0</v>
      </c>
      <c r="V111">
        <v>3406</v>
      </c>
      <c r="W111">
        <v>13.3733154296875</v>
      </c>
      <c r="X111">
        <v>73.916076977871597</v>
      </c>
      <c r="Y111">
        <v>0.40080359205539201</v>
      </c>
      <c r="Z111" s="31">
        <v>3.0831998588389302</v>
      </c>
      <c r="AA111">
        <v>18.1555033090536</v>
      </c>
      <c r="AB111">
        <v>0.05</v>
      </c>
      <c r="AC111">
        <v>242382.33872153901</v>
      </c>
      <c r="AD111">
        <v>277358.11019905709</v>
      </c>
      <c r="AE111">
        <v>1</v>
      </c>
      <c r="AF111">
        <v>4070.0323032193301</v>
      </c>
      <c r="AG111">
        <v>76465.606137190625</v>
      </c>
    </row>
    <row r="112" spans="2:33" hidden="1" x14ac:dyDescent="0.25">
      <c r="B112">
        <v>2</v>
      </c>
      <c r="C112" t="s">
        <v>27</v>
      </c>
      <c r="D112" t="s">
        <v>28</v>
      </c>
      <c r="E112" t="s">
        <v>68</v>
      </c>
      <c r="F112">
        <v>131542</v>
      </c>
      <c r="G112">
        <v>131542</v>
      </c>
      <c r="H112">
        <v>35</v>
      </c>
      <c r="I112" s="3">
        <v>0</v>
      </c>
      <c r="J112">
        <v>0</v>
      </c>
      <c r="K112">
        <v>476209</v>
      </c>
      <c r="L112">
        <v>24424</v>
      </c>
      <c r="M112">
        <v>0</v>
      </c>
      <c r="N112">
        <v>19900</v>
      </c>
      <c r="O112" s="43">
        <v>40280385.023999996</v>
      </c>
      <c r="P112" s="14">
        <f t="shared" si="5"/>
        <v>457731.64799999446</v>
      </c>
      <c r="Q112" s="14" t="str">
        <f t="shared" si="3"/>
        <v/>
      </c>
      <c r="R112" s="14" t="str">
        <f t="shared" si="3"/>
        <v/>
      </c>
      <c r="S112" s="14" t="str">
        <f t="shared" si="4"/>
        <v/>
      </c>
      <c r="T112" s="14" t="s">
        <v>72</v>
      </c>
      <c r="U112" s="14">
        <v>0</v>
      </c>
      <c r="V112">
        <v>3406</v>
      </c>
      <c r="W112">
        <v>15.532312011718799</v>
      </c>
      <c r="X112">
        <v>68.143159660634197</v>
      </c>
      <c r="Y112">
        <v>0.56269359274479402</v>
      </c>
      <c r="Z112" s="31">
        <v>2.0784425742105199</v>
      </c>
      <c r="AA112">
        <v>23.082825834129501</v>
      </c>
      <c r="AB112">
        <v>0.05</v>
      </c>
      <c r="AC112">
        <v>242382.33872153901</v>
      </c>
      <c r="AD112">
        <v>277358.11019905709</v>
      </c>
      <c r="AE112">
        <v>1</v>
      </c>
      <c r="AF112">
        <v>4070.0323032193301</v>
      </c>
      <c r="AG112">
        <v>76465.606137190625</v>
      </c>
    </row>
    <row r="113" spans="1:33" hidden="1" x14ac:dyDescent="0.25">
      <c r="B113">
        <v>2</v>
      </c>
      <c r="C113" t="s">
        <v>27</v>
      </c>
      <c r="D113" t="s">
        <v>28</v>
      </c>
      <c r="E113" t="s">
        <v>68</v>
      </c>
      <c r="F113">
        <v>131542</v>
      </c>
      <c r="G113">
        <v>131542</v>
      </c>
      <c r="H113">
        <v>36</v>
      </c>
      <c r="I113" s="3">
        <v>0</v>
      </c>
      <c r="J113">
        <v>0</v>
      </c>
      <c r="K113">
        <v>476209</v>
      </c>
      <c r="L113">
        <v>24424</v>
      </c>
      <c r="M113">
        <v>0</v>
      </c>
      <c r="N113">
        <v>19900</v>
      </c>
      <c r="O113" s="43">
        <v>40623683.760000013</v>
      </c>
      <c r="P113" s="14">
        <f t="shared" si="5"/>
        <v>343298.73600001633</v>
      </c>
      <c r="Q113" s="14" t="str">
        <f t="shared" si="3"/>
        <v/>
      </c>
      <c r="R113" s="14" t="str">
        <f t="shared" si="3"/>
        <v/>
      </c>
      <c r="S113" s="14" t="str">
        <f t="shared" si="4"/>
        <v/>
      </c>
      <c r="T113" s="14" t="s">
        <v>72</v>
      </c>
      <c r="U113" s="14">
        <v>0</v>
      </c>
      <c r="V113">
        <v>3406</v>
      </c>
      <c r="W113">
        <v>17.254113769531301</v>
      </c>
      <c r="X113">
        <v>55.452548681932498</v>
      </c>
      <c r="Y113">
        <v>0.87792498525084595</v>
      </c>
      <c r="Z113" s="31">
        <v>1.6875632667299101</v>
      </c>
      <c r="AA113">
        <v>15.8048490800885</v>
      </c>
      <c r="AB113">
        <v>0.05</v>
      </c>
      <c r="AC113">
        <v>242382.33872153901</v>
      </c>
      <c r="AD113">
        <v>277358.11019905709</v>
      </c>
      <c r="AE113">
        <v>1</v>
      </c>
      <c r="AF113">
        <v>4070.0323032193301</v>
      </c>
      <c r="AG113">
        <v>76465.606137190625</v>
      </c>
    </row>
    <row r="114" spans="1:33" hidden="1" x14ac:dyDescent="0.25">
      <c r="B114">
        <v>2</v>
      </c>
      <c r="C114" t="s">
        <v>27</v>
      </c>
      <c r="D114" t="s">
        <v>28</v>
      </c>
      <c r="E114" t="s">
        <v>68</v>
      </c>
      <c r="F114">
        <v>131542</v>
      </c>
      <c r="G114">
        <v>131542</v>
      </c>
      <c r="H114">
        <v>37</v>
      </c>
      <c r="I114" s="3">
        <v>0</v>
      </c>
      <c r="J114">
        <v>0</v>
      </c>
      <c r="K114">
        <v>476209</v>
      </c>
      <c r="L114">
        <v>24424</v>
      </c>
      <c r="M114">
        <v>0</v>
      </c>
      <c r="N114">
        <v>19900</v>
      </c>
      <c r="O114" s="43">
        <v>40966982.496000007</v>
      </c>
      <c r="P114" s="14">
        <f t="shared" si="5"/>
        <v>343298.73599999398</v>
      </c>
      <c r="Q114" s="14" t="str">
        <f t="shared" si="3"/>
        <v/>
      </c>
      <c r="R114" s="14" t="str">
        <f t="shared" si="3"/>
        <v/>
      </c>
      <c r="S114" s="14" t="str">
        <f t="shared" si="4"/>
        <v/>
      </c>
      <c r="T114" s="14" t="s">
        <v>72</v>
      </c>
      <c r="U114" s="14">
        <v>0</v>
      </c>
      <c r="V114">
        <v>3406</v>
      </c>
      <c r="W114">
        <v>15.900109863281299</v>
      </c>
      <c r="X114">
        <v>90.161938604459493</v>
      </c>
      <c r="Y114">
        <v>0.17786286071735199</v>
      </c>
      <c r="Z114" s="31">
        <v>2.2671819361522099</v>
      </c>
      <c r="AA114">
        <v>20.621806294134501</v>
      </c>
      <c r="AB114">
        <v>0.05</v>
      </c>
      <c r="AC114">
        <v>242382.33872153901</v>
      </c>
      <c r="AD114">
        <v>277358.11019905709</v>
      </c>
      <c r="AE114">
        <v>1</v>
      </c>
      <c r="AF114">
        <v>4070.0323032193301</v>
      </c>
      <c r="AG114">
        <v>76465.606137190625</v>
      </c>
    </row>
    <row r="115" spans="1:33" hidden="1" x14ac:dyDescent="0.25">
      <c r="B115">
        <v>2</v>
      </c>
      <c r="C115" t="s">
        <v>27</v>
      </c>
      <c r="D115" t="s">
        <v>28</v>
      </c>
      <c r="E115" t="s">
        <v>68</v>
      </c>
      <c r="F115">
        <v>131542</v>
      </c>
      <c r="G115">
        <v>131542</v>
      </c>
      <c r="H115">
        <v>38</v>
      </c>
      <c r="I115" s="3">
        <v>0</v>
      </c>
      <c r="J115">
        <v>0</v>
      </c>
      <c r="K115">
        <v>476209</v>
      </c>
      <c r="L115">
        <v>24424</v>
      </c>
      <c r="M115">
        <v>0</v>
      </c>
      <c r="N115">
        <v>19900</v>
      </c>
      <c r="O115" s="43">
        <v>41424714.144000001</v>
      </c>
      <c r="P115" s="14">
        <f t="shared" si="5"/>
        <v>457731.64799999446</v>
      </c>
      <c r="Q115" s="14" t="str">
        <f t="shared" si="3"/>
        <v/>
      </c>
      <c r="R115" s="14" t="str">
        <f t="shared" si="3"/>
        <v/>
      </c>
      <c r="S115" s="14" t="str">
        <f t="shared" si="4"/>
        <v/>
      </c>
      <c r="T115" s="14" t="s">
        <v>72</v>
      </c>
      <c r="U115" s="14">
        <v>0</v>
      </c>
      <c r="V115">
        <v>3406</v>
      </c>
      <c r="W115">
        <v>15.3294311523437</v>
      </c>
      <c r="X115">
        <v>54.518101156443201</v>
      </c>
      <c r="Y115">
        <v>0.79307596141533199</v>
      </c>
      <c r="Z115" s="31">
        <v>3.6093107492657199</v>
      </c>
      <c r="AA115">
        <v>18.310388997986799</v>
      </c>
      <c r="AB115">
        <v>0.05</v>
      </c>
      <c r="AC115">
        <v>242382.33872153901</v>
      </c>
      <c r="AD115">
        <v>277358.11019905709</v>
      </c>
      <c r="AE115">
        <v>1</v>
      </c>
      <c r="AF115">
        <v>4070.0323032193301</v>
      </c>
      <c r="AG115">
        <v>76465.606137190625</v>
      </c>
    </row>
    <row r="116" spans="1:33" hidden="1" x14ac:dyDescent="0.25">
      <c r="B116">
        <v>2</v>
      </c>
      <c r="C116" t="s">
        <v>27</v>
      </c>
      <c r="D116" t="s">
        <v>28</v>
      </c>
      <c r="E116" t="s">
        <v>68</v>
      </c>
      <c r="F116">
        <v>131542</v>
      </c>
      <c r="G116">
        <v>131542</v>
      </c>
      <c r="H116">
        <v>39</v>
      </c>
      <c r="I116" s="3">
        <v>0</v>
      </c>
      <c r="J116">
        <v>0</v>
      </c>
      <c r="K116">
        <v>476209</v>
      </c>
      <c r="L116">
        <v>24424</v>
      </c>
      <c r="M116">
        <v>0</v>
      </c>
      <c r="N116">
        <v>19900</v>
      </c>
      <c r="O116" s="43">
        <v>41424714.144000001</v>
      </c>
      <c r="P116" s="14">
        <f t="shared" si="5"/>
        <v>0</v>
      </c>
      <c r="Q116" s="14" t="str">
        <f t="shared" si="3"/>
        <v/>
      </c>
      <c r="R116" s="14" t="str">
        <f t="shared" si="3"/>
        <v/>
      </c>
      <c r="S116" s="14" t="str">
        <f t="shared" si="4"/>
        <v/>
      </c>
      <c r="T116" s="14" t="s">
        <v>72</v>
      </c>
      <c r="U116" s="14">
        <v>0</v>
      </c>
      <c r="V116">
        <v>3406</v>
      </c>
      <c r="W116">
        <v>18.424340820312501</v>
      </c>
      <c r="X116">
        <v>51.590873263798201</v>
      </c>
      <c r="Y116">
        <v>1.02686089794418</v>
      </c>
      <c r="Z116" s="31">
        <v>2.1979304518512599</v>
      </c>
      <c r="AA116">
        <v>12.4551658043389</v>
      </c>
      <c r="AB116">
        <v>0.05</v>
      </c>
      <c r="AC116">
        <v>242382.33872153901</v>
      </c>
      <c r="AD116">
        <v>277358.11019905709</v>
      </c>
      <c r="AE116">
        <v>1</v>
      </c>
      <c r="AF116">
        <v>4070.0323032193301</v>
      </c>
      <c r="AG116">
        <v>76465.606137190625</v>
      </c>
    </row>
    <row r="117" spans="1:33" hidden="1" x14ac:dyDescent="0.25">
      <c r="B117">
        <v>2</v>
      </c>
      <c r="C117" t="s">
        <v>27</v>
      </c>
      <c r="D117" t="s">
        <v>28</v>
      </c>
      <c r="E117" t="s">
        <v>68</v>
      </c>
      <c r="F117">
        <v>131542</v>
      </c>
      <c r="G117">
        <v>131542</v>
      </c>
      <c r="H117">
        <v>40</v>
      </c>
      <c r="I117" s="3">
        <v>0</v>
      </c>
      <c r="J117">
        <v>0</v>
      </c>
      <c r="K117">
        <v>476209</v>
      </c>
      <c r="L117">
        <v>24424</v>
      </c>
      <c r="M117">
        <v>0</v>
      </c>
      <c r="N117">
        <v>19900</v>
      </c>
      <c r="O117" s="43">
        <v>43484506.560000002</v>
      </c>
      <c r="P117" s="14">
        <f t="shared" si="5"/>
        <v>2059792.4160000011</v>
      </c>
      <c r="Q117" s="14" t="str">
        <f t="shared" si="3"/>
        <v/>
      </c>
      <c r="R117" s="14" t="str">
        <f t="shared" si="3"/>
        <v/>
      </c>
      <c r="S117" s="14" t="str">
        <f t="shared" si="4"/>
        <v/>
      </c>
      <c r="T117" s="14" t="s">
        <v>72</v>
      </c>
      <c r="U117" s="14">
        <v>0</v>
      </c>
      <c r="V117">
        <v>3406</v>
      </c>
      <c r="W117">
        <v>21.186791992187501</v>
      </c>
      <c r="X117">
        <v>58.148684027741602</v>
      </c>
      <c r="Y117">
        <v>1.05314618168172</v>
      </c>
      <c r="Z117" s="31">
        <v>1.4319393976818899</v>
      </c>
      <c r="AA117">
        <v>16.594468232050701</v>
      </c>
      <c r="AB117">
        <v>0.05</v>
      </c>
      <c r="AC117">
        <v>242382.33872153901</v>
      </c>
      <c r="AD117">
        <v>277358.11019905709</v>
      </c>
      <c r="AE117">
        <v>1</v>
      </c>
      <c r="AF117">
        <v>4070.0323032193301</v>
      </c>
      <c r="AG117">
        <v>76465.606137190625</v>
      </c>
    </row>
    <row r="118" spans="1:33" hidden="1" x14ac:dyDescent="0.25">
      <c r="B118">
        <v>2</v>
      </c>
      <c r="C118" t="s">
        <v>27</v>
      </c>
      <c r="D118" t="s">
        <v>28</v>
      </c>
      <c r="E118" t="s">
        <v>68</v>
      </c>
      <c r="F118">
        <v>131542</v>
      </c>
      <c r="G118">
        <v>131542</v>
      </c>
      <c r="H118">
        <v>41</v>
      </c>
      <c r="I118" s="3">
        <v>0</v>
      </c>
      <c r="J118">
        <v>0</v>
      </c>
      <c r="K118">
        <v>476209</v>
      </c>
      <c r="L118">
        <v>24424</v>
      </c>
      <c r="M118">
        <v>0</v>
      </c>
      <c r="N118">
        <v>19900</v>
      </c>
      <c r="O118" s="43">
        <v>44628835.680000007</v>
      </c>
      <c r="P118" s="14">
        <f t="shared" si="5"/>
        <v>1144329.1200000048</v>
      </c>
      <c r="Q118" s="14" t="str">
        <f t="shared" si="3"/>
        <v/>
      </c>
      <c r="R118" s="14" t="str">
        <f t="shared" si="3"/>
        <v/>
      </c>
      <c r="S118" s="14" t="str">
        <f t="shared" si="4"/>
        <v/>
      </c>
      <c r="T118" s="14" t="s">
        <v>72</v>
      </c>
      <c r="U118" s="14">
        <v>0</v>
      </c>
      <c r="V118">
        <v>3406</v>
      </c>
      <c r="W118">
        <v>18.228845214843702</v>
      </c>
      <c r="X118">
        <v>61.197087553829498</v>
      </c>
      <c r="Y118">
        <v>0.81299559461912996</v>
      </c>
      <c r="Z118" s="31">
        <v>2.0883881344278099</v>
      </c>
      <c r="AA118">
        <v>12.728931984538599</v>
      </c>
      <c r="AB118">
        <v>0.05</v>
      </c>
      <c r="AC118">
        <v>242382.33872153901</v>
      </c>
      <c r="AD118">
        <v>277358.11019905709</v>
      </c>
      <c r="AE118">
        <v>1</v>
      </c>
      <c r="AF118">
        <v>4070.0323032193301</v>
      </c>
      <c r="AG118">
        <v>76465.606137190625</v>
      </c>
    </row>
    <row r="119" spans="1:33" hidden="1" x14ac:dyDescent="0.25">
      <c r="B119">
        <v>2</v>
      </c>
      <c r="C119" t="s">
        <v>27</v>
      </c>
      <c r="D119" t="s">
        <v>28</v>
      </c>
      <c r="E119" t="s">
        <v>68</v>
      </c>
      <c r="F119">
        <v>131542</v>
      </c>
      <c r="G119">
        <v>131542</v>
      </c>
      <c r="H119">
        <v>42</v>
      </c>
      <c r="I119" s="3">
        <v>0</v>
      </c>
      <c r="J119">
        <v>0</v>
      </c>
      <c r="K119">
        <v>476209</v>
      </c>
      <c r="L119">
        <v>24424</v>
      </c>
      <c r="M119">
        <v>0</v>
      </c>
      <c r="N119">
        <v>19900</v>
      </c>
      <c r="O119" s="43">
        <v>44628835.680000007</v>
      </c>
      <c r="P119" s="14">
        <f t="shared" si="5"/>
        <v>0</v>
      </c>
      <c r="Q119" s="14" t="str">
        <f t="shared" si="3"/>
        <v/>
      </c>
      <c r="R119" s="14" t="str">
        <f t="shared" si="3"/>
        <v/>
      </c>
      <c r="S119" s="14" t="str">
        <f t="shared" si="4"/>
        <v/>
      </c>
      <c r="T119" s="14" t="s">
        <v>72</v>
      </c>
      <c r="U119" s="14">
        <v>0</v>
      </c>
      <c r="V119">
        <v>3406</v>
      </c>
      <c r="W119">
        <v>19.383752441406301</v>
      </c>
      <c r="X119">
        <v>60.111919721553001</v>
      </c>
      <c r="Y119">
        <v>0.89814280229419396</v>
      </c>
      <c r="Z119" s="31">
        <v>1.8496494400278201</v>
      </c>
      <c r="AA119">
        <v>16.6061059455341</v>
      </c>
      <c r="AB119">
        <v>0.05</v>
      </c>
      <c r="AC119">
        <v>242382.33872153901</v>
      </c>
      <c r="AD119">
        <v>277358.11019905709</v>
      </c>
      <c r="AE119">
        <v>1</v>
      </c>
      <c r="AF119">
        <v>4070.0323032193301</v>
      </c>
      <c r="AG119">
        <v>76465.606137190625</v>
      </c>
    </row>
    <row r="120" spans="1:33" hidden="1" x14ac:dyDescent="0.25">
      <c r="B120">
        <v>2</v>
      </c>
      <c r="C120" t="s">
        <v>27</v>
      </c>
      <c r="D120" t="s">
        <v>28</v>
      </c>
      <c r="E120" t="s">
        <v>68</v>
      </c>
      <c r="F120">
        <v>131542</v>
      </c>
      <c r="G120">
        <v>131542</v>
      </c>
      <c r="H120">
        <v>43</v>
      </c>
      <c r="I120" s="3">
        <v>0</v>
      </c>
      <c r="J120">
        <v>0</v>
      </c>
      <c r="K120">
        <v>476209</v>
      </c>
      <c r="L120">
        <v>24424</v>
      </c>
      <c r="M120">
        <v>0</v>
      </c>
      <c r="N120">
        <v>19900</v>
      </c>
      <c r="O120" s="43">
        <v>44628835.680000007</v>
      </c>
      <c r="P120" s="14">
        <f t="shared" si="5"/>
        <v>0</v>
      </c>
      <c r="Q120" s="14" t="str">
        <f t="shared" si="3"/>
        <v/>
      </c>
      <c r="R120" s="14" t="str">
        <f t="shared" si="3"/>
        <v/>
      </c>
      <c r="S120" s="14" t="str">
        <f t="shared" si="4"/>
        <v/>
      </c>
      <c r="T120" s="14" t="s">
        <v>72</v>
      </c>
      <c r="U120" s="14">
        <v>0</v>
      </c>
      <c r="V120">
        <v>3406</v>
      </c>
      <c r="W120">
        <v>16.634515380859401</v>
      </c>
      <c r="X120">
        <v>60.468161519938</v>
      </c>
      <c r="Y120">
        <v>0.74909268068700796</v>
      </c>
      <c r="Z120" s="31">
        <v>2.2655723932032799</v>
      </c>
      <c r="AA120">
        <v>10.1327844723706</v>
      </c>
      <c r="AB120">
        <v>0.05</v>
      </c>
      <c r="AC120">
        <v>242382.33872153901</v>
      </c>
      <c r="AD120">
        <v>277358.11019905709</v>
      </c>
      <c r="AE120">
        <v>1</v>
      </c>
      <c r="AF120">
        <v>4070.0323032193301</v>
      </c>
      <c r="AG120">
        <v>76465.606137190625</v>
      </c>
    </row>
    <row r="121" spans="1:33" hidden="1" x14ac:dyDescent="0.25">
      <c r="B121">
        <v>2</v>
      </c>
      <c r="C121" t="s">
        <v>27</v>
      </c>
      <c r="D121" t="s">
        <v>28</v>
      </c>
      <c r="E121" t="s">
        <v>68</v>
      </c>
      <c r="F121">
        <v>131542</v>
      </c>
      <c r="G121">
        <v>131542</v>
      </c>
      <c r="H121">
        <v>44</v>
      </c>
      <c r="I121" s="3">
        <v>0</v>
      </c>
      <c r="J121">
        <v>0</v>
      </c>
      <c r="K121">
        <v>476209</v>
      </c>
      <c r="L121">
        <v>24424</v>
      </c>
      <c r="M121">
        <v>0</v>
      </c>
      <c r="N121">
        <v>19900</v>
      </c>
      <c r="O121" s="43">
        <v>45773164.799999997</v>
      </c>
      <c r="P121" s="14">
        <f t="shared" si="5"/>
        <v>1144329.1199999899</v>
      </c>
      <c r="Q121" s="14" t="str">
        <f t="shared" si="3"/>
        <v/>
      </c>
      <c r="R121" s="14" t="str">
        <f t="shared" si="3"/>
        <v/>
      </c>
      <c r="S121" s="14" t="str">
        <f t="shared" si="4"/>
        <v/>
      </c>
      <c r="T121" s="14" t="s">
        <v>72</v>
      </c>
      <c r="U121" s="14">
        <v>0</v>
      </c>
      <c r="V121">
        <v>3406</v>
      </c>
      <c r="W121">
        <v>18.189508056640602</v>
      </c>
      <c r="X121">
        <v>61.056472579880399</v>
      </c>
      <c r="Y121">
        <v>0.81393497587931296</v>
      </c>
      <c r="Z121" s="31">
        <v>2.41860795469541</v>
      </c>
      <c r="AA121">
        <v>16.080025497364499</v>
      </c>
      <c r="AB121">
        <v>0.05</v>
      </c>
      <c r="AC121">
        <v>242382.33872153901</v>
      </c>
      <c r="AD121">
        <v>277358.11019905709</v>
      </c>
      <c r="AE121">
        <v>1</v>
      </c>
      <c r="AF121">
        <v>4070.0323032193301</v>
      </c>
      <c r="AG121">
        <v>76465.606137190625</v>
      </c>
    </row>
    <row r="122" spans="1:33" hidden="1" x14ac:dyDescent="0.25">
      <c r="A122" t="s">
        <v>100</v>
      </c>
      <c r="B122">
        <v>3</v>
      </c>
      <c r="C122" t="s">
        <v>29</v>
      </c>
      <c r="D122" t="s">
        <v>30</v>
      </c>
      <c r="E122" t="s">
        <v>69</v>
      </c>
      <c r="F122">
        <v>2</v>
      </c>
      <c r="G122">
        <v>90143</v>
      </c>
      <c r="H122">
        <v>1</v>
      </c>
      <c r="I122" s="3">
        <v>0</v>
      </c>
      <c r="J122">
        <v>6.2123514859722885E-4</v>
      </c>
      <c r="K122">
        <v>3304</v>
      </c>
      <c r="L122">
        <v>46951</v>
      </c>
      <c r="M122">
        <v>39516</v>
      </c>
      <c r="N122">
        <v>197231</v>
      </c>
      <c r="O122" s="43">
        <v>0</v>
      </c>
      <c r="P122" s="14">
        <v>0</v>
      </c>
      <c r="Q122" s="14" t="str">
        <f t="shared" si="3"/>
        <v/>
      </c>
      <c r="R122" s="14" t="str">
        <f t="shared" si="3"/>
        <v/>
      </c>
      <c r="S122" s="14" t="str">
        <f t="shared" si="4"/>
        <v/>
      </c>
      <c r="T122" s="14" t="s">
        <v>72</v>
      </c>
      <c r="U122" s="14">
        <v>0</v>
      </c>
      <c r="V122">
        <v>7103</v>
      </c>
      <c r="W122">
        <v>26.752099609375001</v>
      </c>
      <c r="X122">
        <v>10.888001504533401</v>
      </c>
      <c r="Y122">
        <v>3.1326554795247001</v>
      </c>
      <c r="Z122" s="31">
        <v>4.4501437804088999</v>
      </c>
      <c r="AA122">
        <v>8.7400219483374109</v>
      </c>
      <c r="AB122">
        <v>0.1</v>
      </c>
      <c r="AC122">
        <v>212868.047986727</v>
      </c>
      <c r="AD122">
        <v>243584.90731121169</v>
      </c>
      <c r="AE122">
        <v>1</v>
      </c>
      <c r="AF122">
        <v>1987.2878313529</v>
      </c>
      <c r="AG122">
        <v>84470.972377016427</v>
      </c>
    </row>
    <row r="123" spans="1:33" hidden="1" x14ac:dyDescent="0.25">
      <c r="B123">
        <v>3</v>
      </c>
      <c r="C123" t="s">
        <v>29</v>
      </c>
      <c r="D123" t="s">
        <v>30</v>
      </c>
      <c r="E123" t="s">
        <v>69</v>
      </c>
      <c r="F123">
        <v>3210</v>
      </c>
      <c r="G123">
        <v>90143</v>
      </c>
      <c r="H123">
        <v>2</v>
      </c>
      <c r="I123" s="3">
        <v>0</v>
      </c>
      <c r="J123">
        <v>0.99646117834995507</v>
      </c>
      <c r="K123">
        <v>3304</v>
      </c>
      <c r="L123">
        <v>46951</v>
      </c>
      <c r="M123">
        <v>39516</v>
      </c>
      <c r="N123">
        <v>197231</v>
      </c>
      <c r="O123" s="43">
        <v>171649.36799999999</v>
      </c>
      <c r="P123" s="14">
        <f t="shared" si="5"/>
        <v>171649.36799999999</v>
      </c>
      <c r="Q123" s="14" t="str">
        <f t="shared" si="3"/>
        <v/>
      </c>
      <c r="R123" s="14" t="str">
        <f t="shared" si="3"/>
        <v/>
      </c>
      <c r="S123" s="14" t="str">
        <f t="shared" si="4"/>
        <v/>
      </c>
      <c r="T123" s="14" t="s">
        <v>72</v>
      </c>
      <c r="U123" s="14">
        <v>0</v>
      </c>
      <c r="V123">
        <v>7103</v>
      </c>
      <c r="W123">
        <v>27.015649414062501</v>
      </c>
      <c r="X123">
        <v>12.9588374138341</v>
      </c>
      <c r="Y123">
        <v>3.1074984748979602</v>
      </c>
      <c r="Z123" s="31">
        <v>2.8670555427553901</v>
      </c>
      <c r="AA123">
        <v>5.25577675323159</v>
      </c>
      <c r="AB123">
        <v>0.1</v>
      </c>
      <c r="AC123">
        <v>212868.047986727</v>
      </c>
      <c r="AD123">
        <v>243584.90731121169</v>
      </c>
      <c r="AE123">
        <v>1</v>
      </c>
      <c r="AF123">
        <v>1987.2878313529</v>
      </c>
      <c r="AG123">
        <v>84470.972377016427</v>
      </c>
    </row>
    <row r="124" spans="1:33" hidden="1" x14ac:dyDescent="0.25">
      <c r="B124">
        <v>3</v>
      </c>
      <c r="C124" t="s">
        <v>29</v>
      </c>
      <c r="D124" t="s">
        <v>30</v>
      </c>
      <c r="E124" t="s">
        <v>69</v>
      </c>
      <c r="F124">
        <v>10307</v>
      </c>
      <c r="G124">
        <v>90143</v>
      </c>
      <c r="H124">
        <v>3</v>
      </c>
      <c r="I124" s="3">
        <v>0</v>
      </c>
      <c r="J124">
        <v>2.2044529247972671</v>
      </c>
      <c r="K124">
        <v>3304</v>
      </c>
      <c r="L124">
        <v>46951</v>
      </c>
      <c r="M124">
        <v>39516</v>
      </c>
      <c r="N124">
        <v>197231</v>
      </c>
      <c r="O124" s="43">
        <v>915463.29600000009</v>
      </c>
      <c r="P124" s="14">
        <f t="shared" si="5"/>
        <v>743813.92800000007</v>
      </c>
      <c r="Q124" s="14" t="str">
        <f t="shared" si="3"/>
        <v/>
      </c>
      <c r="R124" s="14" t="str">
        <f t="shared" si="3"/>
        <v/>
      </c>
      <c r="S124" s="14" t="str">
        <f t="shared" si="4"/>
        <v/>
      </c>
      <c r="T124" s="14" t="s">
        <v>72</v>
      </c>
      <c r="U124" s="14">
        <v>0</v>
      </c>
      <c r="V124">
        <v>7103</v>
      </c>
      <c r="W124">
        <v>30.414453125000001</v>
      </c>
      <c r="X124">
        <v>8.9875107461185593</v>
      </c>
      <c r="Y124">
        <v>3.9557390427596699</v>
      </c>
      <c r="Z124" s="31">
        <v>2.7243874265483301</v>
      </c>
      <c r="AA124">
        <v>4.0222966126610897</v>
      </c>
      <c r="AB124">
        <v>0.1</v>
      </c>
      <c r="AC124">
        <v>212868.047986727</v>
      </c>
      <c r="AD124">
        <v>243584.90731121169</v>
      </c>
      <c r="AE124">
        <v>1</v>
      </c>
      <c r="AF124">
        <v>1987.2878313529</v>
      </c>
      <c r="AG124">
        <v>84470.972377016427</v>
      </c>
    </row>
    <row r="125" spans="1:33" hidden="1" x14ac:dyDescent="0.25">
      <c r="B125">
        <v>3</v>
      </c>
      <c r="C125" t="s">
        <v>29</v>
      </c>
      <c r="D125" t="s">
        <v>30</v>
      </c>
      <c r="E125" t="s">
        <v>69</v>
      </c>
      <c r="F125">
        <v>27584</v>
      </c>
      <c r="G125">
        <v>90143</v>
      </c>
      <c r="H125">
        <v>4</v>
      </c>
      <c r="I125">
        <v>2</v>
      </c>
      <c r="J125">
        <v>5.3665398311571613</v>
      </c>
      <c r="K125">
        <v>3304</v>
      </c>
      <c r="L125">
        <v>46951</v>
      </c>
      <c r="M125">
        <v>39516</v>
      </c>
      <c r="N125">
        <v>197231</v>
      </c>
      <c r="O125" s="43">
        <v>2174225.3280000002</v>
      </c>
      <c r="P125" s="14">
        <f t="shared" si="5"/>
        <v>1258762.0320000001</v>
      </c>
      <c r="Q125" s="14" t="str">
        <f t="shared" si="3"/>
        <v/>
      </c>
      <c r="R125" s="14" t="str">
        <f t="shared" si="3"/>
        <v/>
      </c>
      <c r="S125" s="14" t="str">
        <f t="shared" si="4"/>
        <v/>
      </c>
      <c r="T125" s="14" t="s">
        <v>72</v>
      </c>
      <c r="U125" s="14">
        <v>629381.01600000006</v>
      </c>
      <c r="V125">
        <v>7103</v>
      </c>
      <c r="W125">
        <v>31.476892089843702</v>
      </c>
      <c r="X125">
        <v>6.1098731904014096</v>
      </c>
      <c r="Y125">
        <v>4.33529343257488</v>
      </c>
      <c r="Z125" s="31">
        <v>2.4023489115143999</v>
      </c>
      <c r="AA125">
        <v>5.2878802473698396</v>
      </c>
      <c r="AB125">
        <v>0.1</v>
      </c>
      <c r="AC125">
        <v>212868.047986727</v>
      </c>
      <c r="AD125">
        <v>243584.90731121169</v>
      </c>
      <c r="AE125">
        <v>1</v>
      </c>
      <c r="AF125">
        <v>1987.2878313529</v>
      </c>
      <c r="AG125">
        <v>84470.972377016427</v>
      </c>
    </row>
    <row r="126" spans="1:33" hidden="1" x14ac:dyDescent="0.25">
      <c r="B126">
        <v>3</v>
      </c>
      <c r="C126" t="s">
        <v>29</v>
      </c>
      <c r="D126" t="s">
        <v>30</v>
      </c>
      <c r="E126" t="s">
        <v>69</v>
      </c>
      <c r="F126">
        <v>34252</v>
      </c>
      <c r="G126">
        <v>90143</v>
      </c>
      <c r="H126">
        <v>5</v>
      </c>
      <c r="I126">
        <v>3208</v>
      </c>
      <c r="J126">
        <v>2.071197985423161</v>
      </c>
      <c r="K126">
        <v>3304</v>
      </c>
      <c r="L126">
        <v>46951</v>
      </c>
      <c r="M126">
        <v>39516</v>
      </c>
      <c r="N126">
        <v>197231</v>
      </c>
      <c r="O126" s="43">
        <v>2631956.9759999998</v>
      </c>
      <c r="P126" s="14">
        <f t="shared" si="5"/>
        <v>457731.64799999958</v>
      </c>
      <c r="Q126" s="14" t="str">
        <f t="shared" si="3"/>
        <v/>
      </c>
      <c r="R126" s="14" t="str">
        <f t="shared" si="3"/>
        <v/>
      </c>
      <c r="S126" s="14" t="str">
        <f t="shared" si="4"/>
        <v/>
      </c>
      <c r="T126" s="14" t="s">
        <v>72</v>
      </c>
      <c r="U126" s="14">
        <v>142.68442892768081</v>
      </c>
      <c r="V126">
        <v>7103</v>
      </c>
      <c r="W126">
        <v>28.972863769531301</v>
      </c>
      <c r="X126">
        <v>9.7310620461245296</v>
      </c>
      <c r="Y126">
        <v>3.6115485535396501</v>
      </c>
      <c r="Z126" s="31">
        <v>2.8501782467989298</v>
      </c>
      <c r="AA126">
        <v>0.95457254184350604</v>
      </c>
      <c r="AB126">
        <v>0.1</v>
      </c>
      <c r="AC126">
        <v>212868.047986727</v>
      </c>
      <c r="AD126">
        <v>243584.90731121169</v>
      </c>
      <c r="AE126">
        <v>1</v>
      </c>
      <c r="AF126">
        <v>1987.2878313529</v>
      </c>
      <c r="AG126">
        <v>84470.972377016427</v>
      </c>
    </row>
    <row r="127" spans="1:33" hidden="1" x14ac:dyDescent="0.25">
      <c r="B127">
        <v>3</v>
      </c>
      <c r="C127" t="s">
        <v>29</v>
      </c>
      <c r="D127" t="s">
        <v>30</v>
      </c>
      <c r="E127" t="s">
        <v>69</v>
      </c>
      <c r="F127">
        <v>42401</v>
      </c>
      <c r="G127">
        <v>90143</v>
      </c>
      <c r="H127">
        <v>6</v>
      </c>
      <c r="I127">
        <v>7097</v>
      </c>
      <c r="J127">
        <v>2.5312226129594091</v>
      </c>
      <c r="K127">
        <v>3304</v>
      </c>
      <c r="L127">
        <v>46951</v>
      </c>
      <c r="M127">
        <v>39516</v>
      </c>
      <c r="N127">
        <v>197231</v>
      </c>
      <c r="O127" s="43">
        <v>2906595.9648000002</v>
      </c>
      <c r="P127" s="14">
        <f t="shared" si="5"/>
        <v>274638.9888000004</v>
      </c>
      <c r="Q127" s="14" t="str">
        <f t="shared" si="3"/>
        <v/>
      </c>
      <c r="R127" s="14" t="str">
        <f t="shared" si="3"/>
        <v/>
      </c>
      <c r="S127" s="14" t="str">
        <f t="shared" si="4"/>
        <v/>
      </c>
      <c r="T127" s="14" t="s">
        <v>72</v>
      </c>
      <c r="U127" s="14">
        <v>38.697898943215435</v>
      </c>
      <c r="V127">
        <v>7103</v>
      </c>
      <c r="W127">
        <v>29.220819091796901</v>
      </c>
      <c r="X127">
        <v>12.409902235846401</v>
      </c>
      <c r="Y127">
        <v>3.5547724543916699</v>
      </c>
      <c r="Z127" s="31">
        <v>3.6839020147259598</v>
      </c>
      <c r="AA127">
        <v>2.2706426365108001</v>
      </c>
      <c r="AB127">
        <v>0.1</v>
      </c>
      <c r="AC127">
        <v>212868.047986727</v>
      </c>
      <c r="AD127">
        <v>243584.90731121169</v>
      </c>
      <c r="AE127">
        <v>1</v>
      </c>
      <c r="AF127">
        <v>1987.2878313529</v>
      </c>
      <c r="AG127">
        <v>84470.972377016427</v>
      </c>
    </row>
    <row r="128" spans="1:33" hidden="1" x14ac:dyDescent="0.25">
      <c r="B128">
        <v>3</v>
      </c>
      <c r="C128" t="s">
        <v>29</v>
      </c>
      <c r="D128" t="s">
        <v>30</v>
      </c>
      <c r="E128" t="s">
        <v>69</v>
      </c>
      <c r="F128">
        <v>87014</v>
      </c>
      <c r="G128">
        <v>90143</v>
      </c>
      <c r="H128">
        <v>7</v>
      </c>
      <c r="I128">
        <v>17277</v>
      </c>
      <c r="J128">
        <v>13.857581842184089</v>
      </c>
      <c r="K128">
        <v>3304</v>
      </c>
      <c r="L128">
        <v>46951</v>
      </c>
      <c r="M128">
        <v>39516</v>
      </c>
      <c r="N128">
        <v>197231</v>
      </c>
      <c r="O128" s="43">
        <v>5035048.1279999996</v>
      </c>
      <c r="P128" s="14">
        <f t="shared" si="5"/>
        <v>2128452.1631999994</v>
      </c>
      <c r="Q128" s="14" t="str">
        <f t="shared" si="3"/>
        <v/>
      </c>
      <c r="R128" s="14" t="str">
        <f t="shared" si="3"/>
        <v/>
      </c>
      <c r="S128" s="14" t="str">
        <f t="shared" si="4"/>
        <v/>
      </c>
      <c r="T128" s="14" t="s">
        <v>72</v>
      </c>
      <c r="U128" s="14">
        <v>123.19570314290677</v>
      </c>
      <c r="V128">
        <v>7103</v>
      </c>
      <c r="W128">
        <v>29.835717773437501</v>
      </c>
      <c r="X128">
        <v>9.8636912852477092</v>
      </c>
      <c r="Y128">
        <v>3.7899150693222801</v>
      </c>
      <c r="Z128" s="31">
        <v>4.5466685900115804</v>
      </c>
      <c r="AA128">
        <v>7.00942179708069</v>
      </c>
      <c r="AB128">
        <v>0.1</v>
      </c>
      <c r="AC128">
        <v>212868.047986727</v>
      </c>
      <c r="AD128">
        <v>243584.90731121169</v>
      </c>
      <c r="AE128">
        <v>1</v>
      </c>
      <c r="AF128">
        <v>1987.2878313529</v>
      </c>
      <c r="AG128">
        <v>84470.972377016427</v>
      </c>
    </row>
    <row r="129" spans="2:33" hidden="1" x14ac:dyDescent="0.25">
      <c r="B129">
        <v>3</v>
      </c>
      <c r="C129" t="s">
        <v>29</v>
      </c>
      <c r="D129" t="s">
        <v>30</v>
      </c>
      <c r="E129" t="s">
        <v>69</v>
      </c>
      <c r="F129">
        <v>89295</v>
      </c>
      <c r="G129">
        <v>90143</v>
      </c>
      <c r="H129">
        <v>8</v>
      </c>
      <c r="I129">
        <v>6668</v>
      </c>
      <c r="J129">
        <v>0.70851868697513953</v>
      </c>
      <c r="K129">
        <v>3304</v>
      </c>
      <c r="L129">
        <v>46951</v>
      </c>
      <c r="M129">
        <v>39516</v>
      </c>
      <c r="N129">
        <v>197231</v>
      </c>
      <c r="O129" s="43">
        <v>6293810.1600000001</v>
      </c>
      <c r="P129" s="14">
        <f t="shared" si="5"/>
        <v>1258762.0320000006</v>
      </c>
      <c r="Q129" s="14" t="str">
        <f t="shared" si="3"/>
        <v/>
      </c>
      <c r="R129" s="14" t="str">
        <f t="shared" si="3"/>
        <v/>
      </c>
      <c r="S129" s="14" t="str">
        <f t="shared" si="4"/>
        <v/>
      </c>
      <c r="T129" s="14" t="s">
        <v>72</v>
      </c>
      <c r="U129" s="14">
        <v>188.77654949010193</v>
      </c>
      <c r="V129">
        <v>7103</v>
      </c>
      <c r="W129">
        <v>22.229394531250001</v>
      </c>
      <c r="X129">
        <v>23.5478462983478</v>
      </c>
      <c r="Y129">
        <v>2.0510671143854</v>
      </c>
      <c r="Z129" s="31">
        <v>3.7811863192898301</v>
      </c>
      <c r="AA129">
        <v>9.2623440135066204</v>
      </c>
      <c r="AB129">
        <v>0.1</v>
      </c>
      <c r="AC129">
        <v>212868.047986727</v>
      </c>
      <c r="AD129">
        <v>243584.90731121169</v>
      </c>
      <c r="AE129">
        <v>1</v>
      </c>
      <c r="AF129">
        <v>1987.2878313529</v>
      </c>
      <c r="AG129">
        <v>84470.972377016427</v>
      </c>
    </row>
    <row r="130" spans="2:33" hidden="1" x14ac:dyDescent="0.25">
      <c r="B130">
        <v>3</v>
      </c>
      <c r="C130" t="s">
        <v>29</v>
      </c>
      <c r="D130" t="s">
        <v>30</v>
      </c>
      <c r="E130" t="s">
        <v>69</v>
      </c>
      <c r="F130">
        <v>89295</v>
      </c>
      <c r="G130">
        <v>90143</v>
      </c>
      <c r="H130">
        <v>9</v>
      </c>
      <c r="I130">
        <v>8149</v>
      </c>
      <c r="J130">
        <v>0</v>
      </c>
      <c r="K130">
        <v>3304</v>
      </c>
      <c r="L130">
        <v>46951</v>
      </c>
      <c r="M130">
        <v>39516</v>
      </c>
      <c r="N130">
        <v>197231</v>
      </c>
      <c r="O130" s="43">
        <v>9383498.784</v>
      </c>
      <c r="P130" s="14">
        <f t="shared" si="5"/>
        <v>3089688.6239999998</v>
      </c>
      <c r="Q130" s="14" t="str">
        <f t="shared" si="3"/>
        <v/>
      </c>
      <c r="R130" s="14" t="str">
        <f t="shared" si="3"/>
        <v/>
      </c>
      <c r="S130" s="14" t="str">
        <f t="shared" si="4"/>
        <v/>
      </c>
      <c r="T130" s="14" t="s">
        <v>72</v>
      </c>
      <c r="U130" s="14">
        <v>379.14942005154006</v>
      </c>
      <c r="V130">
        <v>7103</v>
      </c>
      <c r="W130">
        <v>19.158837890625001</v>
      </c>
      <c r="X130">
        <v>39.574917485482104</v>
      </c>
      <c r="Y130">
        <v>1.3419996186148599</v>
      </c>
      <c r="Z130" s="31">
        <v>5.0080258622527998</v>
      </c>
      <c r="AA130">
        <v>10.9245385146786</v>
      </c>
      <c r="AB130">
        <v>0.1</v>
      </c>
      <c r="AC130">
        <v>212868.047986727</v>
      </c>
      <c r="AD130">
        <v>243584.90731121169</v>
      </c>
      <c r="AE130">
        <v>1</v>
      </c>
      <c r="AF130">
        <v>1987.2878313529</v>
      </c>
      <c r="AG130">
        <v>84470.972377016427</v>
      </c>
    </row>
    <row r="131" spans="2:33" hidden="1" x14ac:dyDescent="0.25">
      <c r="B131">
        <v>3</v>
      </c>
      <c r="C131" t="s">
        <v>29</v>
      </c>
      <c r="D131" t="s">
        <v>30</v>
      </c>
      <c r="E131" t="s">
        <v>69</v>
      </c>
      <c r="F131">
        <v>89295</v>
      </c>
      <c r="G131">
        <v>90143</v>
      </c>
      <c r="H131">
        <v>10</v>
      </c>
      <c r="I131">
        <v>44613</v>
      </c>
      <c r="J131">
        <v>0</v>
      </c>
      <c r="K131">
        <v>3304</v>
      </c>
      <c r="L131">
        <v>46951</v>
      </c>
      <c r="M131">
        <v>39516</v>
      </c>
      <c r="N131">
        <v>197231</v>
      </c>
      <c r="O131" s="43">
        <v>9955663.3440000005</v>
      </c>
      <c r="P131" s="14">
        <f t="shared" si="5"/>
        <v>572164.56000000052</v>
      </c>
      <c r="Q131" s="14" t="str">
        <f t="shared" ref="Q131:R194" si="6">IF(P131&gt;=0,"",P131)</f>
        <v/>
      </c>
      <c r="R131" s="14" t="str">
        <f t="shared" si="6"/>
        <v/>
      </c>
      <c r="S131" s="14" t="str">
        <f t="shared" ref="S131:S194" si="7">IFERROR(IF(ISNA(Q131),NA(),Q131^2),"")</f>
        <v/>
      </c>
      <c r="T131" s="14" t="s">
        <v>72</v>
      </c>
      <c r="U131" s="14">
        <v>12.82506354649991</v>
      </c>
      <c r="V131">
        <v>7103</v>
      </c>
      <c r="W131">
        <v>22.625268554687501</v>
      </c>
      <c r="X131">
        <v>22.338475375223702</v>
      </c>
      <c r="Y131">
        <v>2.1341883032690099</v>
      </c>
      <c r="Z131" s="31">
        <v>0.85111062187587205</v>
      </c>
      <c r="AA131">
        <v>3.59083186758017</v>
      </c>
      <c r="AB131">
        <v>0.1</v>
      </c>
      <c r="AC131">
        <v>212868.047986727</v>
      </c>
      <c r="AD131">
        <v>243584.90731121169</v>
      </c>
      <c r="AE131">
        <v>1</v>
      </c>
      <c r="AF131">
        <v>1987.2878313529</v>
      </c>
      <c r="AG131">
        <v>84470.972377016427</v>
      </c>
    </row>
    <row r="132" spans="2:33" hidden="1" x14ac:dyDescent="0.25">
      <c r="B132">
        <v>3</v>
      </c>
      <c r="C132" t="s">
        <v>29</v>
      </c>
      <c r="D132" t="s">
        <v>30</v>
      </c>
      <c r="E132" t="s">
        <v>69</v>
      </c>
      <c r="F132">
        <v>89295</v>
      </c>
      <c r="G132">
        <v>90143</v>
      </c>
      <c r="H132">
        <v>11</v>
      </c>
      <c r="I132">
        <v>2281</v>
      </c>
      <c r="J132">
        <v>0</v>
      </c>
      <c r="K132">
        <v>3304</v>
      </c>
      <c r="L132">
        <v>46951</v>
      </c>
      <c r="M132">
        <v>39516</v>
      </c>
      <c r="N132">
        <v>197231</v>
      </c>
      <c r="O132" s="43">
        <v>11042776.007999999</v>
      </c>
      <c r="P132" s="14">
        <f t="shared" ref="P132:P195" si="8">O132-O131</f>
        <v>1087112.6639999989</v>
      </c>
      <c r="Q132" s="14" t="str">
        <f t="shared" si="6"/>
        <v/>
      </c>
      <c r="R132" s="14" t="str">
        <f t="shared" si="6"/>
        <v/>
      </c>
      <c r="S132" s="14" t="str">
        <f t="shared" si="7"/>
        <v/>
      </c>
      <c r="T132" s="14" t="s">
        <v>72</v>
      </c>
      <c r="U132" s="14">
        <v>476.59476720736552</v>
      </c>
      <c r="V132">
        <v>7103</v>
      </c>
      <c r="W132">
        <v>27.866174316406301</v>
      </c>
      <c r="X132">
        <v>17.465271447465302</v>
      </c>
      <c r="Y132">
        <v>3.0965408048132002</v>
      </c>
      <c r="Z132" s="31">
        <v>1.97020597284535</v>
      </c>
      <c r="AA132">
        <v>5.2541587900956301</v>
      </c>
      <c r="AB132">
        <v>0.1</v>
      </c>
      <c r="AC132">
        <v>212868.047986727</v>
      </c>
      <c r="AD132">
        <v>243584.90731121169</v>
      </c>
      <c r="AE132">
        <v>1</v>
      </c>
      <c r="AF132">
        <v>1987.2878313529</v>
      </c>
      <c r="AG132">
        <v>84470.972377016427</v>
      </c>
    </row>
    <row r="133" spans="2:33" hidden="1" x14ac:dyDescent="0.25">
      <c r="B133">
        <v>3</v>
      </c>
      <c r="C133" t="s">
        <v>29</v>
      </c>
      <c r="D133" t="s">
        <v>30</v>
      </c>
      <c r="E133" t="s">
        <v>69</v>
      </c>
      <c r="F133">
        <v>89380</v>
      </c>
      <c r="G133">
        <v>90143</v>
      </c>
      <c r="H133">
        <v>12</v>
      </c>
      <c r="I133">
        <v>0</v>
      </c>
      <c r="J133">
        <v>2.640249381538223E-2</v>
      </c>
      <c r="K133">
        <v>3304</v>
      </c>
      <c r="L133">
        <v>46951</v>
      </c>
      <c r="M133">
        <v>39516</v>
      </c>
      <c r="N133">
        <v>197231</v>
      </c>
      <c r="O133" s="43">
        <v>11672157.024</v>
      </c>
      <c r="P133" s="14">
        <f t="shared" si="8"/>
        <v>629381.01600000076</v>
      </c>
      <c r="Q133" s="14" t="str">
        <f t="shared" si="6"/>
        <v/>
      </c>
      <c r="R133" s="14" t="str">
        <f t="shared" si="6"/>
        <v/>
      </c>
      <c r="S133" s="14" t="str">
        <f t="shared" si="7"/>
        <v/>
      </c>
      <c r="T133" s="14" t="s">
        <v>72</v>
      </c>
      <c r="U133" s="14">
        <v>0</v>
      </c>
      <c r="V133">
        <v>7103</v>
      </c>
      <c r="W133">
        <v>26.204370117187501</v>
      </c>
      <c r="X133">
        <v>12.569435822603101</v>
      </c>
      <c r="Y133">
        <v>2.9760224124529899</v>
      </c>
      <c r="Z133" s="31">
        <v>4.6837919285417797</v>
      </c>
      <c r="AA133">
        <v>7.9114054580767101</v>
      </c>
      <c r="AB133">
        <v>0.1</v>
      </c>
      <c r="AC133">
        <v>212868.047986727</v>
      </c>
      <c r="AD133">
        <v>243584.90731121169</v>
      </c>
      <c r="AE133">
        <v>1</v>
      </c>
      <c r="AF133">
        <v>1987.2878313529</v>
      </c>
      <c r="AG133">
        <v>84470.972377016427</v>
      </c>
    </row>
    <row r="134" spans="2:33" hidden="1" x14ac:dyDescent="0.25">
      <c r="B134">
        <v>3</v>
      </c>
      <c r="C134" t="s">
        <v>29</v>
      </c>
      <c r="D134" t="s">
        <v>30</v>
      </c>
      <c r="E134" t="s">
        <v>69</v>
      </c>
      <c r="F134">
        <v>89447</v>
      </c>
      <c r="G134">
        <v>90143</v>
      </c>
      <c r="H134">
        <v>13</v>
      </c>
      <c r="I134">
        <v>0</v>
      </c>
      <c r="J134">
        <v>2.0811377478007171E-2</v>
      </c>
      <c r="K134">
        <v>3304</v>
      </c>
      <c r="L134">
        <v>46951</v>
      </c>
      <c r="M134">
        <v>39516</v>
      </c>
      <c r="N134">
        <v>197231</v>
      </c>
      <c r="O134" s="43">
        <v>12930919.056</v>
      </c>
      <c r="P134" s="14">
        <f t="shared" si="8"/>
        <v>1258762.0319999997</v>
      </c>
      <c r="Q134" s="14" t="str">
        <f t="shared" si="6"/>
        <v/>
      </c>
      <c r="R134" s="14" t="str">
        <f t="shared" si="6"/>
        <v/>
      </c>
      <c r="S134" s="14" t="str">
        <f t="shared" si="7"/>
        <v/>
      </c>
      <c r="T134" s="14" t="s">
        <v>72</v>
      </c>
      <c r="U134" s="14">
        <v>0</v>
      </c>
      <c r="V134">
        <v>7103</v>
      </c>
      <c r="W134">
        <v>27.150079345703102</v>
      </c>
      <c r="X134">
        <v>12.9424412390283</v>
      </c>
      <c r="Y134">
        <v>3.1326574736155499</v>
      </c>
      <c r="Z134" s="31">
        <v>2.7591669155135601</v>
      </c>
      <c r="AA134">
        <v>6.5066186767765197</v>
      </c>
      <c r="AB134">
        <v>0.1</v>
      </c>
      <c r="AC134">
        <v>212868.047986727</v>
      </c>
      <c r="AD134">
        <v>243584.90731121169</v>
      </c>
      <c r="AE134">
        <v>1</v>
      </c>
      <c r="AF134">
        <v>1987.2878313529</v>
      </c>
      <c r="AG134">
        <v>84470.972377016427</v>
      </c>
    </row>
    <row r="135" spans="2:33" hidden="1" x14ac:dyDescent="0.25">
      <c r="B135">
        <v>3</v>
      </c>
      <c r="C135" t="s">
        <v>29</v>
      </c>
      <c r="D135" t="s">
        <v>30</v>
      </c>
      <c r="E135" t="s">
        <v>69</v>
      </c>
      <c r="F135">
        <v>89623</v>
      </c>
      <c r="G135">
        <v>90143</v>
      </c>
      <c r="H135">
        <v>14</v>
      </c>
      <c r="I135">
        <v>0</v>
      </c>
      <c r="J135">
        <v>5.4668693076556141E-2</v>
      </c>
      <c r="K135">
        <v>3304</v>
      </c>
      <c r="L135">
        <v>46951</v>
      </c>
      <c r="M135">
        <v>39516</v>
      </c>
      <c r="N135">
        <v>197231</v>
      </c>
      <c r="O135" s="43">
        <v>13777722.604800001</v>
      </c>
      <c r="P135" s="14">
        <f t="shared" si="8"/>
        <v>846803.54880000092</v>
      </c>
      <c r="Q135" s="14" t="str">
        <f t="shared" si="6"/>
        <v/>
      </c>
      <c r="R135" s="14" t="str">
        <f t="shared" si="6"/>
        <v/>
      </c>
      <c r="S135" s="14" t="str">
        <f t="shared" si="7"/>
        <v/>
      </c>
      <c r="T135" s="14" t="s">
        <v>72</v>
      </c>
      <c r="U135" s="14">
        <v>0</v>
      </c>
      <c r="V135">
        <v>7103</v>
      </c>
      <c r="W135">
        <v>25.235498046875001</v>
      </c>
      <c r="X135">
        <v>16.432781101191399</v>
      </c>
      <c r="Y135">
        <v>2.68591135258775</v>
      </c>
      <c r="Z135" s="31">
        <v>5.7595175615790302</v>
      </c>
      <c r="AA135">
        <v>8.0396319356865806</v>
      </c>
      <c r="AB135">
        <v>0.1</v>
      </c>
      <c r="AC135">
        <v>212868.047986727</v>
      </c>
      <c r="AD135">
        <v>243584.90731121169</v>
      </c>
      <c r="AE135">
        <v>1</v>
      </c>
      <c r="AF135">
        <v>1987.2878313529</v>
      </c>
      <c r="AG135">
        <v>84470.972377016427</v>
      </c>
    </row>
    <row r="136" spans="2:33" hidden="1" x14ac:dyDescent="0.25">
      <c r="B136">
        <v>3</v>
      </c>
      <c r="C136" t="s">
        <v>29</v>
      </c>
      <c r="D136" t="s">
        <v>30</v>
      </c>
      <c r="E136" t="s">
        <v>69</v>
      </c>
      <c r="F136">
        <v>89623</v>
      </c>
      <c r="G136">
        <v>90143</v>
      </c>
      <c r="H136">
        <v>15</v>
      </c>
      <c r="I136">
        <v>85</v>
      </c>
      <c r="J136">
        <v>0</v>
      </c>
      <c r="K136">
        <v>3304</v>
      </c>
      <c r="L136">
        <v>46951</v>
      </c>
      <c r="M136">
        <v>39516</v>
      </c>
      <c r="N136">
        <v>197231</v>
      </c>
      <c r="O136" s="43">
        <v>14761845.648</v>
      </c>
      <c r="P136" s="14">
        <f t="shared" si="8"/>
        <v>984123.04319999926</v>
      </c>
      <c r="Q136" s="14" t="str">
        <f t="shared" si="6"/>
        <v/>
      </c>
      <c r="R136" s="14" t="str">
        <f t="shared" si="6"/>
        <v/>
      </c>
      <c r="S136" s="14" t="str">
        <f t="shared" si="7"/>
        <v/>
      </c>
      <c r="T136" s="14" t="s">
        <v>72</v>
      </c>
      <c r="U136" s="14">
        <v>11577.91815529413</v>
      </c>
      <c r="V136">
        <v>7103</v>
      </c>
      <c r="W136">
        <v>24.034936523437501</v>
      </c>
      <c r="X136">
        <v>16.9342271312596</v>
      </c>
      <c r="Y136">
        <v>2.4852082445102002</v>
      </c>
      <c r="Z136" s="31">
        <v>5.97117830512593</v>
      </c>
      <c r="AA136">
        <v>11.083795395324</v>
      </c>
      <c r="AB136">
        <v>0.1</v>
      </c>
      <c r="AC136">
        <v>212868.047986727</v>
      </c>
      <c r="AD136">
        <v>243584.90731121169</v>
      </c>
      <c r="AE136">
        <v>1</v>
      </c>
      <c r="AF136">
        <v>1987.2878313529</v>
      </c>
      <c r="AG136">
        <v>84470.972377016427</v>
      </c>
    </row>
    <row r="137" spans="2:33" hidden="1" x14ac:dyDescent="0.25">
      <c r="B137">
        <v>3</v>
      </c>
      <c r="C137" t="s">
        <v>29</v>
      </c>
      <c r="D137" t="s">
        <v>30</v>
      </c>
      <c r="E137" t="s">
        <v>69</v>
      </c>
      <c r="F137">
        <v>89847</v>
      </c>
      <c r="G137">
        <v>90143</v>
      </c>
      <c r="H137">
        <v>16</v>
      </c>
      <c r="I137">
        <v>67</v>
      </c>
      <c r="J137">
        <v>6.9578336642889635E-2</v>
      </c>
      <c r="K137">
        <v>3304</v>
      </c>
      <c r="L137">
        <v>46951</v>
      </c>
      <c r="M137">
        <v>39516</v>
      </c>
      <c r="N137">
        <v>197231</v>
      </c>
      <c r="O137" s="43">
        <v>15105144.384</v>
      </c>
      <c r="P137" s="14">
        <f t="shared" si="8"/>
        <v>343298.73599999957</v>
      </c>
      <c r="Q137" s="14" t="str">
        <f t="shared" si="6"/>
        <v/>
      </c>
      <c r="R137" s="14" t="str">
        <f t="shared" si="6"/>
        <v/>
      </c>
      <c r="S137" s="14" t="str">
        <f t="shared" si="7"/>
        <v/>
      </c>
      <c r="T137" s="14" t="s">
        <v>72</v>
      </c>
      <c r="U137" s="14">
        <v>5123.8617313432769</v>
      </c>
      <c r="V137">
        <v>7103</v>
      </c>
      <c r="W137">
        <v>15.7557006835937</v>
      </c>
      <c r="X137">
        <v>45.199242902645203</v>
      </c>
      <c r="Y137">
        <v>0.98205192678651698</v>
      </c>
      <c r="Z137" s="31">
        <v>5.3156125146773103</v>
      </c>
      <c r="AA137">
        <v>18.506781836847299</v>
      </c>
      <c r="AB137">
        <v>0.1</v>
      </c>
      <c r="AC137">
        <v>212868.047986727</v>
      </c>
      <c r="AD137">
        <v>243584.90731121169</v>
      </c>
      <c r="AE137">
        <v>1</v>
      </c>
      <c r="AF137">
        <v>1987.2878313529</v>
      </c>
      <c r="AG137">
        <v>84470.972377016427</v>
      </c>
    </row>
    <row r="138" spans="2:33" hidden="1" x14ac:dyDescent="0.25">
      <c r="B138">
        <v>3</v>
      </c>
      <c r="C138" t="s">
        <v>29</v>
      </c>
      <c r="D138" t="s">
        <v>30</v>
      </c>
      <c r="E138" t="s">
        <v>69</v>
      </c>
      <c r="F138">
        <v>89847</v>
      </c>
      <c r="G138">
        <v>90143</v>
      </c>
      <c r="H138">
        <v>17</v>
      </c>
      <c r="I138">
        <v>176</v>
      </c>
      <c r="J138">
        <v>0</v>
      </c>
      <c r="K138">
        <v>3304</v>
      </c>
      <c r="L138">
        <v>46951</v>
      </c>
      <c r="M138">
        <v>39516</v>
      </c>
      <c r="N138">
        <v>197231</v>
      </c>
      <c r="O138" s="43">
        <v>15677308.944</v>
      </c>
      <c r="P138" s="14">
        <f t="shared" si="8"/>
        <v>572164.56000000052</v>
      </c>
      <c r="Q138" s="14" t="str">
        <f t="shared" si="6"/>
        <v/>
      </c>
      <c r="R138" s="14" t="str">
        <f t="shared" si="6"/>
        <v/>
      </c>
      <c r="S138" s="14" t="str">
        <f t="shared" si="7"/>
        <v/>
      </c>
      <c r="T138" s="14" t="s">
        <v>72</v>
      </c>
      <c r="U138" s="14">
        <v>3250.9350000000031</v>
      </c>
      <c r="V138">
        <v>7103</v>
      </c>
      <c r="W138">
        <v>15.3040710449219</v>
      </c>
      <c r="X138">
        <v>33.221885432856197</v>
      </c>
      <c r="Y138">
        <v>1.1626467777843399</v>
      </c>
      <c r="Z138" s="31">
        <v>3.6289504622939699</v>
      </c>
      <c r="AA138">
        <v>8.6996647050848903</v>
      </c>
      <c r="AB138">
        <v>0.1</v>
      </c>
      <c r="AC138">
        <v>212868.047986727</v>
      </c>
      <c r="AD138">
        <v>243584.90731121169</v>
      </c>
      <c r="AE138">
        <v>1</v>
      </c>
      <c r="AF138">
        <v>1987.2878313529</v>
      </c>
      <c r="AG138">
        <v>84470.972377016427</v>
      </c>
    </row>
    <row r="139" spans="2:33" hidden="1" x14ac:dyDescent="0.25">
      <c r="B139">
        <v>3</v>
      </c>
      <c r="C139" t="s">
        <v>29</v>
      </c>
      <c r="D139" t="s">
        <v>30</v>
      </c>
      <c r="E139" t="s">
        <v>69</v>
      </c>
      <c r="F139">
        <v>89847</v>
      </c>
      <c r="G139">
        <v>90143</v>
      </c>
      <c r="H139">
        <v>18</v>
      </c>
      <c r="I139">
        <v>0</v>
      </c>
      <c r="J139">
        <v>0</v>
      </c>
      <c r="K139">
        <v>3304</v>
      </c>
      <c r="L139">
        <v>46951</v>
      </c>
      <c r="M139">
        <v>39516</v>
      </c>
      <c r="N139">
        <v>197231</v>
      </c>
      <c r="O139" s="43">
        <v>16363906.415999999</v>
      </c>
      <c r="P139" s="14">
        <f t="shared" si="8"/>
        <v>686597.47199999914</v>
      </c>
      <c r="Q139" s="14" t="str">
        <f t="shared" si="6"/>
        <v/>
      </c>
      <c r="R139" s="14" t="str">
        <f t="shared" si="6"/>
        <v/>
      </c>
      <c r="S139" s="14" t="str">
        <f t="shared" si="7"/>
        <v/>
      </c>
      <c r="T139" s="14" t="s">
        <v>72</v>
      </c>
      <c r="U139" s="14">
        <v>0</v>
      </c>
      <c r="V139">
        <v>7103</v>
      </c>
      <c r="W139">
        <v>20.088006591796901</v>
      </c>
      <c r="X139">
        <v>16.873562785976599</v>
      </c>
      <c r="Y139">
        <v>1.95590530994066</v>
      </c>
      <c r="Z139" s="31">
        <v>2.3312867493176199</v>
      </c>
      <c r="AA139">
        <v>9.6511417719098294</v>
      </c>
      <c r="AB139">
        <v>0.1</v>
      </c>
      <c r="AC139">
        <v>212868.047986727</v>
      </c>
      <c r="AD139">
        <v>243584.90731121169</v>
      </c>
      <c r="AE139">
        <v>1</v>
      </c>
      <c r="AF139">
        <v>1987.2878313529</v>
      </c>
      <c r="AG139">
        <v>84470.972377016427</v>
      </c>
    </row>
    <row r="140" spans="2:33" hidden="1" x14ac:dyDescent="0.25">
      <c r="B140">
        <v>3</v>
      </c>
      <c r="C140" t="s">
        <v>29</v>
      </c>
      <c r="D140" t="s">
        <v>30</v>
      </c>
      <c r="E140" t="s">
        <v>69</v>
      </c>
      <c r="F140">
        <v>90143</v>
      </c>
      <c r="G140">
        <v>90143</v>
      </c>
      <c r="H140">
        <v>19</v>
      </c>
      <c r="I140">
        <v>224</v>
      </c>
      <c r="J140">
        <v>9.1942801992389869E-2</v>
      </c>
      <c r="K140">
        <v>3304</v>
      </c>
      <c r="L140">
        <v>46951</v>
      </c>
      <c r="M140">
        <v>39516</v>
      </c>
      <c r="N140">
        <v>197231</v>
      </c>
      <c r="O140" s="43">
        <v>16738451.0586216</v>
      </c>
      <c r="P140" s="14">
        <f t="shared" si="8"/>
        <v>374544.642621601</v>
      </c>
      <c r="Q140" s="14" t="str">
        <f t="shared" si="6"/>
        <v/>
      </c>
      <c r="R140" s="14" t="str">
        <f t="shared" si="6"/>
        <v/>
      </c>
      <c r="S140" s="14" t="str">
        <f t="shared" si="7"/>
        <v/>
      </c>
      <c r="T140" s="14" t="s">
        <v>72</v>
      </c>
      <c r="U140" s="14">
        <v>1672.0742974178615</v>
      </c>
      <c r="V140">
        <v>7103</v>
      </c>
      <c r="W140">
        <v>25.484887695312501</v>
      </c>
      <c r="X140">
        <v>14.002214385630699</v>
      </c>
      <c r="Y140">
        <v>2.8052981667663701</v>
      </c>
      <c r="Z140" s="31">
        <v>1.90495664134617</v>
      </c>
      <c r="AA140">
        <v>3.62694934743732</v>
      </c>
      <c r="AB140">
        <v>0.1</v>
      </c>
      <c r="AC140">
        <v>212868.047986727</v>
      </c>
      <c r="AD140">
        <v>243584.90731121169</v>
      </c>
      <c r="AE140">
        <v>1</v>
      </c>
      <c r="AF140">
        <v>1987.2878313529</v>
      </c>
      <c r="AG140">
        <v>84470.972377016427</v>
      </c>
    </row>
    <row r="141" spans="2:33" hidden="1" x14ac:dyDescent="0.25">
      <c r="B141">
        <v>3</v>
      </c>
      <c r="C141" t="s">
        <v>29</v>
      </c>
      <c r="D141" t="s">
        <v>30</v>
      </c>
      <c r="E141" t="s">
        <v>69</v>
      </c>
      <c r="F141">
        <v>90143</v>
      </c>
      <c r="G141">
        <v>90143</v>
      </c>
      <c r="H141">
        <v>20</v>
      </c>
      <c r="I141">
        <v>0</v>
      </c>
      <c r="J141">
        <v>0</v>
      </c>
      <c r="K141">
        <v>3304</v>
      </c>
      <c r="L141">
        <v>46951</v>
      </c>
      <c r="M141">
        <v>39516</v>
      </c>
      <c r="N141">
        <v>197231</v>
      </c>
      <c r="O141" s="43">
        <v>16844524.646400001</v>
      </c>
      <c r="P141" s="14">
        <f t="shared" si="8"/>
        <v>106073.58777840063</v>
      </c>
      <c r="Q141" s="14" t="str">
        <f t="shared" si="6"/>
        <v/>
      </c>
      <c r="R141" s="14" t="str">
        <f t="shared" si="6"/>
        <v/>
      </c>
      <c r="S141" s="14" t="str">
        <f t="shared" si="7"/>
        <v/>
      </c>
      <c r="T141" s="14" t="s">
        <v>72</v>
      </c>
      <c r="U141" s="14">
        <v>0</v>
      </c>
      <c r="V141">
        <v>7103</v>
      </c>
      <c r="W141">
        <v>24.804406738281301</v>
      </c>
      <c r="X141">
        <v>10.724688057474401</v>
      </c>
      <c r="Y141">
        <v>2.7967728281836099</v>
      </c>
      <c r="Z141" s="31">
        <v>3.3150429717813799</v>
      </c>
      <c r="AA141">
        <v>7.7593716744153802</v>
      </c>
      <c r="AB141">
        <v>0.1</v>
      </c>
      <c r="AC141">
        <v>212868.047986727</v>
      </c>
      <c r="AD141">
        <v>243584.90731121169</v>
      </c>
      <c r="AE141">
        <v>1</v>
      </c>
      <c r="AF141">
        <v>1987.2878313529</v>
      </c>
      <c r="AG141">
        <v>84470.972377016427</v>
      </c>
    </row>
    <row r="142" spans="2:33" hidden="1" x14ac:dyDescent="0.25">
      <c r="B142">
        <v>3</v>
      </c>
      <c r="C142" t="s">
        <v>29</v>
      </c>
      <c r="D142" t="s">
        <v>30</v>
      </c>
      <c r="E142" t="s">
        <v>69</v>
      </c>
      <c r="F142">
        <v>90143</v>
      </c>
      <c r="G142">
        <v>90143</v>
      </c>
      <c r="H142">
        <v>21</v>
      </c>
      <c r="I142">
        <v>0</v>
      </c>
      <c r="J142">
        <v>0</v>
      </c>
      <c r="K142">
        <v>3304</v>
      </c>
      <c r="L142">
        <v>46951</v>
      </c>
      <c r="M142">
        <v>39516</v>
      </c>
      <c r="N142">
        <v>197231</v>
      </c>
      <c r="O142" s="43">
        <v>16936070.976</v>
      </c>
      <c r="P142" s="14">
        <f t="shared" si="8"/>
        <v>91546.329599998891</v>
      </c>
      <c r="Q142" s="14" t="str">
        <f t="shared" si="6"/>
        <v/>
      </c>
      <c r="R142" s="14" t="str">
        <f t="shared" si="6"/>
        <v/>
      </c>
      <c r="S142" s="14" t="str">
        <f t="shared" si="7"/>
        <v/>
      </c>
      <c r="T142" s="14" t="s">
        <v>72</v>
      </c>
      <c r="U142" s="14">
        <v>0</v>
      </c>
      <c r="V142">
        <v>7103</v>
      </c>
      <c r="W142">
        <v>26.123193359375001</v>
      </c>
      <c r="X142">
        <v>10.623862646118701</v>
      </c>
      <c r="Y142">
        <v>3.0277356240213602</v>
      </c>
      <c r="Z142" s="31">
        <v>2.72213373316632</v>
      </c>
      <c r="AA142">
        <v>4.8145995757372404</v>
      </c>
      <c r="AB142">
        <v>0.1</v>
      </c>
      <c r="AC142">
        <v>212868.047986727</v>
      </c>
      <c r="AD142">
        <v>243584.90731121169</v>
      </c>
      <c r="AE142">
        <v>1</v>
      </c>
      <c r="AF142">
        <v>1987.2878313529</v>
      </c>
      <c r="AG142">
        <v>84470.972377016427</v>
      </c>
    </row>
    <row r="143" spans="2:33" hidden="1" x14ac:dyDescent="0.25">
      <c r="B143">
        <v>3</v>
      </c>
      <c r="C143" t="s">
        <v>29</v>
      </c>
      <c r="D143" t="s">
        <v>30</v>
      </c>
      <c r="E143" t="s">
        <v>69</v>
      </c>
      <c r="F143">
        <v>90143</v>
      </c>
      <c r="G143">
        <v>90143</v>
      </c>
      <c r="H143">
        <v>22</v>
      </c>
      <c r="I143">
        <v>296</v>
      </c>
      <c r="J143">
        <v>0</v>
      </c>
      <c r="K143">
        <v>3304</v>
      </c>
      <c r="L143">
        <v>46951</v>
      </c>
      <c r="M143">
        <v>39516</v>
      </c>
      <c r="N143">
        <v>197231</v>
      </c>
      <c r="O143" s="43">
        <v>17751977.638560001</v>
      </c>
      <c r="P143" s="14">
        <f t="shared" si="8"/>
        <v>815906.66256000102</v>
      </c>
      <c r="Q143" s="14" t="str">
        <f t="shared" si="6"/>
        <v/>
      </c>
      <c r="R143" s="14" t="str">
        <f t="shared" si="6"/>
        <v/>
      </c>
      <c r="S143" s="14" t="str">
        <f t="shared" si="7"/>
        <v/>
      </c>
      <c r="T143" s="14" t="s">
        <v>72</v>
      </c>
      <c r="U143" s="14">
        <v>2756.4414275675708</v>
      </c>
      <c r="V143">
        <v>7103</v>
      </c>
      <c r="W143">
        <v>23.336785888671901</v>
      </c>
      <c r="X143">
        <v>15.5741110842573</v>
      </c>
      <c r="Y143">
        <v>2.4221122580239598</v>
      </c>
      <c r="Z143" s="31">
        <v>3.54990289609978</v>
      </c>
      <c r="AA143">
        <v>7.89532984466363</v>
      </c>
      <c r="AB143">
        <v>0.1</v>
      </c>
      <c r="AC143">
        <v>212868.047986727</v>
      </c>
      <c r="AD143">
        <v>243584.90731121169</v>
      </c>
      <c r="AE143">
        <v>1</v>
      </c>
      <c r="AF143">
        <v>1987.2878313529</v>
      </c>
      <c r="AG143">
        <v>84470.972377016427</v>
      </c>
    </row>
    <row r="144" spans="2:33" hidden="1" x14ac:dyDescent="0.25">
      <c r="B144">
        <v>3</v>
      </c>
      <c r="C144" t="s">
        <v>29</v>
      </c>
      <c r="D144" t="s">
        <v>30</v>
      </c>
      <c r="E144" t="s">
        <v>69</v>
      </c>
      <c r="F144">
        <v>90143</v>
      </c>
      <c r="G144">
        <v>90143</v>
      </c>
      <c r="H144">
        <v>23</v>
      </c>
      <c r="I144">
        <v>0</v>
      </c>
      <c r="J144">
        <v>0</v>
      </c>
      <c r="K144">
        <v>3304</v>
      </c>
      <c r="L144">
        <v>46951</v>
      </c>
      <c r="M144">
        <v>39516</v>
      </c>
      <c r="N144">
        <v>197231</v>
      </c>
      <c r="O144" s="43">
        <v>17953379.563680001</v>
      </c>
      <c r="P144" s="14">
        <f t="shared" si="8"/>
        <v>201401.9251199998</v>
      </c>
      <c r="Q144" s="14" t="str">
        <f t="shared" si="6"/>
        <v/>
      </c>
      <c r="R144" s="14" t="str">
        <f t="shared" si="6"/>
        <v/>
      </c>
      <c r="S144" s="14" t="str">
        <f t="shared" si="7"/>
        <v/>
      </c>
      <c r="T144" s="14" t="s">
        <v>72</v>
      </c>
      <c r="U144" s="14">
        <v>0</v>
      </c>
      <c r="V144">
        <v>7103</v>
      </c>
      <c r="W144">
        <v>23.650598144531301</v>
      </c>
      <c r="X144">
        <v>13.4204207049986</v>
      </c>
      <c r="Y144">
        <v>2.5312843251617401</v>
      </c>
      <c r="Z144" s="31">
        <v>3.0627139321483701</v>
      </c>
      <c r="AA144">
        <v>3.84118460842069</v>
      </c>
      <c r="AB144">
        <v>0.1</v>
      </c>
      <c r="AC144">
        <v>212868.047986727</v>
      </c>
      <c r="AD144">
        <v>243584.90731121169</v>
      </c>
      <c r="AE144">
        <v>1</v>
      </c>
      <c r="AF144">
        <v>1987.2878313529</v>
      </c>
      <c r="AG144">
        <v>84470.972377016427</v>
      </c>
    </row>
    <row r="145" spans="1:33" hidden="1" x14ac:dyDescent="0.25">
      <c r="B145">
        <v>3</v>
      </c>
      <c r="C145" t="s">
        <v>29</v>
      </c>
      <c r="D145" t="s">
        <v>30</v>
      </c>
      <c r="E145" t="s">
        <v>69</v>
      </c>
      <c r="F145">
        <v>90143</v>
      </c>
      <c r="G145">
        <v>90143</v>
      </c>
      <c r="H145">
        <v>24</v>
      </c>
      <c r="I145" s="4">
        <v>0</v>
      </c>
      <c r="J145">
        <v>0</v>
      </c>
      <c r="K145">
        <v>3304</v>
      </c>
      <c r="L145">
        <v>46951</v>
      </c>
      <c r="M145">
        <v>39516</v>
      </c>
      <c r="N145">
        <v>197231</v>
      </c>
      <c r="O145" s="43">
        <v>18094132.04544</v>
      </c>
      <c r="P145" s="14">
        <f t="shared" si="8"/>
        <v>140752.48175999895</v>
      </c>
      <c r="Q145" s="14" t="str">
        <f t="shared" si="6"/>
        <v/>
      </c>
      <c r="R145" s="14" t="str">
        <f t="shared" si="6"/>
        <v/>
      </c>
      <c r="S145" s="14" t="str">
        <f t="shared" si="7"/>
        <v/>
      </c>
      <c r="T145" s="14" t="s">
        <v>72</v>
      </c>
      <c r="U145" s="14">
        <v>0</v>
      </c>
      <c r="V145">
        <v>7103</v>
      </c>
      <c r="W145">
        <v>27.362573242187501</v>
      </c>
      <c r="X145">
        <v>9.6193758474920106</v>
      </c>
      <c r="Y145">
        <v>3.2929866373153902</v>
      </c>
      <c r="Z145" s="31">
        <v>2.6445639164891901</v>
      </c>
      <c r="AA145">
        <v>6.1959158907713601</v>
      </c>
      <c r="AB145">
        <v>0.1</v>
      </c>
      <c r="AC145">
        <v>212868.047986727</v>
      </c>
      <c r="AD145">
        <v>243584.90731121169</v>
      </c>
      <c r="AE145">
        <v>1</v>
      </c>
      <c r="AF145">
        <v>1987.2878313529</v>
      </c>
      <c r="AG145">
        <v>84470.972377016427</v>
      </c>
    </row>
    <row r="146" spans="1:33" hidden="1" x14ac:dyDescent="0.25">
      <c r="B146">
        <v>3</v>
      </c>
      <c r="C146" t="s">
        <v>29</v>
      </c>
      <c r="D146" t="s">
        <v>30</v>
      </c>
      <c r="E146" t="s">
        <v>69</v>
      </c>
      <c r="F146">
        <v>90143</v>
      </c>
      <c r="G146">
        <v>90143</v>
      </c>
      <c r="H146">
        <v>25</v>
      </c>
      <c r="I146" s="4">
        <v>0</v>
      </c>
      <c r="J146">
        <v>0</v>
      </c>
      <c r="K146">
        <v>3304</v>
      </c>
      <c r="L146">
        <v>46951</v>
      </c>
      <c r="M146">
        <v>39516</v>
      </c>
      <c r="N146">
        <v>197231</v>
      </c>
      <c r="O146" s="43">
        <v>18094132.04544</v>
      </c>
      <c r="P146" s="14">
        <f t="shared" si="8"/>
        <v>0</v>
      </c>
      <c r="Q146" s="14" t="str">
        <f t="shared" si="6"/>
        <v/>
      </c>
      <c r="R146" s="14" t="str">
        <f t="shared" si="6"/>
        <v/>
      </c>
      <c r="S146" s="14" t="str">
        <f t="shared" si="7"/>
        <v/>
      </c>
      <c r="T146" s="14" t="s">
        <v>72</v>
      </c>
      <c r="U146" s="14">
        <v>0</v>
      </c>
      <c r="V146">
        <v>7103</v>
      </c>
      <c r="W146">
        <v>22.495935058593702</v>
      </c>
      <c r="X146">
        <v>13.8418255210242</v>
      </c>
      <c r="Y146">
        <v>2.3492777241019702</v>
      </c>
      <c r="Z146" s="31">
        <v>3.1402407887557402</v>
      </c>
      <c r="AA146">
        <v>7.5215130462498703</v>
      </c>
      <c r="AB146">
        <v>0.1</v>
      </c>
      <c r="AC146">
        <v>212868.047986727</v>
      </c>
      <c r="AD146">
        <v>243584.90731121169</v>
      </c>
      <c r="AE146">
        <v>1</v>
      </c>
      <c r="AF146">
        <v>1987.2878313529</v>
      </c>
      <c r="AG146">
        <v>84470.972377016427</v>
      </c>
    </row>
    <row r="147" spans="1:33" hidden="1" x14ac:dyDescent="0.25">
      <c r="B147">
        <v>3</v>
      </c>
      <c r="C147" t="s">
        <v>29</v>
      </c>
      <c r="D147" t="s">
        <v>30</v>
      </c>
      <c r="E147" t="s">
        <v>69</v>
      </c>
      <c r="F147">
        <v>90143</v>
      </c>
      <c r="G147">
        <v>90143</v>
      </c>
      <c r="H147">
        <v>26</v>
      </c>
      <c r="I147" s="4">
        <v>0</v>
      </c>
      <c r="J147">
        <v>0</v>
      </c>
      <c r="K147">
        <v>3304</v>
      </c>
      <c r="L147">
        <v>46951</v>
      </c>
      <c r="M147">
        <v>39516</v>
      </c>
      <c r="N147">
        <v>197231</v>
      </c>
      <c r="O147" s="43">
        <v>18094132.04544</v>
      </c>
      <c r="P147" s="14">
        <f t="shared" si="8"/>
        <v>0</v>
      </c>
      <c r="Q147" s="14" t="str">
        <f t="shared" si="6"/>
        <v/>
      </c>
      <c r="R147" s="14" t="str">
        <f t="shared" si="6"/>
        <v/>
      </c>
      <c r="S147" s="14" t="str">
        <f t="shared" si="7"/>
        <v/>
      </c>
      <c r="T147" s="14" t="s">
        <v>72</v>
      </c>
      <c r="U147" s="14">
        <v>0</v>
      </c>
      <c r="V147">
        <v>7103</v>
      </c>
      <c r="W147">
        <v>24.891778564453102</v>
      </c>
      <c r="X147">
        <v>11.7681993478141</v>
      </c>
      <c r="Y147">
        <v>2.77851175424719</v>
      </c>
      <c r="Z147" s="31">
        <v>2.1689177530801498</v>
      </c>
      <c r="AA147">
        <v>6.3934904629769402</v>
      </c>
      <c r="AB147">
        <v>0.1</v>
      </c>
      <c r="AC147">
        <v>212868.047986727</v>
      </c>
      <c r="AD147">
        <v>243584.90731121169</v>
      </c>
      <c r="AE147">
        <v>1</v>
      </c>
      <c r="AF147">
        <v>1987.2878313529</v>
      </c>
      <c r="AG147">
        <v>84470.972377016427</v>
      </c>
    </row>
    <row r="148" spans="1:33" hidden="1" x14ac:dyDescent="0.25">
      <c r="B148">
        <v>3</v>
      </c>
      <c r="C148" t="s">
        <v>29</v>
      </c>
      <c r="D148" t="s">
        <v>30</v>
      </c>
      <c r="E148" t="s">
        <v>69</v>
      </c>
      <c r="F148">
        <v>90143</v>
      </c>
      <c r="G148">
        <v>90143</v>
      </c>
      <c r="H148">
        <v>27</v>
      </c>
      <c r="I148" s="4">
        <v>0</v>
      </c>
      <c r="J148">
        <v>0</v>
      </c>
      <c r="K148">
        <v>3304</v>
      </c>
      <c r="L148">
        <v>46951</v>
      </c>
      <c r="M148">
        <v>39516</v>
      </c>
      <c r="N148">
        <v>197231</v>
      </c>
      <c r="O148" s="43">
        <v>18080400.096000001</v>
      </c>
      <c r="P148" s="14">
        <f t="shared" si="8"/>
        <v>-13731.949439998716</v>
      </c>
      <c r="Q148" s="14">
        <f t="shared" si="6"/>
        <v>-13731.949439998716</v>
      </c>
      <c r="R148" s="14">
        <f t="shared" si="6"/>
        <v>-13731.949439998716</v>
      </c>
      <c r="S148" s="14">
        <f t="shared" si="7"/>
        <v>188566435.42268106</v>
      </c>
      <c r="T148" s="14">
        <v>188566435.42268106</v>
      </c>
      <c r="U148" s="14">
        <v>0</v>
      </c>
      <c r="V148">
        <v>7103</v>
      </c>
      <c r="W148">
        <v>25.873254394531301</v>
      </c>
      <c r="X148">
        <v>17.0431657162618</v>
      </c>
      <c r="Y148">
        <v>2.7689659397494801</v>
      </c>
      <c r="Z148" s="31">
        <v>0.78284149489794197</v>
      </c>
      <c r="AA148">
        <v>4.2796797528047499</v>
      </c>
      <c r="AB148">
        <v>0.1</v>
      </c>
      <c r="AC148">
        <v>212868.047986727</v>
      </c>
      <c r="AD148">
        <v>243584.90731121169</v>
      </c>
      <c r="AE148">
        <v>1</v>
      </c>
      <c r="AF148">
        <v>1987.2878313529</v>
      </c>
      <c r="AG148">
        <v>84470.972377016427</v>
      </c>
    </row>
    <row r="149" spans="1:33" hidden="1" x14ac:dyDescent="0.25">
      <c r="B149">
        <v>3</v>
      </c>
      <c r="C149" t="s">
        <v>29</v>
      </c>
      <c r="D149" t="s">
        <v>30</v>
      </c>
      <c r="E149" t="s">
        <v>69</v>
      </c>
      <c r="F149">
        <v>90143</v>
      </c>
      <c r="G149">
        <v>90143</v>
      </c>
      <c r="H149">
        <v>28</v>
      </c>
      <c r="I149" s="4">
        <v>0</v>
      </c>
      <c r="J149">
        <v>0</v>
      </c>
      <c r="K149">
        <v>3304</v>
      </c>
      <c r="L149">
        <v>46951</v>
      </c>
      <c r="M149">
        <v>39516</v>
      </c>
      <c r="N149">
        <v>197231</v>
      </c>
      <c r="O149" s="43">
        <v>18080400.096000001</v>
      </c>
      <c r="P149" s="14">
        <f t="shared" si="8"/>
        <v>0</v>
      </c>
      <c r="Q149" s="14" t="str">
        <f t="shared" si="6"/>
        <v/>
      </c>
      <c r="R149" s="14" t="str">
        <f t="shared" si="6"/>
        <v/>
      </c>
      <c r="S149" s="14" t="str">
        <f t="shared" si="7"/>
        <v/>
      </c>
      <c r="T149" s="14" t="s">
        <v>72</v>
      </c>
      <c r="U149" s="14">
        <v>0</v>
      </c>
      <c r="V149">
        <v>7103</v>
      </c>
      <c r="W149">
        <v>23.558312988281301</v>
      </c>
      <c r="X149">
        <v>8.7081313409300503</v>
      </c>
      <c r="Y149">
        <v>2.65422120192799</v>
      </c>
      <c r="Z149" s="31">
        <v>1.8536912173676301</v>
      </c>
      <c r="AA149">
        <v>6.3425285072734399</v>
      </c>
      <c r="AB149">
        <v>0.1</v>
      </c>
      <c r="AC149">
        <v>212868.047986727</v>
      </c>
      <c r="AD149">
        <v>243584.90731121169</v>
      </c>
      <c r="AE149">
        <v>1</v>
      </c>
      <c r="AF149">
        <v>1987.2878313529</v>
      </c>
      <c r="AG149">
        <v>84470.972377016427</v>
      </c>
    </row>
    <row r="150" spans="1:33" hidden="1" x14ac:dyDescent="0.25">
      <c r="A150" t="s">
        <v>100</v>
      </c>
      <c r="B150">
        <v>4</v>
      </c>
      <c r="C150" t="s">
        <v>31</v>
      </c>
      <c r="D150" t="s">
        <v>28</v>
      </c>
      <c r="E150" t="s">
        <v>67</v>
      </c>
      <c r="G150">
        <v>193573</v>
      </c>
      <c r="H150">
        <v>1</v>
      </c>
      <c r="I150" s="4">
        <v>0</v>
      </c>
      <c r="J150">
        <v>0</v>
      </c>
      <c r="K150">
        <v>663449</v>
      </c>
      <c r="L150">
        <v>18630</v>
      </c>
      <c r="M150">
        <v>0</v>
      </c>
      <c r="N150">
        <v>15964</v>
      </c>
      <c r="O150" s="43">
        <v>0</v>
      </c>
      <c r="P150" s="14">
        <v>0</v>
      </c>
      <c r="Q150" s="14" t="str">
        <f t="shared" si="6"/>
        <v/>
      </c>
      <c r="R150" s="14" t="str">
        <f t="shared" si="6"/>
        <v/>
      </c>
      <c r="S150" s="14" t="str">
        <f t="shared" si="7"/>
        <v/>
      </c>
      <c r="T150" s="14" t="s">
        <v>72</v>
      </c>
      <c r="U150" s="14">
        <v>0</v>
      </c>
      <c r="V150">
        <v>2451</v>
      </c>
      <c r="W150">
        <v>35.977380371093702</v>
      </c>
      <c r="X150">
        <v>15.7668345823437</v>
      </c>
      <c r="Y150">
        <v>4.9976700293319096</v>
      </c>
      <c r="Z150" s="31">
        <v>2.1518326651120399</v>
      </c>
      <c r="AA150">
        <v>11.812298666576501</v>
      </c>
      <c r="AB150">
        <v>0.15759999999999999</v>
      </c>
      <c r="AC150">
        <v>331133.89612995298</v>
      </c>
      <c r="AD150">
        <v>378916.51734150521</v>
      </c>
      <c r="AE150">
        <v>1</v>
      </c>
      <c r="AF150">
        <v>14191.315124012841</v>
      </c>
      <c r="AG150">
        <v>319530.86601997231</v>
      </c>
    </row>
    <row r="151" spans="1:33" hidden="1" x14ac:dyDescent="0.25">
      <c r="B151">
        <v>4</v>
      </c>
      <c r="C151" t="s">
        <v>31</v>
      </c>
      <c r="D151" t="s">
        <v>28</v>
      </c>
      <c r="E151" t="s">
        <v>67</v>
      </c>
      <c r="F151">
        <v>10</v>
      </c>
      <c r="G151">
        <v>193573</v>
      </c>
      <c r="H151">
        <v>2</v>
      </c>
      <c r="I151" s="4">
        <v>0</v>
      </c>
      <c r="J151">
        <v>3.8822287098577552E-3</v>
      </c>
      <c r="K151">
        <v>663449</v>
      </c>
      <c r="L151">
        <v>18630</v>
      </c>
      <c r="M151">
        <v>0</v>
      </c>
      <c r="N151">
        <v>15964</v>
      </c>
      <c r="O151" s="43">
        <v>114432.912</v>
      </c>
      <c r="P151" s="14">
        <f t="shared" si="8"/>
        <v>114432.912</v>
      </c>
      <c r="Q151" s="14" t="str">
        <f t="shared" si="6"/>
        <v/>
      </c>
      <c r="R151" s="14" t="str">
        <f t="shared" si="6"/>
        <v/>
      </c>
      <c r="S151" s="14" t="str">
        <f t="shared" si="7"/>
        <v/>
      </c>
      <c r="T151" s="14" t="s">
        <v>72</v>
      </c>
      <c r="U151" s="14">
        <v>0</v>
      </c>
      <c r="V151">
        <v>2451</v>
      </c>
      <c r="W151">
        <v>26.828515625000001</v>
      </c>
      <c r="X151">
        <v>45.766878246402499</v>
      </c>
      <c r="Y151">
        <v>1.9139380380692299</v>
      </c>
      <c r="Z151" s="31">
        <v>2.2862663122617901</v>
      </c>
      <c r="AA151">
        <v>10.664818873421201</v>
      </c>
      <c r="AB151">
        <v>0.15759999999999999</v>
      </c>
      <c r="AC151">
        <v>331133.89612995298</v>
      </c>
      <c r="AD151">
        <v>378916.51734150521</v>
      </c>
      <c r="AE151">
        <v>1</v>
      </c>
      <c r="AF151">
        <v>14191.315124012841</v>
      </c>
      <c r="AG151">
        <v>319530.86601997231</v>
      </c>
    </row>
    <row r="152" spans="1:33" hidden="1" x14ac:dyDescent="0.25">
      <c r="B152">
        <v>4</v>
      </c>
      <c r="C152" t="s">
        <v>31</v>
      </c>
      <c r="D152" t="s">
        <v>28</v>
      </c>
      <c r="E152" t="s">
        <v>67</v>
      </c>
      <c r="G152">
        <v>193573</v>
      </c>
      <c r="H152">
        <v>3</v>
      </c>
      <c r="I152" s="4">
        <v>0</v>
      </c>
      <c r="J152">
        <v>0</v>
      </c>
      <c r="K152">
        <v>663449</v>
      </c>
      <c r="L152">
        <v>18630</v>
      </c>
      <c r="M152">
        <v>0</v>
      </c>
      <c r="N152">
        <v>15964</v>
      </c>
      <c r="O152" s="43">
        <v>114432.912</v>
      </c>
      <c r="P152" s="14">
        <f t="shared" si="8"/>
        <v>0</v>
      </c>
      <c r="Q152" s="14" t="str">
        <f t="shared" si="6"/>
        <v/>
      </c>
      <c r="R152" s="14" t="str">
        <f t="shared" si="6"/>
        <v/>
      </c>
      <c r="S152" s="14" t="str">
        <f t="shared" si="7"/>
        <v/>
      </c>
      <c r="T152" s="14" t="s">
        <v>72</v>
      </c>
      <c r="U152" s="14">
        <v>0</v>
      </c>
      <c r="V152">
        <v>2451</v>
      </c>
      <c r="W152">
        <v>30.736596679687501</v>
      </c>
      <c r="X152">
        <v>33.937277385738597</v>
      </c>
      <c r="Y152">
        <v>2.92298194764534</v>
      </c>
      <c r="Z152" s="31">
        <v>1.56314587990253</v>
      </c>
      <c r="AA152">
        <v>19.695687918351801</v>
      </c>
      <c r="AB152">
        <v>0.15759999999999999</v>
      </c>
      <c r="AC152">
        <v>331133.89612995298</v>
      </c>
      <c r="AD152">
        <v>378916.51734150521</v>
      </c>
      <c r="AE152">
        <v>1</v>
      </c>
      <c r="AF152">
        <v>14191.315124012841</v>
      </c>
      <c r="AG152">
        <v>319530.86601997231</v>
      </c>
    </row>
    <row r="153" spans="1:33" hidden="1" x14ac:dyDescent="0.25">
      <c r="B153">
        <v>4</v>
      </c>
      <c r="C153" t="s">
        <v>31</v>
      </c>
      <c r="D153" t="s">
        <v>28</v>
      </c>
      <c r="E153" t="s">
        <v>67</v>
      </c>
      <c r="G153">
        <v>193573</v>
      </c>
      <c r="H153">
        <v>4</v>
      </c>
      <c r="I153">
        <v>0</v>
      </c>
      <c r="J153">
        <v>0</v>
      </c>
      <c r="K153">
        <v>663449</v>
      </c>
      <c r="L153">
        <v>18630</v>
      </c>
      <c r="M153">
        <v>0</v>
      </c>
      <c r="N153">
        <v>15964</v>
      </c>
      <c r="O153" s="43">
        <v>114432.912</v>
      </c>
      <c r="P153" s="14">
        <f t="shared" si="8"/>
        <v>0</v>
      </c>
      <c r="Q153" s="14" t="str">
        <f t="shared" si="6"/>
        <v/>
      </c>
      <c r="R153" s="14" t="str">
        <f t="shared" si="6"/>
        <v/>
      </c>
      <c r="S153" s="14" t="str">
        <f t="shared" si="7"/>
        <v/>
      </c>
      <c r="T153" s="14" t="s">
        <v>72</v>
      </c>
      <c r="U153" s="14">
        <v>0</v>
      </c>
      <c r="V153">
        <v>2451</v>
      </c>
      <c r="W153">
        <v>28.248925781250001</v>
      </c>
      <c r="X153">
        <v>35.797909077250601</v>
      </c>
      <c r="Y153">
        <v>2.46201079101131</v>
      </c>
      <c r="Z153" s="31">
        <v>2.1721147173488902</v>
      </c>
      <c r="AA153">
        <v>14.677898761151701</v>
      </c>
      <c r="AB153">
        <v>0.15759999999999999</v>
      </c>
      <c r="AC153">
        <v>331133.89612995298</v>
      </c>
      <c r="AD153">
        <v>378916.51734150521</v>
      </c>
      <c r="AE153">
        <v>1</v>
      </c>
      <c r="AF153">
        <v>14191.315124012841</v>
      </c>
      <c r="AG153">
        <v>319530.86601997231</v>
      </c>
    </row>
    <row r="154" spans="1:33" hidden="1" x14ac:dyDescent="0.25">
      <c r="B154">
        <v>4</v>
      </c>
      <c r="C154" t="s">
        <v>31</v>
      </c>
      <c r="D154" t="s">
        <v>28</v>
      </c>
      <c r="E154" t="s">
        <v>67</v>
      </c>
      <c r="F154">
        <v>10</v>
      </c>
      <c r="G154">
        <v>193573</v>
      </c>
      <c r="H154">
        <v>5</v>
      </c>
      <c r="I154">
        <v>10</v>
      </c>
      <c r="J154">
        <v>0</v>
      </c>
      <c r="K154">
        <v>663449</v>
      </c>
      <c r="L154">
        <v>18630</v>
      </c>
      <c r="M154">
        <v>0</v>
      </c>
      <c r="N154">
        <v>15964</v>
      </c>
      <c r="O154" s="43">
        <v>350505.72079776</v>
      </c>
      <c r="P154" s="14">
        <f t="shared" si="8"/>
        <v>236072.80879775999</v>
      </c>
      <c r="Q154" s="14" t="str">
        <f t="shared" si="6"/>
        <v/>
      </c>
      <c r="R154" s="14" t="str">
        <f t="shared" si="6"/>
        <v/>
      </c>
      <c r="S154" s="14" t="str">
        <f t="shared" si="7"/>
        <v/>
      </c>
      <c r="T154" s="14" t="s">
        <v>72</v>
      </c>
      <c r="U154" s="14">
        <v>35050.572079776</v>
      </c>
      <c r="V154">
        <v>2451</v>
      </c>
      <c r="W154">
        <v>27.961145019531301</v>
      </c>
      <c r="X154">
        <v>32.181328422271903</v>
      </c>
      <c r="Y154">
        <v>2.5577881722464202</v>
      </c>
      <c r="Z154" s="31">
        <v>2.7627268939743099</v>
      </c>
      <c r="AA154">
        <v>8.4190281939926397</v>
      </c>
      <c r="AB154">
        <v>0.15759999999999999</v>
      </c>
      <c r="AC154">
        <v>331133.89612995298</v>
      </c>
      <c r="AD154">
        <v>378916.51734150521</v>
      </c>
      <c r="AE154">
        <v>1</v>
      </c>
      <c r="AF154">
        <v>14191.315124012841</v>
      </c>
      <c r="AG154">
        <v>319530.86601997231</v>
      </c>
    </row>
    <row r="155" spans="1:33" hidden="1" x14ac:dyDescent="0.25">
      <c r="B155">
        <v>4</v>
      </c>
      <c r="C155" t="s">
        <v>31</v>
      </c>
      <c r="D155" t="s">
        <v>28</v>
      </c>
      <c r="E155" t="s">
        <v>67</v>
      </c>
      <c r="G155">
        <v>193573</v>
      </c>
      <c r="H155">
        <v>6</v>
      </c>
      <c r="I155">
        <v>0</v>
      </c>
      <c r="J155">
        <v>0</v>
      </c>
      <c r="K155">
        <v>663449</v>
      </c>
      <c r="L155">
        <v>18630</v>
      </c>
      <c r="M155">
        <v>0</v>
      </c>
      <c r="N155">
        <v>15964</v>
      </c>
      <c r="O155" s="43">
        <v>350505.72079776</v>
      </c>
      <c r="P155" s="14">
        <f t="shared" si="8"/>
        <v>0</v>
      </c>
      <c r="Q155" s="14" t="str">
        <f t="shared" si="6"/>
        <v/>
      </c>
      <c r="R155" s="14" t="str">
        <f t="shared" si="6"/>
        <v/>
      </c>
      <c r="S155" s="14" t="str">
        <f t="shared" si="7"/>
        <v/>
      </c>
      <c r="T155" s="14" t="s">
        <v>72</v>
      </c>
      <c r="U155" s="14">
        <v>0</v>
      </c>
      <c r="V155">
        <v>2451</v>
      </c>
      <c r="W155">
        <v>25.555078125000001</v>
      </c>
      <c r="X155">
        <v>36.945162451501801</v>
      </c>
      <c r="Y155">
        <v>2.0647570539209998</v>
      </c>
      <c r="Z155" s="31">
        <v>3.3889330293698099</v>
      </c>
      <c r="AA155">
        <v>15.344478080631299</v>
      </c>
      <c r="AB155">
        <v>0.15759999999999999</v>
      </c>
      <c r="AC155">
        <v>331133.89612995298</v>
      </c>
      <c r="AD155">
        <v>378916.51734150521</v>
      </c>
      <c r="AE155">
        <v>1</v>
      </c>
      <c r="AF155">
        <v>14191.315124012841</v>
      </c>
      <c r="AG155">
        <v>319530.86601997231</v>
      </c>
    </row>
    <row r="156" spans="1:33" hidden="1" x14ac:dyDescent="0.25">
      <c r="B156">
        <v>4</v>
      </c>
      <c r="C156" t="s">
        <v>31</v>
      </c>
      <c r="D156" t="s">
        <v>28</v>
      </c>
      <c r="E156" t="s">
        <v>67</v>
      </c>
      <c r="G156">
        <v>193573</v>
      </c>
      <c r="H156">
        <v>7</v>
      </c>
      <c r="I156">
        <v>0</v>
      </c>
      <c r="J156">
        <v>0</v>
      </c>
      <c r="K156">
        <v>663449</v>
      </c>
      <c r="L156">
        <v>18630</v>
      </c>
      <c r="M156">
        <v>0</v>
      </c>
      <c r="N156">
        <v>15964</v>
      </c>
      <c r="O156" s="43">
        <v>350505.72079776</v>
      </c>
      <c r="P156" s="14">
        <f t="shared" si="8"/>
        <v>0</v>
      </c>
      <c r="Q156" s="14" t="str">
        <f t="shared" si="6"/>
        <v/>
      </c>
      <c r="R156" s="14" t="str">
        <f t="shared" si="6"/>
        <v/>
      </c>
      <c r="S156" s="14" t="str">
        <f t="shared" si="7"/>
        <v/>
      </c>
      <c r="T156" s="14" t="s">
        <v>72</v>
      </c>
      <c r="U156" s="14">
        <v>0</v>
      </c>
      <c r="V156">
        <v>2451</v>
      </c>
      <c r="W156">
        <v>22.296533203125001</v>
      </c>
      <c r="X156">
        <v>59.2359983953342</v>
      </c>
      <c r="Y156">
        <v>1.09754567932922</v>
      </c>
      <c r="Z156" s="31">
        <v>3.4108643922412001</v>
      </c>
      <c r="AA156">
        <v>16.403986751528802</v>
      </c>
      <c r="AB156">
        <v>0.15759999999999999</v>
      </c>
      <c r="AC156">
        <v>331133.89612995298</v>
      </c>
      <c r="AD156">
        <v>378916.51734150521</v>
      </c>
      <c r="AE156">
        <v>1</v>
      </c>
      <c r="AF156">
        <v>14191.315124012841</v>
      </c>
      <c r="AG156">
        <v>319530.86601997231</v>
      </c>
    </row>
    <row r="157" spans="1:33" hidden="1" x14ac:dyDescent="0.25">
      <c r="B157">
        <v>4</v>
      </c>
      <c r="C157" t="s">
        <v>31</v>
      </c>
      <c r="D157" t="s">
        <v>28</v>
      </c>
      <c r="E157" t="s">
        <v>67</v>
      </c>
      <c r="F157">
        <v>10</v>
      </c>
      <c r="G157">
        <v>193573</v>
      </c>
      <c r="H157">
        <v>8</v>
      </c>
      <c r="I157">
        <v>0</v>
      </c>
      <c r="J157">
        <v>0</v>
      </c>
      <c r="K157">
        <v>663449</v>
      </c>
      <c r="L157">
        <v>18630</v>
      </c>
      <c r="M157">
        <v>0</v>
      </c>
      <c r="N157">
        <v>15964</v>
      </c>
      <c r="O157" s="43">
        <v>457731.64799999999</v>
      </c>
      <c r="P157" s="14">
        <f t="shared" si="8"/>
        <v>107225.92720223998</v>
      </c>
      <c r="Q157" s="14" t="str">
        <f t="shared" si="6"/>
        <v/>
      </c>
      <c r="R157" s="14" t="str">
        <f t="shared" si="6"/>
        <v/>
      </c>
      <c r="S157" s="14" t="str">
        <f t="shared" si="7"/>
        <v/>
      </c>
      <c r="T157" s="14" t="s">
        <v>72</v>
      </c>
      <c r="U157" s="14">
        <v>0</v>
      </c>
      <c r="V157">
        <v>2451</v>
      </c>
      <c r="W157">
        <v>24.266259765625001</v>
      </c>
      <c r="X157">
        <v>38.548906308551501</v>
      </c>
      <c r="Y157">
        <v>1.86362509905478</v>
      </c>
      <c r="Z157" s="31">
        <v>3.17708568393771</v>
      </c>
      <c r="AA157">
        <v>12.375792333993999</v>
      </c>
      <c r="AB157">
        <v>0.15759999999999999</v>
      </c>
      <c r="AC157">
        <v>331133.89612995298</v>
      </c>
      <c r="AD157">
        <v>378916.51734150521</v>
      </c>
      <c r="AE157">
        <v>1</v>
      </c>
      <c r="AF157">
        <v>14191.315124012841</v>
      </c>
      <c r="AG157">
        <v>319530.86601997231</v>
      </c>
    </row>
    <row r="158" spans="1:33" hidden="1" x14ac:dyDescent="0.25">
      <c r="B158">
        <v>4</v>
      </c>
      <c r="C158" t="s">
        <v>31</v>
      </c>
      <c r="D158" t="s">
        <v>28</v>
      </c>
      <c r="E158" t="s">
        <v>67</v>
      </c>
      <c r="F158">
        <v>10</v>
      </c>
      <c r="G158">
        <v>193573</v>
      </c>
      <c r="H158">
        <v>9</v>
      </c>
      <c r="I158">
        <v>0</v>
      </c>
      <c r="J158">
        <v>0</v>
      </c>
      <c r="K158">
        <v>663449</v>
      </c>
      <c r="L158">
        <v>18630</v>
      </c>
      <c r="M158">
        <v>0</v>
      </c>
      <c r="N158">
        <v>15964</v>
      </c>
      <c r="O158" s="43">
        <v>543556.33200000005</v>
      </c>
      <c r="P158" s="14">
        <f t="shared" si="8"/>
        <v>85824.684000000067</v>
      </c>
      <c r="Q158" s="14" t="str">
        <f t="shared" si="6"/>
        <v/>
      </c>
      <c r="R158" s="14" t="str">
        <f t="shared" si="6"/>
        <v/>
      </c>
      <c r="S158" s="14" t="str">
        <f t="shared" si="7"/>
        <v/>
      </c>
      <c r="T158" s="14" t="s">
        <v>72</v>
      </c>
      <c r="U158" s="14">
        <v>0</v>
      </c>
      <c r="V158">
        <v>2451</v>
      </c>
      <c r="W158">
        <v>26.255944824218801</v>
      </c>
      <c r="X158">
        <v>31.5480140878784</v>
      </c>
      <c r="Y158">
        <v>2.3364649906420101</v>
      </c>
      <c r="Z158" s="31">
        <v>2.15903308954982</v>
      </c>
      <c r="AA158">
        <v>9.1226474530306092</v>
      </c>
      <c r="AB158">
        <v>0.15759999999999999</v>
      </c>
      <c r="AC158">
        <v>331133.89612995298</v>
      </c>
      <c r="AD158">
        <v>378916.51734150521</v>
      </c>
      <c r="AE158">
        <v>1</v>
      </c>
      <c r="AF158">
        <v>14191.315124012841</v>
      </c>
      <c r="AG158">
        <v>319530.86601997231</v>
      </c>
    </row>
    <row r="159" spans="1:33" hidden="1" x14ac:dyDescent="0.25">
      <c r="B159">
        <v>4</v>
      </c>
      <c r="C159" t="s">
        <v>31</v>
      </c>
      <c r="D159" t="s">
        <v>28</v>
      </c>
      <c r="E159" t="s">
        <v>67</v>
      </c>
      <c r="F159">
        <v>10</v>
      </c>
      <c r="G159">
        <v>193573</v>
      </c>
      <c r="H159">
        <v>10</v>
      </c>
      <c r="I159">
        <v>0</v>
      </c>
      <c r="J159">
        <v>0</v>
      </c>
      <c r="K159">
        <v>663449</v>
      </c>
      <c r="L159">
        <v>18630</v>
      </c>
      <c r="M159">
        <v>0</v>
      </c>
      <c r="N159">
        <v>15964</v>
      </c>
      <c r="O159" s="43">
        <v>640824.30720000004</v>
      </c>
      <c r="P159" s="14">
        <f t="shared" si="8"/>
        <v>97267.975199999986</v>
      </c>
      <c r="Q159" s="14" t="str">
        <f t="shared" si="6"/>
        <v/>
      </c>
      <c r="R159" s="14" t="str">
        <f t="shared" si="6"/>
        <v/>
      </c>
      <c r="S159" s="14" t="str">
        <f t="shared" si="7"/>
        <v/>
      </c>
      <c r="T159" s="14" t="s">
        <v>72</v>
      </c>
      <c r="U159" s="14">
        <v>0</v>
      </c>
      <c r="V159">
        <v>2451</v>
      </c>
      <c r="W159">
        <v>24.605859375000001</v>
      </c>
      <c r="X159">
        <v>29.088255826388099</v>
      </c>
      <c r="Y159">
        <v>2.1949465773113701</v>
      </c>
      <c r="Z159" s="31">
        <v>2.4470748776130602</v>
      </c>
      <c r="AA159">
        <v>11.1512311638078</v>
      </c>
      <c r="AB159">
        <v>0.15759999999999999</v>
      </c>
      <c r="AC159">
        <v>331133.89612995298</v>
      </c>
      <c r="AD159">
        <v>378916.51734150521</v>
      </c>
      <c r="AE159">
        <v>1</v>
      </c>
      <c r="AF159">
        <v>14191.315124012841</v>
      </c>
      <c r="AG159">
        <v>319530.86601997231</v>
      </c>
    </row>
    <row r="160" spans="1:33" hidden="1" x14ac:dyDescent="0.25">
      <c r="B160">
        <v>4</v>
      </c>
      <c r="C160" t="s">
        <v>31</v>
      </c>
      <c r="D160" t="s">
        <v>28</v>
      </c>
      <c r="E160" t="s">
        <v>67</v>
      </c>
      <c r="F160">
        <v>10</v>
      </c>
      <c r="G160">
        <v>193573</v>
      </c>
      <c r="H160">
        <v>11</v>
      </c>
      <c r="I160">
        <v>0</v>
      </c>
      <c r="J160">
        <v>0</v>
      </c>
      <c r="K160">
        <v>663449</v>
      </c>
      <c r="L160">
        <v>18630</v>
      </c>
      <c r="M160">
        <v>0</v>
      </c>
      <c r="N160">
        <v>15964</v>
      </c>
      <c r="O160" s="43">
        <v>680875.82640000002</v>
      </c>
      <c r="P160" s="14">
        <f t="shared" si="8"/>
        <v>40051.519199999981</v>
      </c>
      <c r="Q160" s="14" t="str">
        <f t="shared" si="6"/>
        <v/>
      </c>
      <c r="R160" s="14" t="str">
        <f t="shared" si="6"/>
        <v/>
      </c>
      <c r="S160" s="14" t="str">
        <f t="shared" si="7"/>
        <v/>
      </c>
      <c r="T160" s="14" t="s">
        <v>72</v>
      </c>
      <c r="U160" s="14">
        <v>0</v>
      </c>
      <c r="V160">
        <v>2451</v>
      </c>
      <c r="W160">
        <v>24.837243652343702</v>
      </c>
      <c r="X160">
        <v>29.786007641106998</v>
      </c>
      <c r="Y160">
        <v>2.2035081774637502</v>
      </c>
      <c r="Z160" s="31">
        <v>2.7754078902852499</v>
      </c>
      <c r="AA160">
        <v>10.4077192998779</v>
      </c>
      <c r="AB160">
        <v>0.15759999999999999</v>
      </c>
      <c r="AC160">
        <v>331133.89612995298</v>
      </c>
      <c r="AD160">
        <v>378916.51734150521</v>
      </c>
      <c r="AE160">
        <v>1</v>
      </c>
      <c r="AF160">
        <v>14191.315124012841</v>
      </c>
      <c r="AG160">
        <v>319530.86601997231</v>
      </c>
    </row>
    <row r="161" spans="2:33" hidden="1" x14ac:dyDescent="0.25">
      <c r="B161">
        <v>4</v>
      </c>
      <c r="C161" t="s">
        <v>31</v>
      </c>
      <c r="D161" t="s">
        <v>28</v>
      </c>
      <c r="E161" t="s">
        <v>67</v>
      </c>
      <c r="F161">
        <v>23</v>
      </c>
      <c r="G161">
        <v>193573</v>
      </c>
      <c r="H161">
        <v>12</v>
      </c>
      <c r="I161">
        <v>0</v>
      </c>
      <c r="J161">
        <v>5.0468973228150818E-3</v>
      </c>
      <c r="K161">
        <v>663449</v>
      </c>
      <c r="L161">
        <v>18630</v>
      </c>
      <c r="M161">
        <v>0</v>
      </c>
      <c r="N161">
        <v>15964</v>
      </c>
      <c r="O161" s="43">
        <v>733514.9659200001</v>
      </c>
      <c r="P161" s="14">
        <f>O161-O160</f>
        <v>52639.139520000084</v>
      </c>
      <c r="Q161" s="14" t="str">
        <f t="shared" si="6"/>
        <v/>
      </c>
      <c r="R161" s="14" t="str">
        <f t="shared" si="6"/>
        <v/>
      </c>
      <c r="S161" s="14" t="str">
        <f t="shared" si="7"/>
        <v/>
      </c>
      <c r="T161" s="14" t="s">
        <v>72</v>
      </c>
      <c r="U161" s="14">
        <v>0</v>
      </c>
      <c r="V161">
        <v>2451</v>
      </c>
      <c r="W161">
        <v>25.335412597656301</v>
      </c>
      <c r="X161">
        <v>31.666216277993101</v>
      </c>
      <c r="Y161">
        <v>2.2088840359655699</v>
      </c>
      <c r="Z161" s="31">
        <v>3.4786181671052798</v>
      </c>
      <c r="AA161">
        <v>5.7376818079475704</v>
      </c>
      <c r="AB161">
        <v>0.15759999999999999</v>
      </c>
      <c r="AC161">
        <v>331133.89612995298</v>
      </c>
      <c r="AD161">
        <v>378916.51734150521</v>
      </c>
      <c r="AE161">
        <v>1</v>
      </c>
      <c r="AF161">
        <v>14191.315124012841</v>
      </c>
      <c r="AG161">
        <v>319530.86601997231</v>
      </c>
    </row>
    <row r="162" spans="2:33" hidden="1" x14ac:dyDescent="0.25">
      <c r="B162">
        <v>4</v>
      </c>
      <c r="C162" t="s">
        <v>31</v>
      </c>
      <c r="D162" t="s">
        <v>28</v>
      </c>
      <c r="E162" t="s">
        <v>67</v>
      </c>
      <c r="F162">
        <v>23</v>
      </c>
      <c r="G162">
        <v>193573</v>
      </c>
      <c r="H162">
        <v>13</v>
      </c>
      <c r="I162">
        <v>0</v>
      </c>
      <c r="J162">
        <v>0</v>
      </c>
      <c r="K162">
        <v>663449</v>
      </c>
      <c r="L162">
        <v>18630</v>
      </c>
      <c r="M162">
        <v>0</v>
      </c>
      <c r="N162">
        <v>15964</v>
      </c>
      <c r="O162" s="43">
        <v>858246.84000000008</v>
      </c>
      <c r="P162" s="14">
        <f t="shared" si="8"/>
        <v>124731.87407999998</v>
      </c>
      <c r="Q162" s="14" t="str">
        <f t="shared" si="6"/>
        <v/>
      </c>
      <c r="R162" s="14" t="str">
        <f t="shared" si="6"/>
        <v/>
      </c>
      <c r="S162" s="14" t="str">
        <f t="shared" si="7"/>
        <v/>
      </c>
      <c r="T162" s="14" t="s">
        <v>72</v>
      </c>
      <c r="U162" s="14">
        <v>0</v>
      </c>
      <c r="V162">
        <v>2451</v>
      </c>
      <c r="W162">
        <v>25.547509765625001</v>
      </c>
      <c r="X162">
        <v>27.762164793442999</v>
      </c>
      <c r="Y162">
        <v>2.36478526347855</v>
      </c>
      <c r="Z162" s="31">
        <v>3.4147221744387002</v>
      </c>
      <c r="AA162">
        <v>4.4371544041900197</v>
      </c>
      <c r="AB162">
        <v>0.15759999999999999</v>
      </c>
      <c r="AC162">
        <v>331133.89612995298</v>
      </c>
      <c r="AD162">
        <v>378916.51734150521</v>
      </c>
      <c r="AE162">
        <v>1</v>
      </c>
      <c r="AF162">
        <v>14191.315124012841</v>
      </c>
      <c r="AG162">
        <v>319530.86601997231</v>
      </c>
    </row>
    <row r="163" spans="2:33" hidden="1" x14ac:dyDescent="0.25">
      <c r="B163">
        <v>4</v>
      </c>
      <c r="C163" t="s">
        <v>31</v>
      </c>
      <c r="D163" t="s">
        <v>28</v>
      </c>
      <c r="E163" t="s">
        <v>67</v>
      </c>
      <c r="F163">
        <v>23</v>
      </c>
      <c r="G163">
        <v>193573</v>
      </c>
      <c r="H163">
        <v>14</v>
      </c>
      <c r="I163">
        <v>0</v>
      </c>
      <c r="J163">
        <v>0</v>
      </c>
      <c r="K163">
        <v>663449</v>
      </c>
      <c r="L163">
        <v>18630</v>
      </c>
      <c r="M163">
        <v>0</v>
      </c>
      <c r="N163">
        <v>15964</v>
      </c>
      <c r="O163" s="43">
        <v>858246.84000000008</v>
      </c>
      <c r="P163" s="14">
        <f t="shared" si="8"/>
        <v>0</v>
      </c>
      <c r="Q163" s="14" t="str">
        <f t="shared" si="6"/>
        <v/>
      </c>
      <c r="R163" s="14" t="str">
        <f t="shared" si="6"/>
        <v/>
      </c>
      <c r="S163" s="14" t="str">
        <f t="shared" si="7"/>
        <v/>
      </c>
      <c r="T163" s="14" t="s">
        <v>72</v>
      </c>
      <c r="U163" s="14">
        <v>0</v>
      </c>
      <c r="V163">
        <v>2451</v>
      </c>
      <c r="W163">
        <v>27.108056640625001</v>
      </c>
      <c r="X163">
        <v>30.912954814270101</v>
      </c>
      <c r="Y163">
        <v>2.4791734125869498</v>
      </c>
      <c r="Z163" s="31">
        <v>3.2352980303574301</v>
      </c>
      <c r="AA163">
        <v>2.36781277307445</v>
      </c>
      <c r="AB163">
        <v>0.15759999999999999</v>
      </c>
      <c r="AC163">
        <v>331133.89612995298</v>
      </c>
      <c r="AD163">
        <v>378916.51734150521</v>
      </c>
      <c r="AE163">
        <v>1</v>
      </c>
      <c r="AF163">
        <v>14191.315124012841</v>
      </c>
      <c r="AG163">
        <v>319530.86601997231</v>
      </c>
    </row>
    <row r="164" spans="2:33" hidden="1" x14ac:dyDescent="0.25">
      <c r="B164">
        <v>4</v>
      </c>
      <c r="C164" t="s">
        <v>31</v>
      </c>
      <c r="D164" t="s">
        <v>28</v>
      </c>
      <c r="E164" t="s">
        <v>67</v>
      </c>
      <c r="F164">
        <v>23</v>
      </c>
      <c r="G164">
        <v>193573</v>
      </c>
      <c r="H164">
        <v>15</v>
      </c>
      <c r="I164">
        <v>13</v>
      </c>
      <c r="J164">
        <v>0</v>
      </c>
      <c r="K164">
        <v>663449</v>
      </c>
      <c r="L164">
        <v>18630</v>
      </c>
      <c r="M164">
        <v>0</v>
      </c>
      <c r="N164">
        <v>15964</v>
      </c>
      <c r="O164" s="43">
        <v>1021885.90416</v>
      </c>
      <c r="P164" s="14">
        <f t="shared" si="8"/>
        <v>163639.06415999995</v>
      </c>
      <c r="Q164" s="14" t="str">
        <f t="shared" si="6"/>
        <v/>
      </c>
      <c r="R164" s="14" t="str">
        <f t="shared" si="6"/>
        <v/>
      </c>
      <c r="S164" s="14" t="str">
        <f t="shared" si="7"/>
        <v/>
      </c>
      <c r="T164" s="14" t="s">
        <v>72</v>
      </c>
      <c r="U164" s="14">
        <v>12587.620319999996</v>
      </c>
      <c r="V164">
        <v>2451</v>
      </c>
      <c r="W164">
        <v>23.355737304687501</v>
      </c>
      <c r="X164">
        <v>23.2225263215905</v>
      </c>
      <c r="Y164">
        <v>2.20507499034168</v>
      </c>
      <c r="Z164" s="31">
        <v>3.36264253444357</v>
      </c>
      <c r="AA164">
        <v>13.1011509348104</v>
      </c>
      <c r="AB164">
        <v>0.15759999999999999</v>
      </c>
      <c r="AC164">
        <v>331133.89612995298</v>
      </c>
      <c r="AD164">
        <v>378916.51734150521</v>
      </c>
      <c r="AE164">
        <v>1</v>
      </c>
      <c r="AF164">
        <v>14191.315124012841</v>
      </c>
      <c r="AG164">
        <v>319530.86601997231</v>
      </c>
    </row>
    <row r="165" spans="2:33" hidden="1" x14ac:dyDescent="0.25">
      <c r="B165">
        <v>4</v>
      </c>
      <c r="C165" t="s">
        <v>31</v>
      </c>
      <c r="D165" t="s">
        <v>28</v>
      </c>
      <c r="E165" t="s">
        <v>67</v>
      </c>
      <c r="G165">
        <v>193573</v>
      </c>
      <c r="H165">
        <v>16</v>
      </c>
      <c r="I165">
        <v>0</v>
      </c>
      <c r="J165">
        <v>0</v>
      </c>
      <c r="K165">
        <v>663449</v>
      </c>
      <c r="L165">
        <v>18630</v>
      </c>
      <c r="M165">
        <v>0</v>
      </c>
      <c r="N165">
        <v>15964</v>
      </c>
      <c r="O165" s="43">
        <v>1021885.90416</v>
      </c>
      <c r="P165" s="14">
        <f t="shared" si="8"/>
        <v>0</v>
      </c>
      <c r="Q165" s="14" t="str">
        <f t="shared" si="6"/>
        <v/>
      </c>
      <c r="R165" s="14" t="str">
        <f t="shared" si="6"/>
        <v/>
      </c>
      <c r="S165" s="14" t="str">
        <f t="shared" si="7"/>
        <v/>
      </c>
      <c r="T165" s="14" t="s">
        <v>72</v>
      </c>
      <c r="U165" s="14">
        <v>0</v>
      </c>
      <c r="V165">
        <v>2451</v>
      </c>
      <c r="W165">
        <v>21.785668945312501</v>
      </c>
      <c r="X165">
        <v>30.9642493459775</v>
      </c>
      <c r="Y165">
        <v>1.8026115932523701</v>
      </c>
      <c r="Z165" s="31">
        <v>3.33233495354827</v>
      </c>
      <c r="AA165">
        <v>11.695850672667399</v>
      </c>
      <c r="AB165">
        <v>0.15759999999999999</v>
      </c>
      <c r="AC165">
        <v>331133.89612995298</v>
      </c>
      <c r="AD165">
        <v>378916.51734150521</v>
      </c>
      <c r="AE165">
        <v>1</v>
      </c>
      <c r="AF165">
        <v>14191.315124012841</v>
      </c>
      <c r="AG165">
        <v>319530.86601997231</v>
      </c>
    </row>
    <row r="166" spans="2:33" hidden="1" x14ac:dyDescent="0.25">
      <c r="B166">
        <v>4</v>
      </c>
      <c r="C166" t="s">
        <v>31</v>
      </c>
      <c r="D166" t="s">
        <v>28</v>
      </c>
      <c r="E166" t="s">
        <v>67</v>
      </c>
      <c r="F166">
        <v>50</v>
      </c>
      <c r="G166">
        <v>193573</v>
      </c>
      <c r="H166">
        <v>17</v>
      </c>
      <c r="I166">
        <v>0</v>
      </c>
      <c r="J166">
        <v>1.0482017516615941E-2</v>
      </c>
      <c r="K166">
        <v>663449</v>
      </c>
      <c r="L166">
        <v>18630</v>
      </c>
      <c r="M166">
        <v>0</v>
      </c>
      <c r="N166">
        <v>15964</v>
      </c>
      <c r="O166" s="43">
        <v>1144329.1200000001</v>
      </c>
      <c r="P166" s="14">
        <f t="shared" si="8"/>
        <v>122443.21584000008</v>
      </c>
      <c r="Q166" s="14" t="str">
        <f t="shared" si="6"/>
        <v/>
      </c>
      <c r="R166" s="14" t="str">
        <f t="shared" si="6"/>
        <v/>
      </c>
      <c r="S166" s="14" t="str">
        <f t="shared" si="7"/>
        <v/>
      </c>
      <c r="T166" s="14" t="s">
        <v>72</v>
      </c>
      <c r="U166" s="14">
        <v>0</v>
      </c>
      <c r="V166">
        <v>2451</v>
      </c>
      <c r="W166">
        <v>21.348840332031301</v>
      </c>
      <c r="X166">
        <v>45.1068971960186</v>
      </c>
      <c r="Y166">
        <v>1.3953535611335599</v>
      </c>
      <c r="Z166" s="31">
        <v>2.9440631022811798</v>
      </c>
      <c r="AA166">
        <v>16.542021295076701</v>
      </c>
      <c r="AB166">
        <v>0.15759999999999999</v>
      </c>
      <c r="AC166">
        <v>331133.89612995298</v>
      </c>
      <c r="AD166">
        <v>378916.51734150521</v>
      </c>
      <c r="AE166">
        <v>1</v>
      </c>
      <c r="AF166">
        <v>14191.315124012841</v>
      </c>
      <c r="AG166">
        <v>319530.86601997231</v>
      </c>
    </row>
    <row r="167" spans="2:33" hidden="1" x14ac:dyDescent="0.25">
      <c r="B167">
        <v>4</v>
      </c>
      <c r="C167" t="s">
        <v>31</v>
      </c>
      <c r="D167" t="s">
        <v>28</v>
      </c>
      <c r="E167" t="s">
        <v>67</v>
      </c>
      <c r="F167">
        <v>186</v>
      </c>
      <c r="G167">
        <v>193573</v>
      </c>
      <c r="H167">
        <v>18</v>
      </c>
      <c r="I167">
        <v>0</v>
      </c>
      <c r="J167">
        <v>5.2798310454065467E-2</v>
      </c>
      <c r="K167">
        <v>663449</v>
      </c>
      <c r="L167">
        <v>18630</v>
      </c>
      <c r="M167">
        <v>0</v>
      </c>
      <c r="N167">
        <v>15964</v>
      </c>
      <c r="O167" s="43">
        <v>1258762.0319999999</v>
      </c>
      <c r="P167" s="14">
        <f t="shared" si="8"/>
        <v>114432.91199999978</v>
      </c>
      <c r="Q167" s="14" t="str">
        <f t="shared" si="6"/>
        <v/>
      </c>
      <c r="R167" s="14" t="str">
        <f t="shared" si="6"/>
        <v/>
      </c>
      <c r="S167" s="14" t="str">
        <f t="shared" si="7"/>
        <v/>
      </c>
      <c r="T167" s="14" t="s">
        <v>72</v>
      </c>
      <c r="U167" s="14">
        <v>0</v>
      </c>
      <c r="V167">
        <v>2451</v>
      </c>
      <c r="W167">
        <v>28.898095703125001</v>
      </c>
      <c r="X167">
        <v>32.559311546363901</v>
      </c>
      <c r="Y167">
        <v>2.6854368949932601</v>
      </c>
      <c r="Z167" s="31">
        <v>3.4721471331299401</v>
      </c>
      <c r="AA167">
        <v>4.9653807703894</v>
      </c>
      <c r="AB167">
        <v>0.15759999999999999</v>
      </c>
      <c r="AC167">
        <v>331133.89612995298</v>
      </c>
      <c r="AD167">
        <v>378916.51734150521</v>
      </c>
      <c r="AE167">
        <v>1</v>
      </c>
      <c r="AF167">
        <v>14191.315124012841</v>
      </c>
      <c r="AG167">
        <v>319530.86601997231</v>
      </c>
    </row>
    <row r="168" spans="2:33" hidden="1" x14ac:dyDescent="0.25">
      <c r="B168">
        <v>4</v>
      </c>
      <c r="C168" t="s">
        <v>31</v>
      </c>
      <c r="D168" t="s">
        <v>28</v>
      </c>
      <c r="E168" t="s">
        <v>67</v>
      </c>
      <c r="F168">
        <v>270</v>
      </c>
      <c r="G168">
        <v>193573</v>
      </c>
      <c r="H168">
        <v>19</v>
      </c>
      <c r="I168">
        <v>0</v>
      </c>
      <c r="J168">
        <v>3.261072116280514E-2</v>
      </c>
      <c r="K168">
        <v>663449</v>
      </c>
      <c r="L168">
        <v>18630</v>
      </c>
      <c r="M168">
        <v>0</v>
      </c>
      <c r="N168">
        <v>15964</v>
      </c>
      <c r="O168" s="43">
        <v>1258762.0319999999</v>
      </c>
      <c r="P168" s="14">
        <f t="shared" si="8"/>
        <v>0</v>
      </c>
      <c r="Q168" s="14" t="str">
        <f t="shared" si="6"/>
        <v/>
      </c>
      <c r="R168" s="14" t="str">
        <f t="shared" si="6"/>
        <v/>
      </c>
      <c r="S168" s="14" t="str">
        <f t="shared" si="7"/>
        <v/>
      </c>
      <c r="T168" s="14" t="s">
        <v>72</v>
      </c>
      <c r="U168" s="14">
        <v>0</v>
      </c>
      <c r="V168">
        <v>2451</v>
      </c>
      <c r="W168">
        <v>30.688134765625001</v>
      </c>
      <c r="X168">
        <v>25.9073956862023</v>
      </c>
      <c r="Y168">
        <v>3.2699060587826301</v>
      </c>
      <c r="Z168" s="31">
        <v>3.3863140628070401</v>
      </c>
      <c r="AA168">
        <v>6.6110367864669897</v>
      </c>
      <c r="AB168">
        <v>0.15759999999999999</v>
      </c>
      <c r="AC168">
        <v>331133.89612995298</v>
      </c>
      <c r="AD168">
        <v>378916.51734150521</v>
      </c>
      <c r="AE168">
        <v>1</v>
      </c>
      <c r="AF168">
        <v>14191.315124012841</v>
      </c>
      <c r="AG168">
        <v>319530.86601997231</v>
      </c>
    </row>
    <row r="169" spans="2:33" hidden="1" x14ac:dyDescent="0.25">
      <c r="B169">
        <v>4</v>
      </c>
      <c r="C169" t="s">
        <v>31</v>
      </c>
      <c r="D169" t="s">
        <v>28</v>
      </c>
      <c r="E169" t="s">
        <v>67</v>
      </c>
      <c r="F169">
        <v>378</v>
      </c>
      <c r="G169">
        <v>193573</v>
      </c>
      <c r="H169">
        <v>20</v>
      </c>
      <c r="I169">
        <v>27</v>
      </c>
      <c r="J169">
        <v>4.1928070066463763E-2</v>
      </c>
      <c r="K169">
        <v>663449</v>
      </c>
      <c r="L169">
        <v>18630</v>
      </c>
      <c r="M169">
        <v>0</v>
      </c>
      <c r="N169">
        <v>15964</v>
      </c>
      <c r="O169" s="43">
        <v>1299053.8603151999</v>
      </c>
      <c r="P169" s="14">
        <f t="shared" si="8"/>
        <v>40291.828315200051</v>
      </c>
      <c r="Q169" s="14" t="str">
        <f t="shared" si="6"/>
        <v/>
      </c>
      <c r="R169" s="14" t="str">
        <f t="shared" si="6"/>
        <v/>
      </c>
      <c r="S169" s="14" t="str">
        <f t="shared" si="7"/>
        <v/>
      </c>
      <c r="T169" s="14" t="s">
        <v>72</v>
      </c>
      <c r="U169" s="14">
        <v>1492.2899376000018</v>
      </c>
      <c r="V169">
        <v>2451</v>
      </c>
      <c r="W169">
        <v>33.136804199218801</v>
      </c>
      <c r="X169">
        <v>24.580461528523202</v>
      </c>
      <c r="Y169">
        <v>3.8222369327839099</v>
      </c>
      <c r="Z169" s="31">
        <v>2.9261398912099299</v>
      </c>
      <c r="AA169">
        <v>4.1313727242489602</v>
      </c>
      <c r="AB169">
        <v>0.15759999999999999</v>
      </c>
      <c r="AC169">
        <v>331133.89612995298</v>
      </c>
      <c r="AD169">
        <v>378916.51734150521</v>
      </c>
      <c r="AE169">
        <v>1</v>
      </c>
      <c r="AF169">
        <v>14191.315124012841</v>
      </c>
      <c r="AG169">
        <v>319530.86601997231</v>
      </c>
    </row>
    <row r="170" spans="2:33" hidden="1" x14ac:dyDescent="0.25">
      <c r="B170">
        <v>4</v>
      </c>
      <c r="C170" t="s">
        <v>31</v>
      </c>
      <c r="D170" t="s">
        <v>28</v>
      </c>
      <c r="E170" t="s">
        <v>67</v>
      </c>
      <c r="F170">
        <v>425</v>
      </c>
      <c r="G170">
        <v>193573</v>
      </c>
      <c r="H170">
        <v>21</v>
      </c>
      <c r="I170">
        <v>136</v>
      </c>
      <c r="J170">
        <v>1.8246474936331449E-2</v>
      </c>
      <c r="K170">
        <v>663449</v>
      </c>
      <c r="L170">
        <v>18630</v>
      </c>
      <c r="M170">
        <v>0</v>
      </c>
      <c r="N170">
        <v>15964</v>
      </c>
      <c r="O170" s="43">
        <v>1477804.9348339201</v>
      </c>
      <c r="P170" s="14">
        <f t="shared" si="8"/>
        <v>178751.07451872015</v>
      </c>
      <c r="Q170" s="14" t="str">
        <f t="shared" si="6"/>
        <v/>
      </c>
      <c r="R170" s="14" t="str">
        <f t="shared" si="6"/>
        <v/>
      </c>
      <c r="S170" s="14" t="str">
        <f t="shared" si="7"/>
        <v/>
      </c>
      <c r="T170" s="14" t="s">
        <v>72</v>
      </c>
      <c r="U170" s="14">
        <v>1314.3461361670581</v>
      </c>
      <c r="V170">
        <v>2451</v>
      </c>
      <c r="W170">
        <v>26.970300292968801</v>
      </c>
      <c r="X170">
        <v>36.696824562687503</v>
      </c>
      <c r="Y170">
        <v>2.2531017073506501</v>
      </c>
      <c r="Z170" s="31">
        <v>2.4926578024160699</v>
      </c>
      <c r="AA170">
        <v>16.6551774102157</v>
      </c>
      <c r="AB170">
        <v>0.15759999999999999</v>
      </c>
      <c r="AC170">
        <v>331133.89612995298</v>
      </c>
      <c r="AD170">
        <v>378916.51734150521</v>
      </c>
      <c r="AE170">
        <v>1</v>
      </c>
      <c r="AF170">
        <v>14191.315124012841</v>
      </c>
      <c r="AG170">
        <v>319530.86601997231</v>
      </c>
    </row>
    <row r="171" spans="2:33" hidden="1" x14ac:dyDescent="0.25">
      <c r="B171">
        <v>4</v>
      </c>
      <c r="C171" t="s">
        <v>31</v>
      </c>
      <c r="D171" t="s">
        <v>28</v>
      </c>
      <c r="E171" t="s">
        <v>67</v>
      </c>
      <c r="F171">
        <v>513</v>
      </c>
      <c r="G171">
        <v>193573</v>
      </c>
      <c r="H171">
        <v>22</v>
      </c>
      <c r="I171">
        <v>84</v>
      </c>
      <c r="J171">
        <v>3.4163612646748241E-2</v>
      </c>
      <c r="K171">
        <v>663449</v>
      </c>
      <c r="L171">
        <v>18630</v>
      </c>
      <c r="M171">
        <v>0</v>
      </c>
      <c r="N171">
        <v>15964</v>
      </c>
      <c r="O171" s="43">
        <v>1788894.2390932799</v>
      </c>
      <c r="P171" s="14">
        <f t="shared" si="8"/>
        <v>311089.30425935984</v>
      </c>
      <c r="Q171" s="14" t="str">
        <f t="shared" si="6"/>
        <v/>
      </c>
      <c r="R171" s="14" t="str">
        <f t="shared" si="6"/>
        <v/>
      </c>
      <c r="S171" s="14" t="str">
        <f t="shared" si="7"/>
        <v/>
      </c>
      <c r="T171" s="14" t="s">
        <v>72</v>
      </c>
      <c r="U171" s="14">
        <v>3703.444098325715</v>
      </c>
      <c r="V171">
        <v>2451</v>
      </c>
      <c r="W171">
        <v>24.013421630859401</v>
      </c>
      <c r="X171">
        <v>31.442045275780298</v>
      </c>
      <c r="Y171">
        <v>2.0481566086980201</v>
      </c>
      <c r="Z171" s="31">
        <v>2.01077195382191</v>
      </c>
      <c r="AA171">
        <v>6.5772842782067</v>
      </c>
      <c r="AB171">
        <v>0.15759999999999999</v>
      </c>
      <c r="AC171">
        <v>331133.89612995298</v>
      </c>
      <c r="AD171">
        <v>378916.51734150521</v>
      </c>
      <c r="AE171">
        <v>1</v>
      </c>
      <c r="AF171">
        <v>14191.315124012841</v>
      </c>
      <c r="AG171">
        <v>319530.86601997231</v>
      </c>
    </row>
    <row r="172" spans="2:33" hidden="1" x14ac:dyDescent="0.25">
      <c r="B172">
        <v>4</v>
      </c>
      <c r="C172" t="s">
        <v>31</v>
      </c>
      <c r="D172" t="s">
        <v>28</v>
      </c>
      <c r="E172" t="s">
        <v>67</v>
      </c>
      <c r="F172">
        <v>775</v>
      </c>
      <c r="G172">
        <v>193573</v>
      </c>
      <c r="H172">
        <v>23</v>
      </c>
      <c r="I172">
        <v>108</v>
      </c>
      <c r="J172">
        <v>0.1017143921982732</v>
      </c>
      <c r="K172">
        <v>663449</v>
      </c>
      <c r="L172">
        <v>18630</v>
      </c>
      <c r="M172">
        <v>0</v>
      </c>
      <c r="N172">
        <v>15964</v>
      </c>
      <c r="O172" s="43">
        <v>2179397.6956223999</v>
      </c>
      <c r="P172" s="14">
        <f t="shared" si="8"/>
        <v>390503.45652911998</v>
      </c>
      <c r="Q172" s="14" t="str">
        <f t="shared" si="6"/>
        <v/>
      </c>
      <c r="R172" s="14" t="str">
        <f t="shared" si="6"/>
        <v/>
      </c>
      <c r="S172" s="14" t="str">
        <f t="shared" si="7"/>
        <v/>
      </c>
      <c r="T172" s="14" t="s">
        <v>72</v>
      </c>
      <c r="U172" s="14">
        <v>3615.7727456400021</v>
      </c>
      <c r="V172">
        <v>2451</v>
      </c>
      <c r="W172">
        <v>28.763452148437501</v>
      </c>
      <c r="X172">
        <v>32.273301969470303</v>
      </c>
      <c r="Y172">
        <v>2.6759452245542299</v>
      </c>
      <c r="Z172" s="31">
        <v>2.8576979600325898</v>
      </c>
      <c r="AA172">
        <v>2.6210780909425102</v>
      </c>
      <c r="AB172">
        <v>0.15759999999999999</v>
      </c>
      <c r="AC172">
        <v>331133.89612995298</v>
      </c>
      <c r="AD172">
        <v>378916.51734150521</v>
      </c>
      <c r="AE172">
        <v>1</v>
      </c>
      <c r="AF172">
        <v>14191.315124012841</v>
      </c>
      <c r="AG172">
        <v>319530.86601997231</v>
      </c>
    </row>
    <row r="173" spans="2:33" hidden="1" x14ac:dyDescent="0.25">
      <c r="B173">
        <v>4</v>
      </c>
      <c r="C173" t="s">
        <v>31</v>
      </c>
      <c r="D173" t="s">
        <v>28</v>
      </c>
      <c r="E173" t="s">
        <v>67</v>
      </c>
      <c r="F173">
        <v>158770</v>
      </c>
      <c r="G173">
        <v>193573</v>
      </c>
      <c r="H173">
        <v>24</v>
      </c>
      <c r="I173">
        <v>47</v>
      </c>
      <c r="J173">
        <v>61.337272501397599</v>
      </c>
      <c r="K173">
        <v>663449</v>
      </c>
      <c r="L173">
        <v>18630</v>
      </c>
      <c r="M173">
        <v>0</v>
      </c>
      <c r="N173">
        <v>15964</v>
      </c>
      <c r="O173" s="43">
        <v>2302344.4162752</v>
      </c>
      <c r="P173" s="14">
        <f t="shared" si="8"/>
        <v>122946.72065280005</v>
      </c>
      <c r="Q173" s="14" t="str">
        <f t="shared" si="6"/>
        <v/>
      </c>
      <c r="R173" s="14" t="str">
        <f t="shared" si="6"/>
        <v/>
      </c>
      <c r="S173" s="14" t="str">
        <f t="shared" si="7"/>
        <v/>
      </c>
      <c r="T173" s="14" t="s">
        <v>72</v>
      </c>
      <c r="U173" s="14">
        <v>2615.8876734638211</v>
      </c>
      <c r="V173">
        <v>2451</v>
      </c>
      <c r="W173">
        <v>30.128808593750001</v>
      </c>
      <c r="X173">
        <v>19.592333181665801</v>
      </c>
      <c r="Y173">
        <v>3.4375504349482102</v>
      </c>
      <c r="Z173" s="31">
        <v>4.9136762310139197</v>
      </c>
      <c r="AA173">
        <v>11.9168866342158</v>
      </c>
      <c r="AB173">
        <v>0.15759999999999999</v>
      </c>
      <c r="AC173">
        <v>331133.89612995298</v>
      </c>
      <c r="AD173">
        <v>378916.51734150521</v>
      </c>
      <c r="AE173">
        <v>1</v>
      </c>
      <c r="AF173">
        <v>14191.315124012841</v>
      </c>
      <c r="AG173">
        <v>319530.86601997231</v>
      </c>
    </row>
    <row r="174" spans="2:33" hidden="1" x14ac:dyDescent="0.25">
      <c r="B174">
        <v>4</v>
      </c>
      <c r="C174" t="s">
        <v>31</v>
      </c>
      <c r="D174" t="s">
        <v>28</v>
      </c>
      <c r="E174" t="s">
        <v>67</v>
      </c>
      <c r="F174">
        <v>180868</v>
      </c>
      <c r="G174">
        <v>193573</v>
      </c>
      <c r="H174">
        <v>25</v>
      </c>
      <c r="I174">
        <v>88</v>
      </c>
      <c r="J174">
        <v>8.5789490030436664</v>
      </c>
      <c r="K174">
        <v>663449</v>
      </c>
      <c r="L174">
        <v>18630</v>
      </c>
      <c r="M174">
        <v>0</v>
      </c>
      <c r="N174">
        <v>15964</v>
      </c>
      <c r="O174" s="43">
        <v>3046820.9108356801</v>
      </c>
      <c r="P174" s="14">
        <f t="shared" si="8"/>
        <v>744476.49456048012</v>
      </c>
      <c r="Q174" s="14" t="str">
        <f t="shared" si="6"/>
        <v/>
      </c>
      <c r="R174" s="14" t="str">
        <f t="shared" si="6"/>
        <v/>
      </c>
      <c r="S174" s="14" t="str">
        <f t="shared" si="7"/>
        <v/>
      </c>
      <c r="T174" s="14" t="s">
        <v>72</v>
      </c>
      <c r="U174" s="14">
        <v>8459.960165460001</v>
      </c>
      <c r="V174">
        <v>2451</v>
      </c>
      <c r="W174">
        <v>23.131616210937501</v>
      </c>
      <c r="X174">
        <v>12.6154036273256</v>
      </c>
      <c r="Y174">
        <v>2.47616629048794</v>
      </c>
      <c r="Z174" s="31">
        <v>5.3152070085557304</v>
      </c>
      <c r="AA174">
        <v>5.4219029394978904</v>
      </c>
      <c r="AB174">
        <v>0.15759999999999999</v>
      </c>
      <c r="AC174">
        <v>331133.89612995298</v>
      </c>
      <c r="AD174">
        <v>378916.51734150521</v>
      </c>
      <c r="AE174">
        <v>1</v>
      </c>
      <c r="AF174">
        <v>14191.315124012841</v>
      </c>
      <c r="AG174">
        <v>319530.86601997231</v>
      </c>
    </row>
    <row r="175" spans="2:33" hidden="1" x14ac:dyDescent="0.25">
      <c r="B175">
        <v>4</v>
      </c>
      <c r="C175" t="s">
        <v>31</v>
      </c>
      <c r="D175" t="s">
        <v>28</v>
      </c>
      <c r="E175" t="s">
        <v>67</v>
      </c>
      <c r="F175">
        <v>186503</v>
      </c>
      <c r="G175">
        <v>193573</v>
      </c>
      <c r="H175">
        <v>26</v>
      </c>
      <c r="I175">
        <v>262</v>
      </c>
      <c r="J175">
        <v>2.187635878004845</v>
      </c>
      <c r="K175">
        <v>663449</v>
      </c>
      <c r="L175">
        <v>18630</v>
      </c>
      <c r="M175">
        <v>0</v>
      </c>
      <c r="N175">
        <v>15964</v>
      </c>
      <c r="O175" s="43">
        <v>3930851.7745675198</v>
      </c>
      <c r="P175" s="14">
        <f t="shared" si="8"/>
        <v>884030.86373183969</v>
      </c>
      <c r="Q175" s="14" t="str">
        <f t="shared" si="6"/>
        <v/>
      </c>
      <c r="R175" s="14" t="str">
        <f t="shared" si="6"/>
        <v/>
      </c>
      <c r="S175" s="14" t="str">
        <f t="shared" si="7"/>
        <v/>
      </c>
      <c r="T175" s="14" t="s">
        <v>72</v>
      </c>
      <c r="U175" s="14">
        <v>3374.1636020299243</v>
      </c>
      <c r="V175">
        <v>2451</v>
      </c>
      <c r="W175">
        <v>30.495263671875001</v>
      </c>
      <c r="X175">
        <v>10.0766596978659</v>
      </c>
      <c r="Y175">
        <v>3.92643774661861</v>
      </c>
      <c r="Z175" s="31">
        <v>2.9608746156849701</v>
      </c>
      <c r="AA175">
        <v>2.8863749067424398</v>
      </c>
      <c r="AB175">
        <v>0.15759999999999999</v>
      </c>
      <c r="AC175">
        <v>331133.89612995298</v>
      </c>
      <c r="AD175">
        <v>378916.51734150521</v>
      </c>
      <c r="AE175">
        <v>1</v>
      </c>
      <c r="AF175">
        <v>14191.315124012841</v>
      </c>
      <c r="AG175">
        <v>319530.86601997231</v>
      </c>
    </row>
    <row r="176" spans="2:33" hidden="1" x14ac:dyDescent="0.25">
      <c r="B176">
        <v>4</v>
      </c>
      <c r="C176" t="s">
        <v>31</v>
      </c>
      <c r="D176" t="s">
        <v>28</v>
      </c>
      <c r="E176" t="s">
        <v>67</v>
      </c>
      <c r="F176">
        <v>188151</v>
      </c>
      <c r="G176">
        <v>193573</v>
      </c>
      <c r="H176">
        <v>27</v>
      </c>
      <c r="I176">
        <v>157995</v>
      </c>
      <c r="J176">
        <v>0.63979129138455804</v>
      </c>
      <c r="K176">
        <v>663449</v>
      </c>
      <c r="L176">
        <v>18630</v>
      </c>
      <c r="M176">
        <v>0</v>
      </c>
      <c r="N176">
        <v>15964</v>
      </c>
      <c r="O176" s="43">
        <v>4970969.1302673602</v>
      </c>
      <c r="P176" s="14">
        <f t="shared" si="8"/>
        <v>1040117.3556998405</v>
      </c>
      <c r="Q176" s="14" t="str">
        <f t="shared" si="6"/>
        <v/>
      </c>
      <c r="R176" s="14" t="str">
        <f t="shared" si="6"/>
        <v/>
      </c>
      <c r="S176" s="14" t="str">
        <f t="shared" si="7"/>
        <v/>
      </c>
      <c r="T176" s="14" t="s">
        <v>72</v>
      </c>
      <c r="U176" s="14">
        <v>6.5832295686562237</v>
      </c>
      <c r="V176">
        <v>2451</v>
      </c>
      <c r="W176">
        <v>26.888696289062501</v>
      </c>
      <c r="X176">
        <v>19.347673768939799</v>
      </c>
      <c r="Y176">
        <v>2.8578285027646899</v>
      </c>
      <c r="Z176" s="31">
        <v>2.1168618090815401</v>
      </c>
      <c r="AA176">
        <v>2.4809787735120499</v>
      </c>
      <c r="AB176">
        <v>0.15759999999999999</v>
      </c>
      <c r="AC176">
        <v>331133.89612995298</v>
      </c>
      <c r="AD176">
        <v>378916.51734150521</v>
      </c>
      <c r="AE176">
        <v>1</v>
      </c>
      <c r="AF176">
        <v>14191.315124012841</v>
      </c>
      <c r="AG176">
        <v>319530.86601997231</v>
      </c>
    </row>
    <row r="177" spans="2:33" hidden="1" x14ac:dyDescent="0.25">
      <c r="B177">
        <v>4</v>
      </c>
      <c r="C177" t="s">
        <v>31</v>
      </c>
      <c r="D177" t="s">
        <v>28</v>
      </c>
      <c r="E177" t="s">
        <v>67</v>
      </c>
      <c r="F177">
        <v>188724</v>
      </c>
      <c r="G177">
        <v>193573</v>
      </c>
      <c r="H177">
        <v>28</v>
      </c>
      <c r="I177">
        <v>22098</v>
      </c>
      <c r="J177">
        <v>0.22245170507484929</v>
      </c>
      <c r="K177">
        <v>663449</v>
      </c>
      <c r="L177">
        <v>18630</v>
      </c>
      <c r="M177">
        <v>0</v>
      </c>
      <c r="N177">
        <v>15964</v>
      </c>
      <c r="O177" s="43">
        <v>5861638.2472243207</v>
      </c>
      <c r="P177" s="14">
        <f t="shared" si="8"/>
        <v>890669.11695696041</v>
      </c>
      <c r="Q177" s="14" t="str">
        <f t="shared" si="6"/>
        <v/>
      </c>
      <c r="R177" s="14" t="str">
        <f t="shared" si="6"/>
        <v/>
      </c>
      <c r="S177" s="14" t="str">
        <f t="shared" si="7"/>
        <v/>
      </c>
      <c r="T177" s="14" t="s">
        <v>72</v>
      </c>
      <c r="U177" s="14">
        <v>40.305417547151798</v>
      </c>
      <c r="V177">
        <v>2451</v>
      </c>
      <c r="W177">
        <v>22.367333984375001</v>
      </c>
      <c r="X177">
        <v>35.075721978122203</v>
      </c>
      <c r="Y177">
        <v>1.75621705192781</v>
      </c>
      <c r="Z177" s="31">
        <v>1.7448190064506399</v>
      </c>
      <c r="AA177">
        <v>3.1311050444779598</v>
      </c>
      <c r="AB177">
        <v>0.15759999999999999</v>
      </c>
      <c r="AC177">
        <v>331133.89612995298</v>
      </c>
      <c r="AD177">
        <v>378916.51734150521</v>
      </c>
      <c r="AE177">
        <v>1</v>
      </c>
      <c r="AF177">
        <v>14191.315124012841</v>
      </c>
      <c r="AG177">
        <v>319530.86601997231</v>
      </c>
    </row>
    <row r="178" spans="2:33" hidden="1" x14ac:dyDescent="0.25">
      <c r="B178">
        <v>4</v>
      </c>
      <c r="C178" t="s">
        <v>31</v>
      </c>
      <c r="D178" t="s">
        <v>28</v>
      </c>
      <c r="E178" t="s">
        <v>67</v>
      </c>
      <c r="F178">
        <v>189928</v>
      </c>
      <c r="G178">
        <v>193573</v>
      </c>
      <c r="H178">
        <v>29</v>
      </c>
      <c r="I178">
        <v>5635</v>
      </c>
      <c r="J178">
        <v>0.46742033666687371</v>
      </c>
      <c r="K178">
        <v>663449</v>
      </c>
      <c r="L178">
        <v>18630</v>
      </c>
      <c r="M178">
        <v>0</v>
      </c>
      <c r="N178">
        <v>15964</v>
      </c>
      <c r="O178" s="43">
        <v>7101919.3639363209</v>
      </c>
      <c r="P178" s="14">
        <f t="shared" si="8"/>
        <v>1240281.1167120002</v>
      </c>
      <c r="Q178" s="14" t="str">
        <f t="shared" si="6"/>
        <v/>
      </c>
      <c r="R178" s="14" t="str">
        <f t="shared" si="6"/>
        <v/>
      </c>
      <c r="S178" s="14" t="str">
        <f t="shared" si="7"/>
        <v/>
      </c>
      <c r="T178" s="14" t="s">
        <v>72</v>
      </c>
      <c r="U178" s="14">
        <v>220.10312630204086</v>
      </c>
      <c r="V178">
        <v>2451</v>
      </c>
      <c r="W178">
        <v>21.107476806640602</v>
      </c>
      <c r="X178">
        <v>38.844830904243999</v>
      </c>
      <c r="Y178">
        <v>1.53186002716249</v>
      </c>
      <c r="Z178" s="31">
        <v>1.9080167009943401</v>
      </c>
      <c r="AA178">
        <v>12.955441637386899</v>
      </c>
      <c r="AB178">
        <v>0.15759999999999999</v>
      </c>
      <c r="AC178">
        <v>331133.89612995298</v>
      </c>
      <c r="AD178">
        <v>378916.51734150521</v>
      </c>
      <c r="AE178">
        <v>1</v>
      </c>
      <c r="AF178">
        <v>14191.315124012841</v>
      </c>
      <c r="AG178">
        <v>319530.86601997231</v>
      </c>
    </row>
    <row r="179" spans="2:33" hidden="1" x14ac:dyDescent="0.25">
      <c r="B179">
        <v>4</v>
      </c>
      <c r="C179" t="s">
        <v>31</v>
      </c>
      <c r="D179" t="s">
        <v>28</v>
      </c>
      <c r="E179" t="s">
        <v>67</v>
      </c>
      <c r="F179">
        <v>190694</v>
      </c>
      <c r="G179">
        <v>193573</v>
      </c>
      <c r="H179">
        <v>30</v>
      </c>
      <c r="I179">
        <v>1648</v>
      </c>
      <c r="J179">
        <v>0.29737871917510411</v>
      </c>
      <c r="K179">
        <v>663449</v>
      </c>
      <c r="L179">
        <v>18630</v>
      </c>
      <c r="M179">
        <v>0</v>
      </c>
      <c r="N179">
        <v>15964</v>
      </c>
      <c r="O179" s="43">
        <v>7967477.3226840002</v>
      </c>
      <c r="P179" s="14">
        <f t="shared" si="8"/>
        <v>865557.95874767937</v>
      </c>
      <c r="Q179" s="14" t="str">
        <f t="shared" si="6"/>
        <v/>
      </c>
      <c r="R179" s="14" t="str">
        <f t="shared" si="6"/>
        <v/>
      </c>
      <c r="S179" s="14" t="str">
        <f t="shared" si="7"/>
        <v/>
      </c>
      <c r="T179" s="14" t="s">
        <v>72</v>
      </c>
      <c r="U179" s="14">
        <v>525.21720797796081</v>
      </c>
      <c r="V179">
        <v>2451</v>
      </c>
      <c r="W179">
        <v>21.637109375000001</v>
      </c>
      <c r="X179">
        <v>40.821215981145102</v>
      </c>
      <c r="Y179">
        <v>1.5311061605173</v>
      </c>
      <c r="Z179" s="31">
        <v>2.0275307673124798</v>
      </c>
      <c r="AA179">
        <v>20.011915442807901</v>
      </c>
      <c r="AB179">
        <v>0.15759999999999999</v>
      </c>
      <c r="AC179">
        <v>331133.89612995298</v>
      </c>
      <c r="AD179">
        <v>378916.51734150521</v>
      </c>
      <c r="AE179">
        <v>1</v>
      </c>
      <c r="AF179">
        <v>14191.315124012841</v>
      </c>
      <c r="AG179">
        <v>319530.86601997231</v>
      </c>
    </row>
    <row r="180" spans="2:33" hidden="1" x14ac:dyDescent="0.25">
      <c r="B180">
        <v>4</v>
      </c>
      <c r="C180" t="s">
        <v>31</v>
      </c>
      <c r="D180" t="s">
        <v>28</v>
      </c>
      <c r="E180" t="s">
        <v>67</v>
      </c>
      <c r="F180">
        <v>191074</v>
      </c>
      <c r="G180">
        <v>193573</v>
      </c>
      <c r="H180">
        <v>32</v>
      </c>
      <c r="I180">
        <v>573</v>
      </c>
      <c r="J180">
        <v>0.1475246909745947</v>
      </c>
      <c r="K180">
        <v>663449</v>
      </c>
      <c r="L180">
        <v>18630</v>
      </c>
      <c r="M180">
        <v>0</v>
      </c>
      <c r="N180">
        <v>15964</v>
      </c>
      <c r="O180" s="43">
        <v>8737915.2119899206</v>
      </c>
      <c r="P180" s="14">
        <f t="shared" si="8"/>
        <v>770437.88930592034</v>
      </c>
      <c r="Q180" s="14" t="str">
        <f t="shared" si="6"/>
        <v/>
      </c>
      <c r="R180" s="14" t="str">
        <f t="shared" si="6"/>
        <v/>
      </c>
      <c r="S180" s="14" t="str">
        <f t="shared" si="7"/>
        <v/>
      </c>
      <c r="T180" s="14" t="s">
        <v>72</v>
      </c>
      <c r="U180" s="14">
        <v>1344.568742244189</v>
      </c>
      <c r="V180">
        <v>2451</v>
      </c>
      <c r="W180">
        <v>22.781579589843702</v>
      </c>
      <c r="X180">
        <v>38.801722734233202</v>
      </c>
      <c r="Y180">
        <v>1.6974105572195199</v>
      </c>
      <c r="Z180" s="31">
        <v>2.2936943578390498</v>
      </c>
      <c r="AA180">
        <v>16.040626827376599</v>
      </c>
      <c r="AB180">
        <v>0.15759999999999999</v>
      </c>
      <c r="AC180">
        <v>331133.89612995298</v>
      </c>
      <c r="AD180">
        <v>378916.51734150521</v>
      </c>
      <c r="AE180">
        <v>1</v>
      </c>
      <c r="AF180">
        <v>14191.315124012841</v>
      </c>
      <c r="AG180">
        <v>319530.86601997231</v>
      </c>
    </row>
    <row r="181" spans="2:33" hidden="1" x14ac:dyDescent="0.25">
      <c r="B181">
        <v>4</v>
      </c>
      <c r="C181" t="s">
        <v>31</v>
      </c>
      <c r="D181" t="s">
        <v>28</v>
      </c>
      <c r="E181" t="s">
        <v>67</v>
      </c>
      <c r="F181">
        <v>191463</v>
      </c>
      <c r="G181">
        <v>193573</v>
      </c>
      <c r="H181">
        <v>33</v>
      </c>
      <c r="I181">
        <v>1204</v>
      </c>
      <c r="J181">
        <v>0.15101869681346669</v>
      </c>
      <c r="K181">
        <v>663449</v>
      </c>
      <c r="L181">
        <v>18630</v>
      </c>
      <c r="M181">
        <v>0</v>
      </c>
      <c r="N181">
        <v>15964</v>
      </c>
      <c r="O181" s="43">
        <v>9913755.7229673602</v>
      </c>
      <c r="P181" s="14">
        <f t="shared" si="8"/>
        <v>1175840.5109774396</v>
      </c>
      <c r="Q181" s="14" t="str">
        <f t="shared" si="6"/>
        <v/>
      </c>
      <c r="R181" s="14" t="str">
        <f t="shared" si="6"/>
        <v/>
      </c>
      <c r="S181" s="14" t="str">
        <f t="shared" si="7"/>
        <v/>
      </c>
      <c r="T181" s="14" t="s">
        <v>72</v>
      </c>
      <c r="U181" s="14">
        <v>976.6117200809299</v>
      </c>
      <c r="V181">
        <v>2451</v>
      </c>
      <c r="W181">
        <v>22.371301269531301</v>
      </c>
      <c r="X181">
        <v>42.168263721931801</v>
      </c>
      <c r="Y181">
        <v>1.56458126633146</v>
      </c>
      <c r="Z181" s="31">
        <v>2.3240748930937301</v>
      </c>
      <c r="AA181">
        <v>11.9898659358544</v>
      </c>
      <c r="AB181">
        <v>0.15759999999999999</v>
      </c>
      <c r="AC181">
        <v>331133.89612995298</v>
      </c>
      <c r="AD181">
        <v>378916.51734150521</v>
      </c>
      <c r="AE181">
        <v>1</v>
      </c>
      <c r="AF181">
        <v>14191.315124012841</v>
      </c>
      <c r="AG181">
        <v>319530.86601997231</v>
      </c>
    </row>
    <row r="182" spans="2:33" hidden="1" x14ac:dyDescent="0.25">
      <c r="B182">
        <v>4</v>
      </c>
      <c r="C182" t="s">
        <v>31</v>
      </c>
      <c r="D182" t="s">
        <v>28</v>
      </c>
      <c r="E182" t="s">
        <v>67</v>
      </c>
      <c r="F182">
        <v>191840</v>
      </c>
      <c r="G182">
        <v>193573</v>
      </c>
      <c r="H182">
        <v>34</v>
      </c>
      <c r="I182">
        <v>766</v>
      </c>
      <c r="J182">
        <v>0.14636002236163739</v>
      </c>
      <c r="K182">
        <v>663449</v>
      </c>
      <c r="L182">
        <v>18630</v>
      </c>
      <c r="M182">
        <v>0</v>
      </c>
      <c r="N182">
        <v>15964</v>
      </c>
      <c r="O182" s="43">
        <v>10638254.51975088</v>
      </c>
      <c r="P182" s="14">
        <f t="shared" si="8"/>
        <v>724498.79678351991</v>
      </c>
      <c r="Q182" s="14" t="str">
        <f t="shared" si="6"/>
        <v/>
      </c>
      <c r="R182" s="14" t="str">
        <f t="shared" si="6"/>
        <v/>
      </c>
      <c r="S182" s="14" t="str">
        <f t="shared" si="7"/>
        <v/>
      </c>
      <c r="T182" s="14" t="s">
        <v>72</v>
      </c>
      <c r="U182" s="14">
        <v>945.82088352939934</v>
      </c>
      <c r="V182">
        <v>2451</v>
      </c>
      <c r="W182">
        <v>21.328271484375001</v>
      </c>
      <c r="X182">
        <v>50.6399442040398</v>
      </c>
      <c r="Y182">
        <v>1.2530314286234301</v>
      </c>
      <c r="Z182" s="31">
        <v>2.3601741749762501</v>
      </c>
      <c r="AA182">
        <v>13.102037765702001</v>
      </c>
      <c r="AB182">
        <v>0.15759999999999999</v>
      </c>
      <c r="AC182">
        <v>331133.89612995298</v>
      </c>
      <c r="AD182">
        <v>378916.51734150521</v>
      </c>
      <c r="AE182">
        <v>1</v>
      </c>
      <c r="AF182">
        <v>14191.315124012841</v>
      </c>
      <c r="AG182">
        <v>319530.86601997231</v>
      </c>
    </row>
    <row r="183" spans="2:33" hidden="1" x14ac:dyDescent="0.25">
      <c r="B183">
        <v>4</v>
      </c>
      <c r="C183" t="s">
        <v>31</v>
      </c>
      <c r="D183" t="s">
        <v>28</v>
      </c>
      <c r="E183" t="s">
        <v>67</v>
      </c>
      <c r="F183">
        <v>192368</v>
      </c>
      <c r="G183">
        <v>193573</v>
      </c>
      <c r="H183">
        <v>35</v>
      </c>
      <c r="I183">
        <v>380</v>
      </c>
      <c r="J183">
        <v>0.20498167588048949</v>
      </c>
      <c r="K183">
        <v>663449</v>
      </c>
      <c r="L183">
        <v>18630</v>
      </c>
      <c r="M183">
        <v>0</v>
      </c>
      <c r="N183">
        <v>15964</v>
      </c>
      <c r="O183" s="43">
        <v>11540119.752817919</v>
      </c>
      <c r="P183" s="14">
        <f t="shared" si="8"/>
        <v>901865.2330670394</v>
      </c>
      <c r="Q183" s="14" t="str">
        <f t="shared" si="6"/>
        <v/>
      </c>
      <c r="R183" s="14" t="str">
        <f t="shared" si="6"/>
        <v/>
      </c>
      <c r="S183" s="14" t="str">
        <f t="shared" si="7"/>
        <v/>
      </c>
      <c r="T183" s="14" t="s">
        <v>72</v>
      </c>
      <c r="U183" s="14">
        <v>2373.3295607027403</v>
      </c>
      <c r="V183">
        <v>2451</v>
      </c>
      <c r="W183">
        <v>20.411889648437501</v>
      </c>
      <c r="X183">
        <v>59.2513992277892</v>
      </c>
      <c r="Y183">
        <v>0.97774274862911803</v>
      </c>
      <c r="Z183" s="31">
        <v>2.7606767924814699</v>
      </c>
      <c r="AA183">
        <v>10.7144896870191</v>
      </c>
      <c r="AB183">
        <v>0.15759999999999999</v>
      </c>
      <c r="AC183">
        <v>331133.89612995298</v>
      </c>
      <c r="AD183">
        <v>378916.51734150521</v>
      </c>
      <c r="AE183">
        <v>1</v>
      </c>
      <c r="AF183">
        <v>14191.315124012841</v>
      </c>
      <c r="AG183">
        <v>319530.86601997231</v>
      </c>
    </row>
    <row r="184" spans="2:33" hidden="1" x14ac:dyDescent="0.25">
      <c r="B184">
        <v>4</v>
      </c>
      <c r="C184" t="s">
        <v>31</v>
      </c>
      <c r="D184" t="s">
        <v>28</v>
      </c>
      <c r="E184" t="s">
        <v>67</v>
      </c>
      <c r="F184">
        <v>192552</v>
      </c>
      <c r="G184">
        <v>193573</v>
      </c>
      <c r="H184">
        <v>36</v>
      </c>
      <c r="I184">
        <v>389</v>
      </c>
      <c r="J184">
        <v>7.1433008261382686E-2</v>
      </c>
      <c r="K184">
        <v>663449</v>
      </c>
      <c r="L184">
        <v>18630</v>
      </c>
      <c r="M184">
        <v>0</v>
      </c>
      <c r="N184">
        <v>15964</v>
      </c>
      <c r="O184" s="43">
        <v>12670921.758290401</v>
      </c>
      <c r="P184" s="14">
        <f t="shared" si="8"/>
        <v>1130802.0054724813</v>
      </c>
      <c r="Q184" s="14" t="str">
        <f t="shared" si="6"/>
        <v/>
      </c>
      <c r="R184" s="14" t="str">
        <f t="shared" si="6"/>
        <v/>
      </c>
      <c r="S184" s="14" t="str">
        <f t="shared" si="7"/>
        <v/>
      </c>
      <c r="T184" s="14" t="s">
        <v>72</v>
      </c>
      <c r="U184" s="14">
        <v>2906.9460294922351</v>
      </c>
      <c r="V184">
        <v>2451</v>
      </c>
      <c r="W184">
        <v>14.47939453125</v>
      </c>
      <c r="X184">
        <v>90.3395431087812</v>
      </c>
      <c r="Y184">
        <v>0.15944530515826</v>
      </c>
      <c r="Z184" s="31">
        <v>2.4863569691731202</v>
      </c>
      <c r="AA184">
        <v>9.3405634341360795</v>
      </c>
      <c r="AB184">
        <v>0.15759999999999999</v>
      </c>
      <c r="AC184">
        <v>331133.89612995298</v>
      </c>
      <c r="AD184">
        <v>378916.51734150521</v>
      </c>
      <c r="AE184">
        <v>1</v>
      </c>
      <c r="AF184">
        <v>14191.315124012841</v>
      </c>
      <c r="AG184">
        <v>319530.86601997231</v>
      </c>
    </row>
    <row r="185" spans="2:33" hidden="1" x14ac:dyDescent="0.25">
      <c r="B185">
        <v>4</v>
      </c>
      <c r="C185" t="s">
        <v>31</v>
      </c>
      <c r="D185" t="s">
        <v>28</v>
      </c>
      <c r="E185" t="s">
        <v>67</v>
      </c>
      <c r="F185">
        <v>192764</v>
      </c>
      <c r="G185">
        <v>193573</v>
      </c>
      <c r="H185">
        <v>37</v>
      </c>
      <c r="I185">
        <v>377</v>
      </c>
      <c r="J185">
        <v>8.2303248648984403E-2</v>
      </c>
      <c r="K185">
        <v>663449</v>
      </c>
      <c r="L185">
        <v>18630</v>
      </c>
      <c r="M185">
        <v>0</v>
      </c>
      <c r="N185">
        <v>15964</v>
      </c>
      <c r="O185" s="43">
        <v>13439327.3190792</v>
      </c>
      <c r="P185" s="14">
        <f t="shared" si="8"/>
        <v>768405.56078879908</v>
      </c>
      <c r="Q185" s="14" t="str">
        <f t="shared" si="6"/>
        <v/>
      </c>
      <c r="R185" s="14" t="str">
        <f t="shared" si="6"/>
        <v/>
      </c>
      <c r="S185" s="14" t="str">
        <f t="shared" si="7"/>
        <v/>
      </c>
      <c r="T185" s="14" t="s">
        <v>72</v>
      </c>
      <c r="U185" s="14">
        <v>2038.2110365750689</v>
      </c>
      <c r="V185">
        <v>2451</v>
      </c>
      <c r="W185">
        <v>18.727197265625001</v>
      </c>
      <c r="X185">
        <v>62.749039892208202</v>
      </c>
      <c r="Y185">
        <v>0.80515971759504101</v>
      </c>
      <c r="Z185" s="31">
        <v>2.4245631766081699</v>
      </c>
      <c r="AA185">
        <v>7.70915386949234</v>
      </c>
      <c r="AB185">
        <v>0.15759999999999999</v>
      </c>
      <c r="AC185">
        <v>331133.89612995298</v>
      </c>
      <c r="AD185">
        <v>378916.51734150521</v>
      </c>
      <c r="AE185">
        <v>1</v>
      </c>
      <c r="AF185">
        <v>14191.315124012841</v>
      </c>
      <c r="AG185">
        <v>319530.86601997231</v>
      </c>
    </row>
    <row r="186" spans="2:33" hidden="1" x14ac:dyDescent="0.25">
      <c r="B186">
        <v>4</v>
      </c>
      <c r="C186" t="s">
        <v>31</v>
      </c>
      <c r="D186" t="s">
        <v>28</v>
      </c>
      <c r="E186" t="s">
        <v>67</v>
      </c>
      <c r="F186">
        <v>192620</v>
      </c>
      <c r="G186">
        <v>193573</v>
      </c>
      <c r="H186">
        <v>38</v>
      </c>
      <c r="I186">
        <v>528</v>
      </c>
      <c r="J186">
        <v>0</v>
      </c>
      <c r="K186">
        <v>663449</v>
      </c>
      <c r="L186">
        <v>18630</v>
      </c>
      <c r="M186">
        <v>0</v>
      </c>
      <c r="N186">
        <v>15964</v>
      </c>
      <c r="O186" s="43">
        <v>14418150.97412448</v>
      </c>
      <c r="P186" s="14">
        <f t="shared" si="8"/>
        <v>978823.65504528023</v>
      </c>
      <c r="Q186" s="14" t="str">
        <f t="shared" si="6"/>
        <v/>
      </c>
      <c r="R186" s="14" t="str">
        <f t="shared" si="6"/>
        <v/>
      </c>
      <c r="S186" s="14" t="str">
        <f t="shared" si="7"/>
        <v/>
      </c>
      <c r="T186" s="14" t="s">
        <v>72</v>
      </c>
      <c r="U186" s="14">
        <v>1853.8326800100003</v>
      </c>
      <c r="V186">
        <v>2451</v>
      </c>
      <c r="W186">
        <v>20.908502197265602</v>
      </c>
      <c r="X186">
        <v>55.096651355132302</v>
      </c>
      <c r="Y186">
        <v>1.1108914092246001</v>
      </c>
      <c r="Z186" s="31">
        <v>1.59008512792489</v>
      </c>
      <c r="AA186">
        <v>9.1925288607914908</v>
      </c>
      <c r="AB186">
        <v>0.15759999999999999</v>
      </c>
      <c r="AC186">
        <v>331133.89612995298</v>
      </c>
      <c r="AD186">
        <v>378916.51734150521</v>
      </c>
      <c r="AE186">
        <v>1</v>
      </c>
      <c r="AF186">
        <v>14191.315124012841</v>
      </c>
      <c r="AG186">
        <v>319530.86601997231</v>
      </c>
    </row>
    <row r="187" spans="2:33" hidden="1" x14ac:dyDescent="0.25">
      <c r="B187">
        <v>4</v>
      </c>
      <c r="C187" t="s">
        <v>31</v>
      </c>
      <c r="D187" t="s">
        <v>28</v>
      </c>
      <c r="E187" t="s">
        <v>67</v>
      </c>
      <c r="F187">
        <v>192693</v>
      </c>
      <c r="G187">
        <v>193573</v>
      </c>
      <c r="H187">
        <v>39</v>
      </c>
      <c r="I187">
        <v>184</v>
      </c>
      <c r="J187">
        <v>2.8340269581961609E-2</v>
      </c>
      <c r="K187">
        <v>663449</v>
      </c>
      <c r="L187">
        <v>18630</v>
      </c>
      <c r="M187">
        <v>0</v>
      </c>
      <c r="N187">
        <v>15964</v>
      </c>
      <c r="O187" s="43">
        <v>15335647.74297072</v>
      </c>
      <c r="P187" s="14">
        <f t="shared" si="8"/>
        <v>917496.76884623989</v>
      </c>
      <c r="Q187" s="14" t="str">
        <f t="shared" si="6"/>
        <v/>
      </c>
      <c r="R187" s="14" t="str">
        <f t="shared" si="6"/>
        <v/>
      </c>
      <c r="S187" s="14" t="str">
        <f t="shared" si="7"/>
        <v/>
      </c>
      <c r="T187" s="14" t="s">
        <v>72</v>
      </c>
      <c r="U187" s="14">
        <v>4986.395482859999</v>
      </c>
      <c r="V187">
        <v>2451</v>
      </c>
      <c r="W187">
        <v>19.403283691406301</v>
      </c>
      <c r="X187">
        <v>57.895712374203598</v>
      </c>
      <c r="Y187">
        <v>0.94922086883497903</v>
      </c>
      <c r="Z187" s="31">
        <v>2.15358604885864</v>
      </c>
      <c r="AA187">
        <v>10.9991926575051</v>
      </c>
      <c r="AB187">
        <v>0.15759999999999999</v>
      </c>
      <c r="AC187">
        <v>331133.89612995298</v>
      </c>
      <c r="AD187">
        <v>378916.51734150521</v>
      </c>
      <c r="AE187">
        <v>1</v>
      </c>
      <c r="AF187">
        <v>14191.315124012841</v>
      </c>
      <c r="AG187">
        <v>319530.86601997231</v>
      </c>
    </row>
    <row r="188" spans="2:33" hidden="1" x14ac:dyDescent="0.25">
      <c r="B188">
        <v>4</v>
      </c>
      <c r="C188" t="s">
        <v>31</v>
      </c>
      <c r="D188" t="s">
        <v>28</v>
      </c>
      <c r="E188" t="s">
        <v>67</v>
      </c>
      <c r="F188">
        <v>192708</v>
      </c>
      <c r="G188">
        <v>193573</v>
      </c>
      <c r="H188">
        <v>40</v>
      </c>
      <c r="I188">
        <v>212</v>
      </c>
      <c r="J188">
        <v>5.8233430647866326E-3</v>
      </c>
      <c r="K188">
        <v>663449</v>
      </c>
      <c r="L188">
        <v>18630</v>
      </c>
      <c r="M188">
        <v>0</v>
      </c>
      <c r="N188">
        <v>15964</v>
      </c>
      <c r="O188" s="43">
        <v>16230897.60939504</v>
      </c>
      <c r="P188" s="14">
        <f t="shared" si="8"/>
        <v>895249.86642432027</v>
      </c>
      <c r="Q188" s="14" t="str">
        <f t="shared" si="6"/>
        <v/>
      </c>
      <c r="R188" s="14" t="str">
        <f t="shared" si="6"/>
        <v/>
      </c>
      <c r="S188" s="14" t="str">
        <f t="shared" si="7"/>
        <v/>
      </c>
      <c r="T188" s="14" t="s">
        <v>72</v>
      </c>
      <c r="U188" s="14">
        <v>4222.8767284166051</v>
      </c>
      <c r="V188">
        <v>2451</v>
      </c>
      <c r="W188">
        <v>19.448510742187501</v>
      </c>
      <c r="X188">
        <v>53.328348335381499</v>
      </c>
      <c r="Y188">
        <v>1.05520709061861</v>
      </c>
      <c r="Z188" s="31">
        <v>2.1648171616673801</v>
      </c>
      <c r="AA188">
        <v>14.068404680985999</v>
      </c>
      <c r="AB188">
        <v>0.15759999999999999</v>
      </c>
      <c r="AC188">
        <v>331133.89612995298</v>
      </c>
      <c r="AD188">
        <v>378916.51734150521</v>
      </c>
      <c r="AE188">
        <v>1</v>
      </c>
      <c r="AF188">
        <v>14191.315124012841</v>
      </c>
      <c r="AG188">
        <v>319530.86601997231</v>
      </c>
    </row>
    <row r="189" spans="2:33" hidden="1" x14ac:dyDescent="0.25">
      <c r="B189">
        <v>4</v>
      </c>
      <c r="C189" t="s">
        <v>31</v>
      </c>
      <c r="D189" t="s">
        <v>28</v>
      </c>
      <c r="E189" t="s">
        <v>67</v>
      </c>
      <c r="F189">
        <v>192838</v>
      </c>
      <c r="G189">
        <v>193573</v>
      </c>
      <c r="H189">
        <v>41</v>
      </c>
      <c r="I189">
        <v>-144</v>
      </c>
      <c r="J189">
        <v>5.0468973228150818E-2</v>
      </c>
      <c r="K189">
        <v>663449</v>
      </c>
      <c r="L189">
        <v>18630</v>
      </c>
      <c r="M189">
        <v>0</v>
      </c>
      <c r="N189">
        <v>15964</v>
      </c>
      <c r="O189" s="43">
        <v>17264353.825287361</v>
      </c>
      <c r="P189" s="14">
        <f t="shared" si="8"/>
        <v>1033456.2158923205</v>
      </c>
      <c r="Q189" s="14" t="str">
        <f t="shared" si="6"/>
        <v/>
      </c>
      <c r="R189" s="14" t="str">
        <f t="shared" si="6"/>
        <v/>
      </c>
      <c r="S189" s="14" t="str">
        <f t="shared" si="7"/>
        <v/>
      </c>
      <c r="T189" s="14" t="s">
        <v>72</v>
      </c>
      <c r="U189" s="14">
        <v>-7176.7792770299902</v>
      </c>
      <c r="V189">
        <v>2451</v>
      </c>
      <c r="W189">
        <v>19.913781738281301</v>
      </c>
      <c r="X189">
        <v>61.006218883901603</v>
      </c>
      <c r="Y189">
        <v>0.90729954525255996</v>
      </c>
      <c r="Z189" s="31">
        <v>4.3715585735737301</v>
      </c>
      <c r="AA189">
        <v>33.135331507238099</v>
      </c>
      <c r="AB189">
        <v>0.15759999999999999</v>
      </c>
      <c r="AC189">
        <v>331133.89612995298</v>
      </c>
      <c r="AD189">
        <v>378916.51734150521</v>
      </c>
      <c r="AE189">
        <v>1</v>
      </c>
      <c r="AF189">
        <v>14191.315124012841</v>
      </c>
      <c r="AG189">
        <v>319530.86601997231</v>
      </c>
    </row>
    <row r="190" spans="2:33" hidden="1" x14ac:dyDescent="0.25">
      <c r="B190">
        <v>4</v>
      </c>
      <c r="C190" t="s">
        <v>31</v>
      </c>
      <c r="D190" t="s">
        <v>28</v>
      </c>
      <c r="E190" t="s">
        <v>67</v>
      </c>
      <c r="F190">
        <v>192838</v>
      </c>
      <c r="G190">
        <v>193573</v>
      </c>
      <c r="H190">
        <v>42</v>
      </c>
      <c r="I190">
        <v>73</v>
      </c>
      <c r="J190">
        <v>0</v>
      </c>
      <c r="K190">
        <v>663449</v>
      </c>
      <c r="L190">
        <v>18630</v>
      </c>
      <c r="M190">
        <v>0</v>
      </c>
      <c r="N190">
        <v>15964</v>
      </c>
      <c r="O190" s="43">
        <v>18350644.860979199</v>
      </c>
      <c r="P190" s="14">
        <f t="shared" si="8"/>
        <v>1086291.0356918387</v>
      </c>
      <c r="Q190" s="14" t="str">
        <f t="shared" si="6"/>
        <v/>
      </c>
      <c r="R190" s="14" t="str">
        <f t="shared" si="6"/>
        <v/>
      </c>
      <c r="S190" s="14" t="str">
        <f t="shared" si="7"/>
        <v/>
      </c>
      <c r="T190" s="14" t="s">
        <v>72</v>
      </c>
      <c r="U190" s="14">
        <v>14880.699119066334</v>
      </c>
      <c r="V190">
        <v>2451</v>
      </c>
      <c r="W190">
        <v>17.448388671875001</v>
      </c>
      <c r="X190">
        <v>65.337741998110502</v>
      </c>
      <c r="Y190">
        <v>0.691461133325873</v>
      </c>
      <c r="Z190" s="31">
        <v>3.6507898616760599</v>
      </c>
      <c r="AA190">
        <v>9.8872076432565397</v>
      </c>
      <c r="AB190">
        <v>0.15759999999999999</v>
      </c>
      <c r="AC190">
        <v>331133.89612995298</v>
      </c>
      <c r="AD190">
        <v>378916.51734150521</v>
      </c>
      <c r="AE190">
        <v>1</v>
      </c>
      <c r="AF190">
        <v>14191.315124012841</v>
      </c>
      <c r="AG190">
        <v>319530.86601997231</v>
      </c>
    </row>
    <row r="191" spans="2:33" hidden="1" x14ac:dyDescent="0.25">
      <c r="B191">
        <v>4</v>
      </c>
      <c r="C191" t="s">
        <v>31</v>
      </c>
      <c r="D191" t="s">
        <v>28</v>
      </c>
      <c r="E191" t="s">
        <v>67</v>
      </c>
      <c r="F191">
        <v>192843</v>
      </c>
      <c r="G191">
        <v>193573</v>
      </c>
      <c r="H191">
        <v>43</v>
      </c>
      <c r="I191">
        <v>15</v>
      </c>
      <c r="J191">
        <v>1.9411143549288769E-3</v>
      </c>
      <c r="K191">
        <v>663449</v>
      </c>
      <c r="L191">
        <v>18630</v>
      </c>
      <c r="M191">
        <v>0</v>
      </c>
      <c r="N191">
        <v>15964</v>
      </c>
      <c r="O191" s="43">
        <v>19276680.613718878</v>
      </c>
      <c r="P191" s="14">
        <f t="shared" si="8"/>
        <v>926035.75273967907</v>
      </c>
      <c r="Q191" s="14" t="str">
        <f t="shared" si="6"/>
        <v/>
      </c>
      <c r="R191" s="14" t="str">
        <f t="shared" si="6"/>
        <v/>
      </c>
      <c r="S191" s="14" t="str">
        <f t="shared" si="7"/>
        <v/>
      </c>
      <c r="T191" s="14" t="s">
        <v>72</v>
      </c>
      <c r="U191" s="14">
        <v>61735.716849311939</v>
      </c>
      <c r="V191">
        <v>2451</v>
      </c>
      <c r="W191">
        <v>13.8904052734375</v>
      </c>
      <c r="X191">
        <v>95.431035690174198</v>
      </c>
      <c r="Y191">
        <v>7.2590606655778905E-2</v>
      </c>
      <c r="Z191" s="31">
        <v>4.0346631310110901</v>
      </c>
      <c r="AA191">
        <v>24.852144629515301</v>
      </c>
      <c r="AB191">
        <v>0.15759999999999999</v>
      </c>
      <c r="AC191">
        <v>331133.89612995298</v>
      </c>
      <c r="AD191">
        <v>378916.51734150521</v>
      </c>
      <c r="AE191">
        <v>1</v>
      </c>
      <c r="AF191">
        <v>14191.315124012841</v>
      </c>
      <c r="AG191">
        <v>319530.86601997231</v>
      </c>
    </row>
    <row r="192" spans="2:33" hidden="1" x14ac:dyDescent="0.25">
      <c r="B192">
        <v>4</v>
      </c>
      <c r="C192" t="s">
        <v>31</v>
      </c>
      <c r="D192" t="s">
        <v>28</v>
      </c>
      <c r="E192" t="s">
        <v>67</v>
      </c>
      <c r="F192">
        <v>192843</v>
      </c>
      <c r="G192">
        <v>193573</v>
      </c>
      <c r="H192">
        <v>44</v>
      </c>
      <c r="I192">
        <v>130</v>
      </c>
      <c r="J192">
        <v>0</v>
      </c>
      <c r="K192">
        <v>663449</v>
      </c>
      <c r="L192">
        <v>18630</v>
      </c>
      <c r="M192">
        <v>0</v>
      </c>
      <c r="N192">
        <v>15964</v>
      </c>
      <c r="O192" s="43">
        <v>20275159.265729278</v>
      </c>
      <c r="P192" s="14">
        <f t="shared" si="8"/>
        <v>998478.65201039985</v>
      </c>
      <c r="Q192" s="14" t="str">
        <f t="shared" si="6"/>
        <v/>
      </c>
      <c r="R192" s="14" t="str">
        <f t="shared" si="6"/>
        <v/>
      </c>
      <c r="S192" s="14" t="str">
        <f t="shared" si="7"/>
        <v/>
      </c>
      <c r="T192" s="14" t="s">
        <v>72</v>
      </c>
      <c r="U192" s="14">
        <v>7680.6050154646146</v>
      </c>
      <c r="V192">
        <v>2451</v>
      </c>
      <c r="W192">
        <v>15.7185913085937</v>
      </c>
      <c r="X192">
        <v>71.952812705143003</v>
      </c>
      <c r="Y192">
        <v>0.50131900858822798</v>
      </c>
      <c r="Z192" s="31">
        <v>2.1649565991267701</v>
      </c>
      <c r="AA192">
        <v>14.7539811303504</v>
      </c>
      <c r="AB192">
        <v>0.15759999999999999</v>
      </c>
      <c r="AC192">
        <v>331133.89612995298</v>
      </c>
      <c r="AD192">
        <v>378916.51734150521</v>
      </c>
      <c r="AE192">
        <v>1</v>
      </c>
      <c r="AF192">
        <v>14191.315124012841</v>
      </c>
      <c r="AG192">
        <v>319530.86601997231</v>
      </c>
    </row>
    <row r="193" spans="2:33" hidden="1" x14ac:dyDescent="0.25">
      <c r="B193">
        <v>4</v>
      </c>
      <c r="C193" t="s">
        <v>31</v>
      </c>
      <c r="D193" t="s">
        <v>28</v>
      </c>
      <c r="E193" t="s">
        <v>67</v>
      </c>
      <c r="F193">
        <v>192848</v>
      </c>
      <c r="G193">
        <v>193573</v>
      </c>
      <c r="H193">
        <v>45</v>
      </c>
      <c r="I193">
        <v>0</v>
      </c>
      <c r="J193">
        <v>1.9411143549288769E-3</v>
      </c>
      <c r="K193">
        <v>663449</v>
      </c>
      <c r="L193">
        <v>18630</v>
      </c>
      <c r="M193">
        <v>0</v>
      </c>
      <c r="N193">
        <v>15964</v>
      </c>
      <c r="O193" s="43">
        <v>20677996.301513761</v>
      </c>
      <c r="P193" s="14">
        <f t="shared" si="8"/>
        <v>402837.03578448296</v>
      </c>
      <c r="Q193" s="14" t="str">
        <f t="shared" si="6"/>
        <v/>
      </c>
      <c r="R193" s="14" t="str">
        <f t="shared" si="6"/>
        <v/>
      </c>
      <c r="S193" s="14" t="str">
        <f t="shared" si="7"/>
        <v/>
      </c>
      <c r="T193" s="14" t="s">
        <v>72</v>
      </c>
      <c r="U193" s="14">
        <v>0</v>
      </c>
      <c r="V193">
        <v>2451</v>
      </c>
      <c r="W193">
        <v>21.722009277343702</v>
      </c>
      <c r="X193">
        <v>47.019136950373998</v>
      </c>
      <c r="Y193">
        <v>1.37774672266722</v>
      </c>
      <c r="Z193" s="31">
        <v>2.6386447917192801</v>
      </c>
      <c r="AA193">
        <v>9.5800152618224903</v>
      </c>
      <c r="AB193">
        <v>0.15759999999999999</v>
      </c>
      <c r="AC193">
        <v>331133.89612995298</v>
      </c>
      <c r="AD193">
        <v>378916.51734150521</v>
      </c>
      <c r="AE193">
        <v>1</v>
      </c>
      <c r="AF193">
        <v>14191.315124012841</v>
      </c>
      <c r="AG193">
        <v>319530.86601997231</v>
      </c>
    </row>
    <row r="194" spans="2:33" hidden="1" x14ac:dyDescent="0.25">
      <c r="B194">
        <v>4</v>
      </c>
      <c r="C194" t="s">
        <v>31</v>
      </c>
      <c r="D194" t="s">
        <v>28</v>
      </c>
      <c r="E194" t="s">
        <v>67</v>
      </c>
      <c r="F194">
        <v>192848</v>
      </c>
      <c r="G194">
        <v>193573</v>
      </c>
      <c r="H194">
        <v>46</v>
      </c>
      <c r="I194">
        <v>5</v>
      </c>
      <c r="J194">
        <v>0</v>
      </c>
      <c r="K194">
        <v>663449</v>
      </c>
      <c r="L194">
        <v>18630</v>
      </c>
      <c r="M194">
        <v>0</v>
      </c>
      <c r="N194">
        <v>15964</v>
      </c>
      <c r="O194" s="43">
        <v>21627820.368000001</v>
      </c>
      <c r="P194" s="14">
        <f t="shared" si="8"/>
        <v>949824.06648623943</v>
      </c>
      <c r="Q194" s="14" t="str">
        <f t="shared" si="6"/>
        <v/>
      </c>
      <c r="R194" s="14" t="str">
        <f t="shared" si="6"/>
        <v/>
      </c>
      <c r="S194" s="14" t="str">
        <f t="shared" si="7"/>
        <v/>
      </c>
      <c r="T194" s="14" t="s">
        <v>72</v>
      </c>
      <c r="U194" s="14">
        <v>189964.81329724789</v>
      </c>
      <c r="V194">
        <v>2451</v>
      </c>
      <c r="W194">
        <v>27.752099609375001</v>
      </c>
      <c r="X194">
        <v>35.890467307398303</v>
      </c>
      <c r="Y194">
        <v>2.3884655275540099</v>
      </c>
      <c r="Z194" s="31">
        <v>2.5829604796235399</v>
      </c>
      <c r="AA194">
        <v>2.7175933842157298</v>
      </c>
      <c r="AB194">
        <v>0.15759999999999999</v>
      </c>
      <c r="AC194">
        <v>331133.89612995298</v>
      </c>
      <c r="AD194">
        <v>378916.51734150521</v>
      </c>
      <c r="AE194">
        <v>1</v>
      </c>
      <c r="AF194">
        <v>14191.315124012841</v>
      </c>
      <c r="AG194">
        <v>319530.86601997231</v>
      </c>
    </row>
    <row r="195" spans="2:33" hidden="1" x14ac:dyDescent="0.25">
      <c r="B195">
        <v>4</v>
      </c>
      <c r="C195" t="s">
        <v>31</v>
      </c>
      <c r="D195" t="s">
        <v>28</v>
      </c>
      <c r="E195" t="s">
        <v>67</v>
      </c>
      <c r="F195">
        <v>192861</v>
      </c>
      <c r="G195">
        <v>193573</v>
      </c>
      <c r="H195">
        <v>47</v>
      </c>
      <c r="I195">
        <v>0</v>
      </c>
      <c r="J195">
        <v>5.0468973228150818E-3</v>
      </c>
      <c r="K195">
        <v>663449</v>
      </c>
      <c r="L195">
        <v>18630</v>
      </c>
      <c r="M195">
        <v>0</v>
      </c>
      <c r="N195">
        <v>15964</v>
      </c>
      <c r="O195" s="43">
        <v>19370374.84907712</v>
      </c>
      <c r="P195" s="14">
        <f t="shared" si="8"/>
        <v>-2257445.5189228803</v>
      </c>
      <c r="Q195" s="14">
        <f t="shared" ref="Q195:R258" si="9">IF(P195&gt;=0,"",P195)</f>
        <v>-2257445.5189228803</v>
      </c>
      <c r="R195" s="14">
        <f t="shared" si="9"/>
        <v>-2257445.5189228803</v>
      </c>
      <c r="S195" s="14">
        <f t="shared" ref="S195:S258" si="10">IFERROR(IF(ISNA(Q195),NA(),Q195^2),"")</f>
        <v>5096060270904.9922</v>
      </c>
      <c r="T195" s="14">
        <v>5096060270904.9922</v>
      </c>
      <c r="U195" s="14">
        <v>0</v>
      </c>
      <c r="V195">
        <v>2451</v>
      </c>
      <c r="W195">
        <v>27.900903320312501</v>
      </c>
      <c r="X195">
        <v>42.936994670284903</v>
      </c>
      <c r="Y195">
        <v>2.1440970203233598</v>
      </c>
      <c r="Z195" s="31">
        <v>1.11347815901256</v>
      </c>
      <c r="AA195">
        <v>3.6829794740234001</v>
      </c>
      <c r="AB195">
        <v>0.15759999999999999</v>
      </c>
      <c r="AC195">
        <v>331133.89612995298</v>
      </c>
      <c r="AD195">
        <v>378916.51734150521</v>
      </c>
      <c r="AE195">
        <v>1</v>
      </c>
      <c r="AF195">
        <v>14191.315124012841</v>
      </c>
      <c r="AG195">
        <v>319530.86601997231</v>
      </c>
    </row>
    <row r="196" spans="2:33" hidden="1" x14ac:dyDescent="0.25">
      <c r="B196">
        <v>4</v>
      </c>
      <c r="C196" t="s">
        <v>31</v>
      </c>
      <c r="D196" t="s">
        <v>28</v>
      </c>
      <c r="E196" t="s">
        <v>67</v>
      </c>
      <c r="F196">
        <v>192901</v>
      </c>
      <c r="G196">
        <v>193573</v>
      </c>
      <c r="H196">
        <v>48</v>
      </c>
      <c r="I196">
        <v>5</v>
      </c>
      <c r="J196">
        <v>1.5528914839431021E-2</v>
      </c>
      <c r="K196">
        <v>663449</v>
      </c>
      <c r="L196">
        <v>18630</v>
      </c>
      <c r="M196">
        <v>0</v>
      </c>
      <c r="N196">
        <v>15964</v>
      </c>
      <c r="O196" s="43">
        <v>19858773.373164002</v>
      </c>
      <c r="P196" s="14">
        <f t="shared" ref="P196:P259" si="11">O196-O195</f>
        <v>488398.52408688143</v>
      </c>
      <c r="Q196" s="14" t="str">
        <f t="shared" si="9"/>
        <v/>
      </c>
      <c r="R196" s="14" t="str">
        <f t="shared" si="9"/>
        <v/>
      </c>
      <c r="S196" s="14" t="str">
        <f t="shared" si="10"/>
        <v/>
      </c>
      <c r="T196" s="14" t="s">
        <v>72</v>
      </c>
      <c r="U196" s="14">
        <v>97679.704817376289</v>
      </c>
      <c r="V196">
        <v>2451</v>
      </c>
      <c r="W196">
        <v>24.157922363281301</v>
      </c>
      <c r="X196">
        <v>52.599349193743898</v>
      </c>
      <c r="Y196">
        <v>1.42787756980606</v>
      </c>
      <c r="Z196" s="31">
        <v>1.0104954045093699</v>
      </c>
      <c r="AA196">
        <v>6.3547907242236104</v>
      </c>
      <c r="AB196">
        <v>0.15759999999999999</v>
      </c>
      <c r="AC196">
        <v>331133.89612995298</v>
      </c>
      <c r="AD196">
        <v>378916.51734150521</v>
      </c>
      <c r="AE196">
        <v>1</v>
      </c>
      <c r="AF196">
        <v>14191.315124012841</v>
      </c>
      <c r="AG196">
        <v>319530.86601997231</v>
      </c>
    </row>
    <row r="197" spans="2:33" hidden="1" x14ac:dyDescent="0.25">
      <c r="B197">
        <v>4</v>
      </c>
      <c r="C197" t="s">
        <v>31</v>
      </c>
      <c r="D197" t="s">
        <v>28</v>
      </c>
      <c r="E197" t="s">
        <v>67</v>
      </c>
      <c r="F197">
        <v>192924</v>
      </c>
      <c r="G197">
        <v>193573</v>
      </c>
      <c r="H197">
        <v>49</v>
      </c>
      <c r="I197">
        <v>0</v>
      </c>
      <c r="J197">
        <v>8.9291260326728357E-3</v>
      </c>
      <c r="K197">
        <v>663449</v>
      </c>
      <c r="L197">
        <v>18630</v>
      </c>
      <c r="M197">
        <v>0</v>
      </c>
      <c r="N197">
        <v>15964</v>
      </c>
      <c r="O197" s="43">
        <v>20325560.09749056</v>
      </c>
      <c r="P197" s="14">
        <f t="shared" si="11"/>
        <v>466786.72432655841</v>
      </c>
      <c r="Q197" s="14" t="str">
        <f t="shared" si="9"/>
        <v/>
      </c>
      <c r="R197" s="14" t="str">
        <f t="shared" si="9"/>
        <v/>
      </c>
      <c r="S197" s="14" t="str">
        <f t="shared" si="10"/>
        <v/>
      </c>
      <c r="T197" s="14" t="s">
        <v>72</v>
      </c>
      <c r="U197" s="14">
        <v>0</v>
      </c>
      <c r="V197">
        <v>2451</v>
      </c>
      <c r="W197">
        <v>24.451318359375001</v>
      </c>
      <c r="X197">
        <v>51.478043847196098</v>
      </c>
      <c r="Y197">
        <v>1.48754208331156</v>
      </c>
      <c r="Z197" s="31">
        <v>0.97727810127864601</v>
      </c>
      <c r="AA197">
        <v>7.1217267269392996</v>
      </c>
      <c r="AB197">
        <v>0.15759999999999999</v>
      </c>
      <c r="AC197">
        <v>331133.89612995298</v>
      </c>
      <c r="AD197">
        <v>378916.51734150521</v>
      </c>
      <c r="AE197">
        <v>1</v>
      </c>
      <c r="AF197">
        <v>14191.315124012841</v>
      </c>
      <c r="AG197">
        <v>319530.86601997231</v>
      </c>
    </row>
    <row r="198" spans="2:33" hidden="1" x14ac:dyDescent="0.25">
      <c r="B198">
        <v>4</v>
      </c>
      <c r="C198" t="s">
        <v>31</v>
      </c>
      <c r="D198" t="s">
        <v>28</v>
      </c>
      <c r="E198" t="s">
        <v>67</v>
      </c>
      <c r="F198">
        <v>193282</v>
      </c>
      <c r="G198">
        <v>193573</v>
      </c>
      <c r="H198">
        <v>50</v>
      </c>
      <c r="I198">
        <v>13</v>
      </c>
      <c r="J198">
        <v>0.1389837878129076</v>
      </c>
      <c r="K198">
        <v>663449</v>
      </c>
      <c r="L198">
        <v>18630</v>
      </c>
      <c r="M198">
        <v>0</v>
      </c>
      <c r="N198">
        <v>15964</v>
      </c>
      <c r="O198" s="43">
        <v>20772009.804696482</v>
      </c>
      <c r="P198" s="14">
        <f t="shared" si="11"/>
        <v>446449.70720592141</v>
      </c>
      <c r="Q198" s="14" t="str">
        <f t="shared" si="9"/>
        <v/>
      </c>
      <c r="R198" s="14" t="str">
        <f t="shared" si="9"/>
        <v/>
      </c>
      <c r="S198" s="14" t="str">
        <f t="shared" si="10"/>
        <v/>
      </c>
      <c r="T198" s="14" t="s">
        <v>72</v>
      </c>
      <c r="U198" s="14">
        <v>34342.285169686264</v>
      </c>
      <c r="V198">
        <v>2451</v>
      </c>
      <c r="W198">
        <v>24.661004638671901</v>
      </c>
      <c r="X198">
        <v>51.861407531007998</v>
      </c>
      <c r="Y198">
        <v>1.49435396148426</v>
      </c>
      <c r="Z198" s="31">
        <v>1.03245606708594</v>
      </c>
      <c r="AA198">
        <v>8.7802796477303406</v>
      </c>
      <c r="AB198">
        <v>0.15759999999999999</v>
      </c>
      <c r="AC198">
        <v>331133.89612995298</v>
      </c>
      <c r="AD198">
        <v>378916.51734150521</v>
      </c>
      <c r="AE198">
        <v>1</v>
      </c>
      <c r="AF198">
        <v>14191.315124012841</v>
      </c>
      <c r="AG198">
        <v>319530.86601997231</v>
      </c>
    </row>
    <row r="199" spans="2:33" hidden="1" x14ac:dyDescent="0.25">
      <c r="B199">
        <v>4</v>
      </c>
      <c r="C199" t="s">
        <v>31</v>
      </c>
      <c r="D199" t="s">
        <v>28</v>
      </c>
      <c r="E199" t="s">
        <v>67</v>
      </c>
      <c r="F199">
        <v>193376</v>
      </c>
      <c r="G199">
        <v>193573</v>
      </c>
      <c r="H199">
        <v>51</v>
      </c>
      <c r="I199">
        <v>40</v>
      </c>
      <c r="J199">
        <v>3.6492949872662897E-2</v>
      </c>
      <c r="K199">
        <v>663449</v>
      </c>
      <c r="L199">
        <v>18630</v>
      </c>
      <c r="M199">
        <v>0</v>
      </c>
      <c r="N199">
        <v>15964</v>
      </c>
      <c r="O199" s="43">
        <v>21330781.136675999</v>
      </c>
      <c r="P199" s="14">
        <f t="shared" si="11"/>
        <v>558771.33197951689</v>
      </c>
      <c r="Q199" s="14" t="str">
        <f t="shared" si="9"/>
        <v/>
      </c>
      <c r="R199" s="14" t="str">
        <f t="shared" si="9"/>
        <v/>
      </c>
      <c r="S199" s="14" t="str">
        <f t="shared" si="10"/>
        <v/>
      </c>
      <c r="T199" s="14" t="s">
        <v>72</v>
      </c>
      <c r="U199" s="14">
        <v>13969.283299488015</v>
      </c>
      <c r="V199">
        <v>2451</v>
      </c>
      <c r="W199">
        <v>22.375207519531301</v>
      </c>
      <c r="X199">
        <v>51.8705798024884</v>
      </c>
      <c r="Y199">
        <v>1.30220882291055</v>
      </c>
      <c r="Z199" s="31">
        <v>1.5523923395219299</v>
      </c>
      <c r="AA199">
        <v>9.8419003593446792</v>
      </c>
      <c r="AB199">
        <v>0.15759999999999999</v>
      </c>
      <c r="AC199">
        <v>331133.89612995298</v>
      </c>
      <c r="AD199">
        <v>378916.51734150521</v>
      </c>
      <c r="AE199">
        <v>1</v>
      </c>
      <c r="AF199">
        <v>14191.315124012841</v>
      </c>
      <c r="AG199">
        <v>319530.86601997231</v>
      </c>
    </row>
    <row r="200" spans="2:33" hidden="1" x14ac:dyDescent="0.25">
      <c r="B200">
        <v>4</v>
      </c>
      <c r="C200" t="s">
        <v>31</v>
      </c>
      <c r="D200" t="s">
        <v>28</v>
      </c>
      <c r="E200" t="s">
        <v>67</v>
      </c>
      <c r="F200">
        <v>193432</v>
      </c>
      <c r="G200">
        <v>193573</v>
      </c>
      <c r="H200">
        <v>52</v>
      </c>
      <c r="I200">
        <v>23</v>
      </c>
      <c r="J200">
        <v>2.1740480775203429E-2</v>
      </c>
      <c r="K200">
        <v>663449</v>
      </c>
      <c r="L200">
        <v>18630</v>
      </c>
      <c r="M200">
        <v>0</v>
      </c>
      <c r="N200">
        <v>15964</v>
      </c>
      <c r="O200" s="43">
        <v>21765056.32637424</v>
      </c>
      <c r="P200" s="14">
        <f t="shared" si="11"/>
        <v>434275.18969824165</v>
      </c>
      <c r="Q200" s="14" t="str">
        <f t="shared" si="9"/>
        <v/>
      </c>
      <c r="R200" s="14" t="str">
        <f t="shared" si="9"/>
        <v/>
      </c>
      <c r="S200" s="14" t="str">
        <f t="shared" si="10"/>
        <v/>
      </c>
      <c r="T200" s="14" t="s">
        <v>72</v>
      </c>
      <c r="U200" s="14">
        <v>18881.529986879908</v>
      </c>
      <c r="V200">
        <v>2451</v>
      </c>
      <c r="W200">
        <v>18.282495117187501</v>
      </c>
      <c r="X200">
        <v>63.914434538531097</v>
      </c>
      <c r="Y200">
        <v>0.75858210606865994</v>
      </c>
      <c r="Z200" s="31">
        <v>1.87567995304126</v>
      </c>
      <c r="AA200">
        <v>5.2190554300899299</v>
      </c>
      <c r="AB200">
        <v>0.15759999999999999</v>
      </c>
      <c r="AC200">
        <v>331133.89612995298</v>
      </c>
      <c r="AD200">
        <v>378916.51734150521</v>
      </c>
      <c r="AE200">
        <v>1</v>
      </c>
      <c r="AF200">
        <v>14191.315124012841</v>
      </c>
      <c r="AG200">
        <v>319530.86601997231</v>
      </c>
    </row>
    <row r="201" spans="2:33" hidden="1" x14ac:dyDescent="0.25">
      <c r="B201">
        <v>4</v>
      </c>
      <c r="C201" t="s">
        <v>31</v>
      </c>
      <c r="D201" t="s">
        <v>28</v>
      </c>
      <c r="E201" t="s">
        <v>67</v>
      </c>
      <c r="F201">
        <v>193593</v>
      </c>
      <c r="G201">
        <v>193573</v>
      </c>
      <c r="H201">
        <v>53</v>
      </c>
      <c r="I201">
        <v>358</v>
      </c>
      <c r="J201">
        <v>6.2503882228709853E-2</v>
      </c>
      <c r="K201">
        <v>663449</v>
      </c>
      <c r="L201">
        <v>18630</v>
      </c>
      <c r="M201">
        <v>0</v>
      </c>
      <c r="N201">
        <v>15964</v>
      </c>
      <c r="O201" s="43">
        <v>22306748.546237759</v>
      </c>
      <c r="P201" s="14">
        <f t="shared" si="11"/>
        <v>541692.21986351907</v>
      </c>
      <c r="Q201" s="14" t="str">
        <f t="shared" si="9"/>
        <v/>
      </c>
      <c r="R201" s="14" t="str">
        <f t="shared" si="9"/>
        <v/>
      </c>
      <c r="S201" s="14" t="str">
        <f t="shared" si="10"/>
        <v/>
      </c>
      <c r="T201" s="14" t="s">
        <v>72</v>
      </c>
      <c r="U201" s="14">
        <v>1513.1067593953151</v>
      </c>
      <c r="V201">
        <v>2451</v>
      </c>
      <c r="W201">
        <v>21.245935058593702</v>
      </c>
      <c r="X201">
        <v>61.402714850304399</v>
      </c>
      <c r="Y201">
        <v>0.97473600833987795</v>
      </c>
      <c r="Z201" s="31">
        <v>1.92957179800361</v>
      </c>
      <c r="AA201">
        <v>1.66661551188715</v>
      </c>
      <c r="AB201">
        <v>0.15759999999999999</v>
      </c>
      <c r="AC201">
        <v>331133.89612995298</v>
      </c>
      <c r="AD201">
        <v>378916.51734150521</v>
      </c>
      <c r="AE201">
        <v>1</v>
      </c>
      <c r="AF201">
        <v>14191.315124012841</v>
      </c>
      <c r="AG201">
        <v>319530.86601997231</v>
      </c>
    </row>
    <row r="202" spans="2:33" hidden="1" x14ac:dyDescent="0.25">
      <c r="B202">
        <v>4</v>
      </c>
      <c r="C202" t="s">
        <v>31</v>
      </c>
      <c r="D202" t="s">
        <v>28</v>
      </c>
      <c r="E202" t="s">
        <v>67</v>
      </c>
      <c r="F202">
        <v>193628</v>
      </c>
      <c r="G202">
        <v>193573</v>
      </c>
      <c r="H202">
        <v>54</v>
      </c>
      <c r="I202">
        <v>94</v>
      </c>
      <c r="J202">
        <v>1.358780048450214E-2</v>
      </c>
      <c r="K202">
        <v>663449</v>
      </c>
      <c r="L202">
        <v>18630</v>
      </c>
      <c r="M202">
        <v>0</v>
      </c>
      <c r="N202">
        <v>15964</v>
      </c>
      <c r="O202" s="43">
        <v>22726864.951734241</v>
      </c>
      <c r="P202" s="14">
        <f t="shared" si="11"/>
        <v>420116.40549648181</v>
      </c>
      <c r="Q202" s="14" t="str">
        <f t="shared" si="9"/>
        <v/>
      </c>
      <c r="R202" s="14" t="str">
        <f t="shared" si="9"/>
        <v/>
      </c>
      <c r="S202" s="14" t="str">
        <f t="shared" si="10"/>
        <v/>
      </c>
      <c r="T202" s="14" t="s">
        <v>72</v>
      </c>
      <c r="U202" s="14">
        <v>4469.3234627284901</v>
      </c>
      <c r="V202">
        <v>2451</v>
      </c>
      <c r="W202">
        <v>23.575372314453102</v>
      </c>
      <c r="X202">
        <v>51.839208923330801</v>
      </c>
      <c r="Y202">
        <v>1.4009889321229001</v>
      </c>
      <c r="Z202" s="31">
        <v>1.12363765405271</v>
      </c>
      <c r="AA202">
        <v>3.2255085833138502</v>
      </c>
      <c r="AB202">
        <v>0.15759999999999999</v>
      </c>
      <c r="AC202">
        <v>331133.89612995298</v>
      </c>
      <c r="AD202">
        <v>378916.51734150521</v>
      </c>
      <c r="AE202">
        <v>1</v>
      </c>
      <c r="AF202">
        <v>14191.315124012841</v>
      </c>
      <c r="AG202">
        <v>319530.86601997231</v>
      </c>
    </row>
    <row r="203" spans="2:33" hidden="1" x14ac:dyDescent="0.25">
      <c r="B203">
        <v>4</v>
      </c>
      <c r="C203" t="s">
        <v>31</v>
      </c>
      <c r="D203" t="s">
        <v>28</v>
      </c>
      <c r="E203" t="s">
        <v>67</v>
      </c>
      <c r="F203">
        <v>193188</v>
      </c>
      <c r="G203">
        <v>193573</v>
      </c>
      <c r="H203">
        <v>55</v>
      </c>
      <c r="I203">
        <v>56</v>
      </c>
      <c r="J203">
        <v>0</v>
      </c>
      <c r="K203">
        <v>663449</v>
      </c>
      <c r="L203">
        <v>18630</v>
      </c>
      <c r="M203">
        <v>0</v>
      </c>
      <c r="N203">
        <v>15964</v>
      </c>
      <c r="O203" s="43">
        <v>22886582.399999999</v>
      </c>
      <c r="P203" s="14">
        <f t="shared" si="11"/>
        <v>159717.44826575741</v>
      </c>
      <c r="Q203" s="14" t="str">
        <f t="shared" si="9"/>
        <v/>
      </c>
      <c r="R203" s="14" t="str">
        <f t="shared" si="9"/>
        <v/>
      </c>
      <c r="S203" s="14" t="str">
        <f t="shared" si="10"/>
        <v/>
      </c>
      <c r="T203" s="14" t="s">
        <v>72</v>
      </c>
      <c r="U203" s="14">
        <v>2852.0972904600203</v>
      </c>
      <c r="V203">
        <v>2451</v>
      </c>
      <c r="W203">
        <v>20.496331787109401</v>
      </c>
      <c r="X203">
        <v>60.395890539686803</v>
      </c>
      <c r="Y203">
        <v>0.955218225164297</v>
      </c>
      <c r="Z203" s="31">
        <v>1.6434948585056199</v>
      </c>
      <c r="AA203">
        <v>8.0900669284265394</v>
      </c>
      <c r="AB203">
        <v>0.15759999999999999</v>
      </c>
      <c r="AC203">
        <v>331133.89612995298</v>
      </c>
      <c r="AD203">
        <v>378916.51734150521</v>
      </c>
      <c r="AE203">
        <v>1</v>
      </c>
      <c r="AF203">
        <v>14191.315124012841</v>
      </c>
      <c r="AG203">
        <v>319530.86601997231</v>
      </c>
    </row>
    <row r="204" spans="2:33" hidden="1" x14ac:dyDescent="0.25">
      <c r="B204">
        <v>4</v>
      </c>
      <c r="C204" t="s">
        <v>31</v>
      </c>
      <c r="D204" t="s">
        <v>28</v>
      </c>
      <c r="E204" t="s">
        <v>67</v>
      </c>
      <c r="F204">
        <v>193556</v>
      </c>
      <c r="G204">
        <v>193573</v>
      </c>
      <c r="H204">
        <v>56</v>
      </c>
      <c r="I204">
        <v>161</v>
      </c>
      <c r="J204">
        <v>0.1428660165227654</v>
      </c>
      <c r="K204">
        <v>663449</v>
      </c>
      <c r="L204">
        <v>18630</v>
      </c>
      <c r="M204">
        <v>0</v>
      </c>
      <c r="N204">
        <v>15964</v>
      </c>
      <c r="O204" s="43">
        <v>23229881.136</v>
      </c>
      <c r="P204" s="14">
        <f t="shared" si="11"/>
        <v>343298.73600000143</v>
      </c>
      <c r="Q204" s="14" t="str">
        <f t="shared" si="9"/>
        <v/>
      </c>
      <c r="R204" s="14" t="str">
        <f t="shared" si="9"/>
        <v/>
      </c>
      <c r="S204" s="14" t="str">
        <f t="shared" si="10"/>
        <v/>
      </c>
      <c r="T204" s="14" t="s">
        <v>72</v>
      </c>
      <c r="U204" s="14">
        <v>2132.2902857142712</v>
      </c>
      <c r="V204">
        <v>2451</v>
      </c>
      <c r="W204">
        <v>17.200891113281301</v>
      </c>
      <c r="X204">
        <v>66.466168258300698</v>
      </c>
      <c r="Y204">
        <v>0.65858146833990105</v>
      </c>
      <c r="Z204" s="31">
        <v>1.52366818857757</v>
      </c>
      <c r="AA204">
        <v>10.5397416920522</v>
      </c>
      <c r="AB204">
        <v>0.15759999999999999</v>
      </c>
      <c r="AC204">
        <v>331133.89612995298</v>
      </c>
      <c r="AD204">
        <v>378916.51734150521</v>
      </c>
      <c r="AE204">
        <v>1</v>
      </c>
      <c r="AF204">
        <v>14191.315124012841</v>
      </c>
      <c r="AG204">
        <v>319530.86601997231</v>
      </c>
    </row>
    <row r="205" spans="2:33" hidden="1" x14ac:dyDescent="0.25">
      <c r="B205">
        <v>4</v>
      </c>
      <c r="C205" t="s">
        <v>31</v>
      </c>
      <c r="D205" t="s">
        <v>28</v>
      </c>
      <c r="E205" t="s">
        <v>67</v>
      </c>
      <c r="F205">
        <v>193556</v>
      </c>
      <c r="G205">
        <v>193573</v>
      </c>
      <c r="H205">
        <v>57</v>
      </c>
      <c r="I205">
        <v>35</v>
      </c>
      <c r="J205">
        <v>0</v>
      </c>
      <c r="K205">
        <v>663449</v>
      </c>
      <c r="L205">
        <v>18630</v>
      </c>
      <c r="M205">
        <v>0</v>
      </c>
      <c r="N205">
        <v>15964</v>
      </c>
      <c r="O205" s="43">
        <v>23573179.872000001</v>
      </c>
      <c r="P205" s="14">
        <f t="shared" si="11"/>
        <v>343298.73600000143</v>
      </c>
      <c r="Q205" s="14" t="str">
        <f t="shared" si="9"/>
        <v/>
      </c>
      <c r="R205" s="14" t="str">
        <f t="shared" si="9"/>
        <v/>
      </c>
      <c r="S205" s="14" t="str">
        <f t="shared" si="10"/>
        <v/>
      </c>
      <c r="T205" s="14" t="s">
        <v>72</v>
      </c>
      <c r="U205" s="14">
        <v>9808.5353142857548</v>
      </c>
      <c r="V205">
        <v>2451</v>
      </c>
      <c r="W205">
        <v>18.727441406250001</v>
      </c>
      <c r="X205">
        <v>61.461948405344401</v>
      </c>
      <c r="Y205">
        <v>0.833005233682241</v>
      </c>
      <c r="Z205" s="31">
        <v>2.4581658135333302</v>
      </c>
      <c r="AA205">
        <v>16.076931912732899</v>
      </c>
      <c r="AB205">
        <v>0.15759999999999999</v>
      </c>
      <c r="AC205">
        <v>331133.89612995298</v>
      </c>
      <c r="AD205">
        <v>378916.51734150521</v>
      </c>
      <c r="AE205">
        <v>1</v>
      </c>
      <c r="AF205">
        <v>14191.315124012841</v>
      </c>
      <c r="AG205">
        <v>319530.86601997231</v>
      </c>
    </row>
    <row r="206" spans="2:33" hidden="1" x14ac:dyDescent="0.25">
      <c r="B206">
        <v>4</v>
      </c>
      <c r="C206" t="s">
        <v>31</v>
      </c>
      <c r="D206" t="s">
        <v>28</v>
      </c>
      <c r="E206" t="s">
        <v>67</v>
      </c>
      <c r="F206">
        <v>193556</v>
      </c>
      <c r="G206">
        <v>193573</v>
      </c>
      <c r="H206">
        <v>58</v>
      </c>
      <c r="I206">
        <v>-440</v>
      </c>
      <c r="J206">
        <v>0</v>
      </c>
      <c r="K206">
        <v>663449</v>
      </c>
      <c r="L206">
        <v>18630</v>
      </c>
      <c r="M206">
        <v>0</v>
      </c>
      <c r="N206">
        <v>15964</v>
      </c>
      <c r="O206" s="43">
        <v>23687612.784000002</v>
      </c>
      <c r="P206" s="14">
        <f t="shared" si="11"/>
        <v>114432.91200000048</v>
      </c>
      <c r="Q206" s="14" t="str">
        <f t="shared" si="9"/>
        <v/>
      </c>
      <c r="R206" s="14" t="str">
        <f t="shared" si="9"/>
        <v/>
      </c>
      <c r="S206" s="14" t="str">
        <f t="shared" si="10"/>
        <v/>
      </c>
      <c r="T206" s="14" t="s">
        <v>72</v>
      </c>
      <c r="U206" s="14">
        <v>-260.07480000000106</v>
      </c>
      <c r="V206">
        <v>2451</v>
      </c>
      <c r="W206">
        <v>11.0940185546875</v>
      </c>
      <c r="X206">
        <v>79.979572185202002</v>
      </c>
      <c r="Y206">
        <v>0.26486235373161798</v>
      </c>
      <c r="Z206" s="31">
        <v>2.98936219494249</v>
      </c>
      <c r="AA206">
        <v>13.616972895461601</v>
      </c>
      <c r="AB206">
        <v>0.15759999999999999</v>
      </c>
      <c r="AC206">
        <v>331133.89612995298</v>
      </c>
      <c r="AD206">
        <v>378916.51734150521</v>
      </c>
      <c r="AE206">
        <v>1</v>
      </c>
      <c r="AF206">
        <v>14191.315124012841</v>
      </c>
      <c r="AG206">
        <v>319530.86601997231</v>
      </c>
    </row>
    <row r="207" spans="2:33" hidden="1" x14ac:dyDescent="0.25">
      <c r="B207">
        <v>4</v>
      </c>
      <c r="C207" t="s">
        <v>31</v>
      </c>
      <c r="D207" t="s">
        <v>28</v>
      </c>
      <c r="E207" t="s">
        <v>67</v>
      </c>
      <c r="F207">
        <v>193556</v>
      </c>
      <c r="G207">
        <v>193573</v>
      </c>
      <c r="H207">
        <v>59</v>
      </c>
      <c r="I207" s="4">
        <v>368</v>
      </c>
      <c r="J207">
        <v>0</v>
      </c>
      <c r="K207">
        <v>663449</v>
      </c>
      <c r="L207">
        <v>18630</v>
      </c>
      <c r="M207">
        <v>0</v>
      </c>
      <c r="N207">
        <v>15964</v>
      </c>
      <c r="O207" s="43">
        <v>24030911.52</v>
      </c>
      <c r="P207" s="14">
        <f t="shared" si="11"/>
        <v>343298.73599999771</v>
      </c>
      <c r="Q207" s="14" t="str">
        <f t="shared" si="9"/>
        <v/>
      </c>
      <c r="R207" s="14" t="str">
        <f t="shared" si="9"/>
        <v/>
      </c>
      <c r="S207" s="14" t="str">
        <f t="shared" si="10"/>
        <v/>
      </c>
      <c r="T207" s="14" t="s">
        <v>72</v>
      </c>
      <c r="U207" s="14">
        <v>932.87700000000393</v>
      </c>
      <c r="V207">
        <v>2451</v>
      </c>
      <c r="W207">
        <v>11.940515136718799</v>
      </c>
      <c r="X207">
        <v>89.997774280960499</v>
      </c>
      <c r="Y207">
        <v>0.139923798804651</v>
      </c>
      <c r="Z207" s="31">
        <v>5.8239064263394598</v>
      </c>
      <c r="AA207">
        <v>25.386635859040702</v>
      </c>
      <c r="AB207">
        <v>0.15759999999999999</v>
      </c>
      <c r="AC207">
        <v>331133.89612995298</v>
      </c>
      <c r="AD207">
        <v>378916.51734150521</v>
      </c>
      <c r="AE207">
        <v>1</v>
      </c>
      <c r="AF207">
        <v>14191.315124012841</v>
      </c>
      <c r="AG207">
        <v>319530.86601997231</v>
      </c>
    </row>
    <row r="208" spans="2:33" hidden="1" x14ac:dyDescent="0.25">
      <c r="B208">
        <v>4</v>
      </c>
      <c r="C208" t="s">
        <v>31</v>
      </c>
      <c r="D208" t="s">
        <v>28</v>
      </c>
      <c r="E208" t="s">
        <v>67</v>
      </c>
      <c r="F208">
        <v>193573</v>
      </c>
      <c r="G208">
        <v>193573</v>
      </c>
      <c r="H208">
        <v>60</v>
      </c>
      <c r="I208" s="4">
        <v>0</v>
      </c>
      <c r="J208">
        <v>6.5997888067581834E-3</v>
      </c>
      <c r="K208">
        <v>663449</v>
      </c>
      <c r="L208">
        <v>18630</v>
      </c>
      <c r="M208">
        <v>0</v>
      </c>
      <c r="N208">
        <v>15964</v>
      </c>
      <c r="O208" s="43">
        <v>24374210.256000001</v>
      </c>
      <c r="P208" s="14">
        <f t="shared" si="11"/>
        <v>343298.73600000143</v>
      </c>
      <c r="Q208" s="14" t="str">
        <f t="shared" si="9"/>
        <v/>
      </c>
      <c r="R208" s="14" t="str">
        <f t="shared" si="9"/>
        <v/>
      </c>
      <c r="S208" s="14" t="str">
        <f t="shared" si="10"/>
        <v/>
      </c>
      <c r="T208" s="14" t="s">
        <v>72</v>
      </c>
      <c r="U208" s="14">
        <v>0</v>
      </c>
      <c r="V208">
        <v>2451</v>
      </c>
      <c r="W208">
        <v>13.420129394531299</v>
      </c>
      <c r="X208">
        <v>69.411919920795995</v>
      </c>
      <c r="Y208">
        <v>0.47146241262266297</v>
      </c>
      <c r="Z208" s="31">
        <v>1.56356783476271</v>
      </c>
      <c r="AA208">
        <v>11.446669085195399</v>
      </c>
      <c r="AB208">
        <v>0.15759999999999999</v>
      </c>
      <c r="AC208">
        <v>331133.89612995298</v>
      </c>
      <c r="AD208">
        <v>378916.51734150521</v>
      </c>
      <c r="AE208">
        <v>1</v>
      </c>
      <c r="AF208">
        <v>14191.315124012841</v>
      </c>
      <c r="AG208">
        <v>319530.86601997231</v>
      </c>
    </row>
    <row r="209" spans="2:33" hidden="1" x14ac:dyDescent="0.25">
      <c r="B209">
        <v>4</v>
      </c>
      <c r="C209" t="s">
        <v>31</v>
      </c>
      <c r="D209" t="s">
        <v>28</v>
      </c>
      <c r="E209" t="s">
        <v>67</v>
      </c>
      <c r="F209">
        <v>193573</v>
      </c>
      <c r="G209">
        <v>193573</v>
      </c>
      <c r="H209">
        <v>61</v>
      </c>
      <c r="I209" s="4">
        <v>0</v>
      </c>
      <c r="J209">
        <v>0</v>
      </c>
      <c r="K209">
        <v>663449</v>
      </c>
      <c r="L209">
        <v>18630</v>
      </c>
      <c r="M209">
        <v>0</v>
      </c>
      <c r="N209">
        <v>15964</v>
      </c>
      <c r="O209" s="43">
        <v>24488643.168000001</v>
      </c>
      <c r="P209" s="14">
        <f t="shared" si="11"/>
        <v>114432.91200000048</v>
      </c>
      <c r="Q209" s="14" t="str">
        <f t="shared" si="9"/>
        <v/>
      </c>
      <c r="R209" s="14" t="str">
        <f t="shared" si="9"/>
        <v/>
      </c>
      <c r="S209" s="14" t="str">
        <f t="shared" si="10"/>
        <v/>
      </c>
      <c r="T209" s="14" t="s">
        <v>72</v>
      </c>
      <c r="U209" s="14">
        <v>0</v>
      </c>
      <c r="V209">
        <v>2451</v>
      </c>
      <c r="W209">
        <v>13.452844238281299</v>
      </c>
      <c r="X209">
        <v>85.672757298060205</v>
      </c>
      <c r="Y209">
        <v>0.22127333639193</v>
      </c>
      <c r="Z209" s="31">
        <v>3.7284251717780399</v>
      </c>
      <c r="AA209">
        <v>24.273217929269698</v>
      </c>
      <c r="AB209">
        <v>0.15759999999999999</v>
      </c>
      <c r="AC209">
        <v>331133.89612995298</v>
      </c>
      <c r="AD209">
        <v>378916.51734150521</v>
      </c>
      <c r="AE209">
        <v>1</v>
      </c>
      <c r="AF209">
        <v>14191.315124012841</v>
      </c>
      <c r="AG209">
        <v>319530.86601997231</v>
      </c>
    </row>
    <row r="210" spans="2:33" hidden="1" x14ac:dyDescent="0.25">
      <c r="B210">
        <v>4</v>
      </c>
      <c r="C210" t="s">
        <v>31</v>
      </c>
      <c r="D210" t="s">
        <v>28</v>
      </c>
      <c r="E210" t="s">
        <v>67</v>
      </c>
      <c r="F210">
        <v>193573</v>
      </c>
      <c r="G210">
        <v>193573</v>
      </c>
      <c r="H210">
        <v>62</v>
      </c>
      <c r="I210" s="4">
        <v>0</v>
      </c>
      <c r="J210">
        <v>0</v>
      </c>
      <c r="K210">
        <v>663449</v>
      </c>
      <c r="L210">
        <v>18630</v>
      </c>
      <c r="M210">
        <v>0</v>
      </c>
      <c r="N210">
        <v>15964</v>
      </c>
      <c r="O210" s="43">
        <v>22526118.727200001</v>
      </c>
      <c r="P210" s="14">
        <f t="shared" si="11"/>
        <v>-1962524.4408</v>
      </c>
      <c r="Q210" s="14">
        <f t="shared" si="9"/>
        <v>-1962524.4408</v>
      </c>
      <c r="R210" s="14">
        <f t="shared" si="9"/>
        <v>-1962524.4408</v>
      </c>
      <c r="S210" s="14">
        <f t="shared" si="10"/>
        <v>3851502180737.3525</v>
      </c>
      <c r="T210" s="14">
        <v>3851502180737.3525</v>
      </c>
      <c r="U210" s="14">
        <v>0</v>
      </c>
      <c r="V210">
        <v>2451</v>
      </c>
      <c r="W210">
        <v>12.7708374023437</v>
      </c>
      <c r="X210">
        <v>73.123053546789507</v>
      </c>
      <c r="Y210">
        <v>0.39707733513392202</v>
      </c>
      <c r="Z210" s="31">
        <v>1.8288267472581701</v>
      </c>
      <c r="AA210">
        <v>17.281416326176402</v>
      </c>
      <c r="AB210">
        <v>0.15759999999999999</v>
      </c>
      <c r="AC210">
        <v>331133.89612995298</v>
      </c>
      <c r="AD210">
        <v>378916.51734150521</v>
      </c>
      <c r="AE210">
        <v>1</v>
      </c>
      <c r="AF210">
        <v>14191.315124012841</v>
      </c>
      <c r="AG210">
        <v>319530.86601997231</v>
      </c>
    </row>
    <row r="211" spans="2:33" hidden="1" x14ac:dyDescent="0.25">
      <c r="B211">
        <v>4</v>
      </c>
      <c r="C211" t="s">
        <v>31</v>
      </c>
      <c r="D211" t="s">
        <v>28</v>
      </c>
      <c r="E211" t="s">
        <v>67</v>
      </c>
      <c r="F211">
        <v>193573</v>
      </c>
      <c r="G211">
        <v>193573</v>
      </c>
      <c r="H211">
        <v>63</v>
      </c>
      <c r="I211" s="4">
        <v>17</v>
      </c>
      <c r="J211">
        <v>0</v>
      </c>
      <c r="K211">
        <v>663449</v>
      </c>
      <c r="L211">
        <v>18630</v>
      </c>
      <c r="M211">
        <v>0</v>
      </c>
      <c r="N211">
        <v>15964</v>
      </c>
      <c r="O211" s="43">
        <v>24866271.777600002</v>
      </c>
      <c r="P211" s="14">
        <f t="shared" si="11"/>
        <v>2340153.0504000001</v>
      </c>
      <c r="Q211" s="14" t="str">
        <f t="shared" si="9"/>
        <v/>
      </c>
      <c r="R211" s="14" t="str">
        <f t="shared" si="9"/>
        <v/>
      </c>
      <c r="S211" s="14" t="str">
        <f t="shared" si="10"/>
        <v/>
      </c>
      <c r="T211" s="14" t="s">
        <v>72</v>
      </c>
      <c r="U211" s="14">
        <v>137656.0617882353</v>
      </c>
      <c r="V211">
        <v>2451</v>
      </c>
      <c r="W211">
        <v>15.8130126953125</v>
      </c>
      <c r="X211">
        <v>54.7652532095765</v>
      </c>
      <c r="Y211">
        <v>0.81354342323982298</v>
      </c>
      <c r="Z211" s="31">
        <v>2.3417812823431898</v>
      </c>
      <c r="AA211">
        <v>14.8946428939506</v>
      </c>
      <c r="AB211">
        <v>0.15759999999999999</v>
      </c>
      <c r="AC211">
        <v>331133.89612995298</v>
      </c>
      <c r="AD211">
        <v>378916.51734150521</v>
      </c>
      <c r="AE211">
        <v>1</v>
      </c>
      <c r="AF211">
        <v>14191.315124012841</v>
      </c>
      <c r="AG211">
        <v>319530.86601997231</v>
      </c>
    </row>
    <row r="212" spans="2:33" hidden="1" x14ac:dyDescent="0.25">
      <c r="B212">
        <v>4</v>
      </c>
      <c r="C212" t="s">
        <v>31</v>
      </c>
      <c r="D212" t="s">
        <v>28</v>
      </c>
      <c r="E212" t="s">
        <v>67</v>
      </c>
      <c r="F212">
        <v>193573</v>
      </c>
      <c r="G212">
        <v>193573</v>
      </c>
      <c r="H212">
        <v>64</v>
      </c>
      <c r="I212" s="4">
        <v>0</v>
      </c>
      <c r="J212">
        <v>0</v>
      </c>
      <c r="K212">
        <v>663449</v>
      </c>
      <c r="L212">
        <v>18630</v>
      </c>
      <c r="M212">
        <v>0</v>
      </c>
      <c r="N212">
        <v>15964</v>
      </c>
      <c r="O212" s="43">
        <v>25221013.8048</v>
      </c>
      <c r="P212" s="14">
        <f t="shared" si="11"/>
        <v>354742.0271999985</v>
      </c>
      <c r="Q212" s="14" t="str">
        <f t="shared" si="9"/>
        <v/>
      </c>
      <c r="R212" s="14" t="str">
        <f t="shared" si="9"/>
        <v/>
      </c>
      <c r="S212" s="14" t="str">
        <f t="shared" si="10"/>
        <v/>
      </c>
      <c r="T212" s="14" t="s">
        <v>72</v>
      </c>
      <c r="U212" s="14">
        <v>0</v>
      </c>
      <c r="V212">
        <v>2451</v>
      </c>
      <c r="W212">
        <v>17.751245117187501</v>
      </c>
      <c r="X212">
        <v>67.801685952673694</v>
      </c>
      <c r="Y212">
        <v>0.65465086473521705</v>
      </c>
      <c r="Z212" s="31">
        <v>2.4006552480527801</v>
      </c>
      <c r="AA212">
        <v>21.876613242536401</v>
      </c>
      <c r="AB212">
        <v>0.15759999999999999</v>
      </c>
      <c r="AC212">
        <v>331133.89612995298</v>
      </c>
      <c r="AD212">
        <v>378916.51734150521</v>
      </c>
      <c r="AE212">
        <v>1</v>
      </c>
      <c r="AF212">
        <v>14191.315124012841</v>
      </c>
      <c r="AG212">
        <v>319530.86601997231</v>
      </c>
    </row>
    <row r="213" spans="2:33" hidden="1" x14ac:dyDescent="0.25">
      <c r="B213">
        <v>4</v>
      </c>
      <c r="C213" t="s">
        <v>31</v>
      </c>
      <c r="D213" t="s">
        <v>28</v>
      </c>
      <c r="E213" t="s">
        <v>67</v>
      </c>
      <c r="F213">
        <v>193573</v>
      </c>
      <c r="G213">
        <v>193573</v>
      </c>
      <c r="H213">
        <v>65</v>
      </c>
      <c r="I213" s="4">
        <v>0</v>
      </c>
      <c r="J213">
        <v>0</v>
      </c>
      <c r="K213">
        <v>663449</v>
      </c>
      <c r="L213">
        <v>18630</v>
      </c>
      <c r="M213">
        <v>0</v>
      </c>
      <c r="N213">
        <v>15964</v>
      </c>
      <c r="O213" s="43">
        <v>25221013.8048</v>
      </c>
      <c r="P213" s="14">
        <f t="shared" si="11"/>
        <v>0</v>
      </c>
      <c r="Q213" s="14" t="str">
        <f t="shared" si="9"/>
        <v/>
      </c>
      <c r="R213" s="14" t="str">
        <f t="shared" si="9"/>
        <v/>
      </c>
      <c r="S213" s="14" t="str">
        <f t="shared" si="10"/>
        <v/>
      </c>
      <c r="T213" s="14" t="s">
        <v>72</v>
      </c>
      <c r="U213" s="14">
        <v>0</v>
      </c>
      <c r="V213">
        <v>2451</v>
      </c>
      <c r="W213">
        <v>15.9026733398437</v>
      </c>
      <c r="X213">
        <v>60.930654664739897</v>
      </c>
      <c r="Y213">
        <v>0.70665492760240101</v>
      </c>
      <c r="Z213" s="31">
        <v>1.8293381873082899</v>
      </c>
      <c r="AA213">
        <v>16.611915069887601</v>
      </c>
      <c r="AB213">
        <v>0.15759999999999999</v>
      </c>
      <c r="AC213">
        <v>331133.89612995298</v>
      </c>
      <c r="AD213">
        <v>378916.51734150521</v>
      </c>
      <c r="AE213">
        <v>1</v>
      </c>
      <c r="AF213">
        <v>14191.315124012841</v>
      </c>
      <c r="AG213">
        <v>319530.86601997231</v>
      </c>
    </row>
    <row r="214" spans="2:33" hidden="1" x14ac:dyDescent="0.25">
      <c r="B214">
        <v>4</v>
      </c>
      <c r="C214" t="s">
        <v>31</v>
      </c>
      <c r="D214" t="s">
        <v>28</v>
      </c>
      <c r="E214" t="s">
        <v>67</v>
      </c>
      <c r="F214">
        <v>193573</v>
      </c>
      <c r="G214">
        <v>193573</v>
      </c>
      <c r="H214">
        <v>66</v>
      </c>
      <c r="I214" s="4">
        <v>0</v>
      </c>
      <c r="J214">
        <v>0</v>
      </c>
      <c r="K214">
        <v>663449</v>
      </c>
      <c r="L214">
        <v>18630</v>
      </c>
      <c r="M214">
        <v>0</v>
      </c>
      <c r="N214">
        <v>15964</v>
      </c>
      <c r="O214" s="43">
        <v>25495652.7936</v>
      </c>
      <c r="P214" s="14">
        <f t="shared" si="11"/>
        <v>274638.9888000004</v>
      </c>
      <c r="Q214" s="14" t="str">
        <f t="shared" si="9"/>
        <v/>
      </c>
      <c r="R214" s="14" t="str">
        <f t="shared" si="9"/>
        <v/>
      </c>
      <c r="S214" s="14" t="str">
        <f t="shared" si="10"/>
        <v/>
      </c>
      <c r="T214" s="14" t="s">
        <v>72</v>
      </c>
      <c r="U214" s="14">
        <v>0</v>
      </c>
      <c r="V214">
        <v>2451</v>
      </c>
      <c r="W214">
        <v>15.596643066406299</v>
      </c>
      <c r="X214">
        <v>84.352132431713898</v>
      </c>
      <c r="Y214">
        <v>0.27748758493269299</v>
      </c>
      <c r="Z214" s="31">
        <v>2.5637115727283701</v>
      </c>
      <c r="AA214">
        <v>19.305584062601501</v>
      </c>
      <c r="AB214">
        <v>0.15759999999999999</v>
      </c>
      <c r="AC214">
        <v>331133.89612995298</v>
      </c>
      <c r="AD214">
        <v>378916.51734150521</v>
      </c>
      <c r="AE214">
        <v>1</v>
      </c>
      <c r="AF214">
        <v>14191.315124012841</v>
      </c>
      <c r="AG214">
        <v>319530.86601997231</v>
      </c>
    </row>
    <row r="215" spans="2:33" hidden="1" x14ac:dyDescent="0.25">
      <c r="B215">
        <v>4</v>
      </c>
      <c r="C215" t="s">
        <v>31</v>
      </c>
      <c r="D215" t="s">
        <v>28</v>
      </c>
      <c r="E215" t="s">
        <v>67</v>
      </c>
      <c r="F215">
        <v>193573</v>
      </c>
      <c r="G215">
        <v>193573</v>
      </c>
      <c r="H215">
        <v>67</v>
      </c>
      <c r="I215" s="4">
        <v>0</v>
      </c>
      <c r="J215">
        <v>0</v>
      </c>
      <c r="K215">
        <v>663449</v>
      </c>
      <c r="L215">
        <v>18630</v>
      </c>
      <c r="M215">
        <v>0</v>
      </c>
      <c r="N215">
        <v>15964</v>
      </c>
      <c r="O215" s="43">
        <v>25518539.375999998</v>
      </c>
      <c r="P215" s="14">
        <f t="shared" si="11"/>
        <v>22886.58239999786</v>
      </c>
      <c r="Q215" s="14" t="str">
        <f t="shared" si="9"/>
        <v/>
      </c>
      <c r="R215" s="14" t="str">
        <f t="shared" si="9"/>
        <v/>
      </c>
      <c r="S215" s="14" t="str">
        <f t="shared" si="10"/>
        <v/>
      </c>
      <c r="T215" s="14" t="s">
        <v>72</v>
      </c>
      <c r="U215" s="14">
        <v>0</v>
      </c>
      <c r="V215">
        <v>2451</v>
      </c>
      <c r="W215">
        <v>13.316125488281299</v>
      </c>
      <c r="X215">
        <v>71.242783147068096</v>
      </c>
      <c r="Y215">
        <v>0.44024772921010102</v>
      </c>
      <c r="Z215" s="31">
        <v>2.2185135807441601</v>
      </c>
      <c r="AA215">
        <v>19.3292013493074</v>
      </c>
      <c r="AB215">
        <v>0.15759999999999999</v>
      </c>
      <c r="AC215">
        <v>331133.89612995298</v>
      </c>
      <c r="AD215">
        <v>378916.51734150521</v>
      </c>
      <c r="AE215">
        <v>1</v>
      </c>
      <c r="AF215">
        <v>14191.315124012841</v>
      </c>
      <c r="AG215">
        <v>319530.86601997231</v>
      </c>
    </row>
    <row r="216" spans="2:33" hidden="1" x14ac:dyDescent="0.25">
      <c r="B216">
        <v>4</v>
      </c>
      <c r="C216" t="s">
        <v>31</v>
      </c>
      <c r="D216" t="s">
        <v>28</v>
      </c>
      <c r="E216" t="s">
        <v>67</v>
      </c>
      <c r="G216">
        <v>193573</v>
      </c>
      <c r="H216">
        <v>68</v>
      </c>
      <c r="I216" s="4">
        <v>0</v>
      </c>
      <c r="J216">
        <v>0</v>
      </c>
      <c r="K216">
        <v>663449</v>
      </c>
      <c r="L216">
        <v>18630</v>
      </c>
      <c r="M216">
        <v>0</v>
      </c>
      <c r="N216">
        <v>15964</v>
      </c>
      <c r="O216" s="43">
        <v>25518539.375999998</v>
      </c>
      <c r="P216" s="14">
        <f t="shared" si="11"/>
        <v>0</v>
      </c>
      <c r="Q216" s="14" t="str">
        <f t="shared" si="9"/>
        <v/>
      </c>
      <c r="R216" s="14" t="str">
        <f t="shared" si="9"/>
        <v/>
      </c>
      <c r="S216" s="14" t="str">
        <f t="shared" si="10"/>
        <v/>
      </c>
      <c r="T216" s="14" t="s">
        <v>72</v>
      </c>
      <c r="U216" s="14">
        <v>0</v>
      </c>
      <c r="V216">
        <v>2451</v>
      </c>
      <c r="W216">
        <v>13.8398681640625</v>
      </c>
      <c r="X216">
        <v>67.688225936159299</v>
      </c>
      <c r="Y216">
        <v>0.51179793629350401</v>
      </c>
      <c r="Z216" s="31">
        <v>1.7465356154615701</v>
      </c>
      <c r="AA216">
        <v>19.59048461838</v>
      </c>
      <c r="AB216">
        <v>0.15759999999999999</v>
      </c>
      <c r="AC216">
        <v>331133.89612995298</v>
      </c>
      <c r="AD216">
        <v>378916.51734150521</v>
      </c>
      <c r="AE216">
        <v>1</v>
      </c>
      <c r="AF216">
        <v>14191.315124012841</v>
      </c>
      <c r="AG216">
        <v>319530.86601997231</v>
      </c>
    </row>
    <row r="217" spans="2:33" hidden="1" x14ac:dyDescent="0.25">
      <c r="B217">
        <v>4</v>
      </c>
      <c r="C217" t="s">
        <v>31</v>
      </c>
      <c r="D217" t="s">
        <v>28</v>
      </c>
      <c r="E217" t="s">
        <v>67</v>
      </c>
      <c r="G217">
        <v>193573</v>
      </c>
      <c r="H217">
        <v>69</v>
      </c>
      <c r="I217" s="4">
        <v>0</v>
      </c>
      <c r="J217">
        <v>0</v>
      </c>
      <c r="K217">
        <v>663449</v>
      </c>
      <c r="L217">
        <v>18630</v>
      </c>
      <c r="M217">
        <v>0</v>
      </c>
      <c r="N217">
        <v>15964</v>
      </c>
      <c r="O217" s="43">
        <v>25518539.375999998</v>
      </c>
      <c r="P217" s="14">
        <f t="shared" si="11"/>
        <v>0</v>
      </c>
      <c r="Q217" s="14" t="str">
        <f t="shared" si="9"/>
        <v/>
      </c>
      <c r="R217" s="14" t="str">
        <f t="shared" si="9"/>
        <v/>
      </c>
      <c r="S217" s="14" t="str">
        <f t="shared" si="10"/>
        <v/>
      </c>
      <c r="T217" s="14" t="s">
        <v>72</v>
      </c>
      <c r="U217" s="14">
        <v>0</v>
      </c>
      <c r="V217">
        <v>2451</v>
      </c>
      <c r="W217">
        <v>9.4479003906250192</v>
      </c>
      <c r="X217">
        <v>65.778639315521602</v>
      </c>
      <c r="Y217">
        <v>0.40567236049715899</v>
      </c>
      <c r="Z217" s="31">
        <v>2.8200187058693098</v>
      </c>
      <c r="AA217">
        <v>12.164245760784899</v>
      </c>
      <c r="AB217">
        <v>0.15759999999999999</v>
      </c>
      <c r="AC217">
        <v>331133.89612995298</v>
      </c>
      <c r="AD217">
        <v>378916.51734150521</v>
      </c>
      <c r="AE217">
        <v>1</v>
      </c>
      <c r="AF217">
        <v>14191.315124012841</v>
      </c>
      <c r="AG217">
        <v>319530.86601997231</v>
      </c>
    </row>
    <row r="218" spans="2:33" hidden="1" x14ac:dyDescent="0.25">
      <c r="B218">
        <v>4</v>
      </c>
      <c r="C218" t="s">
        <v>31</v>
      </c>
      <c r="D218" t="s">
        <v>28</v>
      </c>
      <c r="E218" t="s">
        <v>67</v>
      </c>
      <c r="F218">
        <v>193573</v>
      </c>
      <c r="G218">
        <v>193573</v>
      </c>
      <c r="H218">
        <v>70</v>
      </c>
      <c r="I218" s="4">
        <v>0</v>
      </c>
      <c r="J218">
        <v>0</v>
      </c>
      <c r="K218">
        <v>663449</v>
      </c>
      <c r="L218">
        <v>18630</v>
      </c>
      <c r="M218">
        <v>0</v>
      </c>
      <c r="N218">
        <v>15964</v>
      </c>
      <c r="O218" s="43">
        <v>25547147.603999998</v>
      </c>
      <c r="P218" s="14">
        <f t="shared" si="11"/>
        <v>28608.228000000119</v>
      </c>
      <c r="Q218" s="14" t="str">
        <f t="shared" si="9"/>
        <v/>
      </c>
      <c r="R218" s="14" t="str">
        <f t="shared" si="9"/>
        <v/>
      </c>
      <c r="S218" s="14" t="str">
        <f t="shared" si="10"/>
        <v/>
      </c>
      <c r="T218" s="14" t="s">
        <v>72</v>
      </c>
      <c r="U218" s="14">
        <v>0</v>
      </c>
      <c r="V218">
        <v>2451</v>
      </c>
      <c r="W218">
        <v>10.818505859375</v>
      </c>
      <c r="X218">
        <v>54.986513237950398</v>
      </c>
      <c r="Y218">
        <v>0.58477526399242996</v>
      </c>
      <c r="Z218" s="31">
        <v>2.3965737350754401</v>
      </c>
      <c r="AA218">
        <v>12.1202034596022</v>
      </c>
      <c r="AB218">
        <v>0.15759999999999999</v>
      </c>
      <c r="AC218">
        <v>331133.89612995298</v>
      </c>
      <c r="AD218">
        <v>378916.51734150521</v>
      </c>
      <c r="AE218">
        <v>1</v>
      </c>
      <c r="AF218">
        <v>14191.315124012841</v>
      </c>
      <c r="AG218">
        <v>319530.86601997231</v>
      </c>
    </row>
    <row r="219" spans="2:33" hidden="1" x14ac:dyDescent="0.25">
      <c r="B219">
        <v>4</v>
      </c>
      <c r="C219" t="s">
        <v>31</v>
      </c>
      <c r="D219" t="s">
        <v>28</v>
      </c>
      <c r="E219" t="s">
        <v>67</v>
      </c>
      <c r="G219">
        <v>193573</v>
      </c>
      <c r="H219">
        <v>71</v>
      </c>
      <c r="I219" s="4">
        <v>0</v>
      </c>
      <c r="J219">
        <v>0</v>
      </c>
      <c r="K219">
        <v>663449</v>
      </c>
      <c r="L219">
        <v>18630</v>
      </c>
      <c r="M219">
        <v>0</v>
      </c>
      <c r="N219">
        <v>15964</v>
      </c>
      <c r="O219" s="43">
        <v>25547147.603999998</v>
      </c>
      <c r="P219" s="14">
        <f t="shared" si="11"/>
        <v>0</v>
      </c>
      <c r="Q219" s="14" t="str">
        <f t="shared" si="9"/>
        <v/>
      </c>
      <c r="R219" s="14" t="str">
        <f t="shared" si="9"/>
        <v/>
      </c>
      <c r="S219" s="14" t="str">
        <f t="shared" si="10"/>
        <v/>
      </c>
      <c r="T219" s="14" t="s">
        <v>72</v>
      </c>
      <c r="U219" s="14">
        <v>0</v>
      </c>
      <c r="V219">
        <v>2451</v>
      </c>
      <c r="W219">
        <v>8.7355590820312692</v>
      </c>
      <c r="X219">
        <v>82.918363767100303</v>
      </c>
      <c r="Y219">
        <v>0.19299908854601999</v>
      </c>
      <c r="Z219" s="31">
        <v>3.2524373185553399</v>
      </c>
      <c r="AA219">
        <v>19.2743809367546</v>
      </c>
      <c r="AB219">
        <v>0.15759999999999999</v>
      </c>
      <c r="AC219">
        <v>331133.89612995298</v>
      </c>
      <c r="AD219">
        <v>378916.51734150521</v>
      </c>
      <c r="AE219">
        <v>1</v>
      </c>
      <c r="AF219">
        <v>14191.315124012841</v>
      </c>
      <c r="AG219">
        <v>319530.86601997231</v>
      </c>
    </row>
    <row r="220" spans="2:33" hidden="1" x14ac:dyDescent="0.25">
      <c r="B220">
        <v>4</v>
      </c>
      <c r="C220" t="s">
        <v>31</v>
      </c>
      <c r="D220" t="s">
        <v>28</v>
      </c>
      <c r="E220" t="s">
        <v>67</v>
      </c>
      <c r="G220">
        <v>193573</v>
      </c>
      <c r="H220">
        <v>72</v>
      </c>
      <c r="I220" s="4">
        <v>0</v>
      </c>
      <c r="J220">
        <v>0</v>
      </c>
      <c r="K220">
        <v>663449</v>
      </c>
      <c r="L220">
        <v>18630</v>
      </c>
      <c r="M220">
        <v>0</v>
      </c>
      <c r="N220">
        <v>15964</v>
      </c>
      <c r="O220" s="43">
        <v>25547147.603999998</v>
      </c>
      <c r="P220" s="14">
        <f t="shared" si="11"/>
        <v>0</v>
      </c>
      <c r="Q220" s="14" t="str">
        <f t="shared" si="9"/>
        <v/>
      </c>
      <c r="R220" s="14" t="str">
        <f t="shared" si="9"/>
        <v/>
      </c>
      <c r="S220" s="14" t="str">
        <f t="shared" si="10"/>
        <v/>
      </c>
      <c r="T220" s="14" t="s">
        <v>72</v>
      </c>
      <c r="U220" s="14">
        <v>0</v>
      </c>
      <c r="V220">
        <v>2451</v>
      </c>
      <c r="W220">
        <v>9.2796875000000192</v>
      </c>
      <c r="X220">
        <v>70.726237673527393</v>
      </c>
      <c r="Y220">
        <v>0.34311765935278399</v>
      </c>
      <c r="Z220" s="31">
        <v>2.1280607173978101</v>
      </c>
      <c r="AA220">
        <v>17.455302590133801</v>
      </c>
      <c r="AB220">
        <v>0.15759999999999999</v>
      </c>
      <c r="AC220">
        <v>331133.89612995298</v>
      </c>
      <c r="AD220">
        <v>378916.51734150521</v>
      </c>
      <c r="AE220">
        <v>1</v>
      </c>
      <c r="AF220">
        <v>14191.315124012841</v>
      </c>
      <c r="AG220">
        <v>319530.86601997231</v>
      </c>
    </row>
    <row r="221" spans="2:33" hidden="1" x14ac:dyDescent="0.25">
      <c r="B221">
        <v>4</v>
      </c>
      <c r="C221" t="s">
        <v>31</v>
      </c>
      <c r="D221" t="s">
        <v>28</v>
      </c>
      <c r="E221" t="s">
        <v>67</v>
      </c>
      <c r="G221">
        <v>193573</v>
      </c>
      <c r="H221">
        <v>73</v>
      </c>
      <c r="I221" s="4">
        <v>0</v>
      </c>
      <c r="J221">
        <v>0</v>
      </c>
      <c r="K221">
        <v>663449</v>
      </c>
      <c r="L221">
        <v>18630</v>
      </c>
      <c r="M221">
        <v>0</v>
      </c>
      <c r="N221">
        <v>15964</v>
      </c>
      <c r="O221" s="43">
        <v>25547147.603999998</v>
      </c>
      <c r="P221" s="14">
        <f t="shared" si="11"/>
        <v>0</v>
      </c>
      <c r="Q221" s="14" t="str">
        <f t="shared" si="9"/>
        <v/>
      </c>
      <c r="R221" s="14" t="str">
        <f t="shared" si="9"/>
        <v/>
      </c>
      <c r="S221" s="14" t="str">
        <f t="shared" si="10"/>
        <v/>
      </c>
      <c r="T221" s="14" t="s">
        <v>72</v>
      </c>
      <c r="U221" s="14">
        <v>0</v>
      </c>
      <c r="V221">
        <v>2451</v>
      </c>
      <c r="W221">
        <v>5.0001464843750201</v>
      </c>
      <c r="X221">
        <v>35.147056540955198</v>
      </c>
      <c r="Y221">
        <v>0.56699319208167298</v>
      </c>
      <c r="Z221" s="31">
        <v>2.6271909428834102</v>
      </c>
      <c r="AA221">
        <v>15.7299872101884</v>
      </c>
      <c r="AB221">
        <v>0.15759999999999999</v>
      </c>
      <c r="AC221">
        <v>331133.89612995298</v>
      </c>
      <c r="AD221">
        <v>378916.51734150521</v>
      </c>
      <c r="AE221">
        <v>1</v>
      </c>
      <c r="AF221">
        <v>14191.315124012841</v>
      </c>
      <c r="AG221">
        <v>319530.86601997231</v>
      </c>
    </row>
    <row r="222" spans="2:33" hidden="1" x14ac:dyDescent="0.25">
      <c r="B222">
        <v>4</v>
      </c>
      <c r="C222" t="s">
        <v>31</v>
      </c>
      <c r="D222" t="s">
        <v>28</v>
      </c>
      <c r="E222" t="s">
        <v>67</v>
      </c>
      <c r="F222">
        <v>193573</v>
      </c>
      <c r="G222">
        <v>193573</v>
      </c>
      <c r="H222">
        <v>74</v>
      </c>
      <c r="I222" s="4">
        <v>0</v>
      </c>
      <c r="J222">
        <v>0</v>
      </c>
      <c r="K222">
        <v>663449</v>
      </c>
      <c r="L222">
        <v>18630</v>
      </c>
      <c r="M222">
        <v>0</v>
      </c>
      <c r="N222">
        <v>15964</v>
      </c>
      <c r="O222" s="43">
        <v>26319569.760000002</v>
      </c>
      <c r="P222" s="14">
        <f t="shared" si="11"/>
        <v>772422.15600000322</v>
      </c>
      <c r="Q222" s="14" t="str">
        <f t="shared" si="9"/>
        <v/>
      </c>
      <c r="R222" s="14" t="str">
        <f t="shared" si="9"/>
        <v/>
      </c>
      <c r="S222" s="14" t="str">
        <f t="shared" si="10"/>
        <v/>
      </c>
      <c r="T222" s="14" t="s">
        <v>72</v>
      </c>
      <c r="U222" s="14">
        <v>0</v>
      </c>
      <c r="V222">
        <v>2451</v>
      </c>
      <c r="W222">
        <v>9.6358886718750192</v>
      </c>
      <c r="X222">
        <v>50.523347669380499</v>
      </c>
      <c r="Y222">
        <v>0.593963689230115</v>
      </c>
      <c r="Z222" s="31">
        <v>1.3965445893984101</v>
      </c>
      <c r="AA222">
        <v>15.888266094131</v>
      </c>
      <c r="AB222">
        <v>0.15759999999999999</v>
      </c>
      <c r="AC222">
        <v>331133.89612995298</v>
      </c>
      <c r="AD222">
        <v>378916.51734150521</v>
      </c>
      <c r="AE222">
        <v>1</v>
      </c>
      <c r="AF222">
        <v>14191.315124012841</v>
      </c>
      <c r="AG222">
        <v>319530.86601997231</v>
      </c>
    </row>
    <row r="223" spans="2:33" hidden="1" x14ac:dyDescent="0.25">
      <c r="B223">
        <v>4</v>
      </c>
      <c r="C223" t="s">
        <v>31</v>
      </c>
      <c r="D223" t="s">
        <v>28</v>
      </c>
      <c r="E223" t="s">
        <v>67</v>
      </c>
      <c r="F223">
        <v>193573</v>
      </c>
      <c r="G223">
        <v>193573</v>
      </c>
      <c r="H223">
        <v>75</v>
      </c>
      <c r="I223" s="4">
        <v>0</v>
      </c>
      <c r="J223">
        <v>0</v>
      </c>
      <c r="K223">
        <v>663449</v>
      </c>
      <c r="L223">
        <v>18630</v>
      </c>
      <c r="M223">
        <v>0</v>
      </c>
      <c r="N223">
        <v>15964</v>
      </c>
      <c r="O223" s="43">
        <v>26319569.760000002</v>
      </c>
      <c r="P223" s="14">
        <f t="shared" si="11"/>
        <v>0</v>
      </c>
      <c r="Q223" s="14" t="str">
        <f t="shared" si="9"/>
        <v/>
      </c>
      <c r="R223" s="14" t="str">
        <f t="shared" si="9"/>
        <v/>
      </c>
      <c r="S223" s="14" t="str">
        <f t="shared" si="10"/>
        <v/>
      </c>
      <c r="T223" s="14" t="s">
        <v>72</v>
      </c>
      <c r="U223" s="14">
        <v>0</v>
      </c>
      <c r="V223">
        <v>2451</v>
      </c>
      <c r="W223">
        <v>12.218408203125</v>
      </c>
      <c r="X223">
        <v>66.406971087927701</v>
      </c>
      <c r="Y223">
        <v>0.478673442819046</v>
      </c>
      <c r="Z223" s="31">
        <v>1.2540653751134101</v>
      </c>
      <c r="AA223">
        <v>9.7811118836847193</v>
      </c>
      <c r="AB223">
        <v>0.15759999999999999</v>
      </c>
      <c r="AC223">
        <v>331133.89612995298</v>
      </c>
      <c r="AD223">
        <v>378916.51734150521</v>
      </c>
      <c r="AE223">
        <v>1</v>
      </c>
      <c r="AF223">
        <v>14191.315124012841</v>
      </c>
      <c r="AG223">
        <v>319530.86601997231</v>
      </c>
    </row>
    <row r="224" spans="2:33" hidden="1" x14ac:dyDescent="0.25">
      <c r="B224">
        <v>4</v>
      </c>
      <c r="C224" t="s">
        <v>31</v>
      </c>
      <c r="D224" t="s">
        <v>28</v>
      </c>
      <c r="E224" t="s">
        <v>67</v>
      </c>
      <c r="F224">
        <v>193573</v>
      </c>
      <c r="G224">
        <v>193573</v>
      </c>
      <c r="H224">
        <v>76</v>
      </c>
      <c r="I224" s="4">
        <v>0</v>
      </c>
      <c r="J224">
        <v>0</v>
      </c>
      <c r="K224">
        <v>663449</v>
      </c>
      <c r="L224">
        <v>18630</v>
      </c>
      <c r="M224">
        <v>0</v>
      </c>
      <c r="N224">
        <v>15964</v>
      </c>
      <c r="O224" s="43">
        <v>34145094.199677117</v>
      </c>
      <c r="P224" s="14">
        <f t="shared" si="11"/>
        <v>7825524.4396771155</v>
      </c>
      <c r="Q224" s="14" t="str">
        <f t="shared" si="9"/>
        <v/>
      </c>
      <c r="R224" s="14" t="str">
        <f t="shared" si="9"/>
        <v/>
      </c>
      <c r="S224" s="14" t="str">
        <f t="shared" si="10"/>
        <v/>
      </c>
      <c r="T224" s="14" t="s">
        <v>72</v>
      </c>
      <c r="U224" s="14">
        <v>0</v>
      </c>
      <c r="V224">
        <v>2451</v>
      </c>
      <c r="W224">
        <v>15.245263671875</v>
      </c>
      <c r="X224">
        <v>72.756510871452704</v>
      </c>
      <c r="Y224">
        <v>0.47242298743456201</v>
      </c>
      <c r="Z224" s="31">
        <v>1.04505859543413</v>
      </c>
      <c r="AA224">
        <v>8.5845582118310393</v>
      </c>
      <c r="AB224">
        <v>0.15759999999999999</v>
      </c>
      <c r="AC224">
        <v>331133.89612995298</v>
      </c>
      <c r="AD224">
        <v>378916.51734150521</v>
      </c>
      <c r="AE224">
        <v>1</v>
      </c>
      <c r="AF224">
        <v>14191.315124012841</v>
      </c>
      <c r="AG224">
        <v>319530.86601997231</v>
      </c>
    </row>
    <row r="225" spans="1:33" hidden="1" x14ac:dyDescent="0.25">
      <c r="A225" t="s">
        <v>100</v>
      </c>
      <c r="B225">
        <v>5</v>
      </c>
      <c r="C225" t="s">
        <v>32</v>
      </c>
      <c r="D225" t="s">
        <v>33</v>
      </c>
      <c r="E225" t="s">
        <v>67</v>
      </c>
      <c r="F225">
        <v>1708</v>
      </c>
      <c r="G225">
        <v>119589</v>
      </c>
      <c r="H225">
        <v>1</v>
      </c>
      <c r="I225" s="4">
        <v>0</v>
      </c>
      <c r="J225">
        <v>0.52844325146961679</v>
      </c>
      <c r="K225">
        <v>14230</v>
      </c>
      <c r="L225">
        <v>293147</v>
      </c>
      <c r="M225">
        <v>79396</v>
      </c>
      <c r="N225">
        <v>154721</v>
      </c>
      <c r="O225" s="43">
        <v>1144329.1200000001</v>
      </c>
      <c r="P225" s="14">
        <v>0</v>
      </c>
      <c r="Q225" s="14" t="str">
        <f t="shared" si="9"/>
        <v/>
      </c>
      <c r="R225" s="14" t="str">
        <f t="shared" si="9"/>
        <v/>
      </c>
      <c r="S225" s="14" t="str">
        <f t="shared" si="10"/>
        <v/>
      </c>
      <c r="T225" s="14" t="s">
        <v>72</v>
      </c>
      <c r="U225" s="14">
        <v>0</v>
      </c>
      <c r="V225">
        <v>5761</v>
      </c>
      <c r="W225">
        <v>29.939050292968801</v>
      </c>
      <c r="X225">
        <v>13.492975601901099</v>
      </c>
      <c r="Y225">
        <v>3.6587592318955302</v>
      </c>
      <c r="Z225" s="31">
        <v>3.7663687633309801</v>
      </c>
      <c r="AA225">
        <v>8.0384186332129008</v>
      </c>
      <c r="AB225">
        <v>0.06</v>
      </c>
      <c r="AC225">
        <v>240731.26419698299</v>
      </c>
      <c r="AD225">
        <v>275468.78562060773</v>
      </c>
      <c r="AE225">
        <v>1</v>
      </c>
      <c r="AF225">
        <v>283458.37175520422</v>
      </c>
      <c r="AG225">
        <v>1170134.9344832429</v>
      </c>
    </row>
    <row r="226" spans="1:33" hidden="1" x14ac:dyDescent="0.25">
      <c r="B226">
        <v>5</v>
      </c>
      <c r="C226" t="s">
        <v>32</v>
      </c>
      <c r="D226" t="s">
        <v>33</v>
      </c>
      <c r="E226" t="s">
        <v>67</v>
      </c>
      <c r="F226">
        <v>2547</v>
      </c>
      <c r="G226">
        <v>119589</v>
      </c>
      <c r="H226">
        <v>2</v>
      </c>
      <c r="I226" s="4">
        <v>0</v>
      </c>
      <c r="J226">
        <v>0.25958073066920873</v>
      </c>
      <c r="K226">
        <v>14230</v>
      </c>
      <c r="L226">
        <v>293147</v>
      </c>
      <c r="M226">
        <v>79396</v>
      </c>
      <c r="N226">
        <v>154721</v>
      </c>
      <c r="O226" s="43">
        <v>1716493.68</v>
      </c>
      <c r="P226" s="14">
        <f t="shared" si="11"/>
        <v>572164.55999999982</v>
      </c>
      <c r="Q226" s="14" t="str">
        <f t="shared" si="9"/>
        <v/>
      </c>
      <c r="R226" s="14" t="str">
        <f t="shared" si="9"/>
        <v/>
      </c>
      <c r="S226" s="14" t="str">
        <f t="shared" si="10"/>
        <v/>
      </c>
      <c r="T226" s="14" t="s">
        <v>72</v>
      </c>
      <c r="U226" s="14">
        <v>0</v>
      </c>
      <c r="V226">
        <v>5761</v>
      </c>
      <c r="W226">
        <v>29.964959716796901</v>
      </c>
      <c r="X226">
        <v>19.259889378817299</v>
      </c>
      <c r="Y226">
        <v>3.41954593762798</v>
      </c>
      <c r="Z226" s="31">
        <v>5.4923532839171498</v>
      </c>
      <c r="AA226">
        <v>9.6726742939661907</v>
      </c>
      <c r="AB226">
        <v>0.06</v>
      </c>
      <c r="AC226">
        <v>240731.26419698299</v>
      </c>
      <c r="AD226">
        <v>275468.78562060773</v>
      </c>
      <c r="AE226">
        <v>1</v>
      </c>
      <c r="AF226">
        <v>283458.37175520422</v>
      </c>
      <c r="AG226">
        <v>1170134.9344832429</v>
      </c>
    </row>
    <row r="227" spans="1:33" hidden="1" x14ac:dyDescent="0.25">
      <c r="B227">
        <v>5</v>
      </c>
      <c r="C227" t="s">
        <v>32</v>
      </c>
      <c r="D227" t="s">
        <v>33</v>
      </c>
      <c r="E227" t="s">
        <v>67</v>
      </c>
      <c r="F227">
        <v>3266</v>
      </c>
      <c r="G227">
        <v>119589</v>
      </c>
      <c r="H227">
        <v>3</v>
      </c>
      <c r="I227" s="4">
        <v>0</v>
      </c>
      <c r="J227">
        <v>0.22245357014441131</v>
      </c>
      <c r="K227">
        <v>14230</v>
      </c>
      <c r="L227">
        <v>293147</v>
      </c>
      <c r="M227">
        <v>79396</v>
      </c>
      <c r="N227">
        <v>154721</v>
      </c>
      <c r="O227" s="43">
        <v>3431082.0520151998</v>
      </c>
      <c r="P227" s="14">
        <f t="shared" si="11"/>
        <v>1714588.3720151999</v>
      </c>
      <c r="Q227" s="14" t="str">
        <f t="shared" si="9"/>
        <v/>
      </c>
      <c r="R227" s="14" t="str">
        <f t="shared" si="9"/>
        <v/>
      </c>
      <c r="S227" s="14" t="str">
        <f t="shared" si="10"/>
        <v/>
      </c>
      <c r="T227" s="14" t="s">
        <v>72</v>
      </c>
      <c r="U227" s="14">
        <v>0</v>
      </c>
      <c r="V227">
        <v>5761</v>
      </c>
      <c r="W227">
        <v>26.856042480468801</v>
      </c>
      <c r="X227">
        <v>14.643751801626999</v>
      </c>
      <c r="Y227">
        <v>3.0189049412417401</v>
      </c>
      <c r="Z227" s="31">
        <v>6.1799699660973104</v>
      </c>
      <c r="AA227">
        <v>11.1153417333497</v>
      </c>
      <c r="AB227">
        <v>0.06</v>
      </c>
      <c r="AC227">
        <v>240731.26419698299</v>
      </c>
      <c r="AD227">
        <v>275468.78562060773</v>
      </c>
      <c r="AE227">
        <v>1</v>
      </c>
      <c r="AF227">
        <v>283458.37175520422</v>
      </c>
      <c r="AG227">
        <v>1170134.9344832429</v>
      </c>
    </row>
    <row r="228" spans="1:33" hidden="1" x14ac:dyDescent="0.25">
      <c r="B228">
        <v>5</v>
      </c>
      <c r="C228" t="s">
        <v>32</v>
      </c>
      <c r="D228" t="s">
        <v>33</v>
      </c>
      <c r="E228" t="s">
        <v>67</v>
      </c>
      <c r="F228">
        <v>4995</v>
      </c>
      <c r="G228">
        <v>119589</v>
      </c>
      <c r="H228">
        <v>4</v>
      </c>
      <c r="I228">
        <v>1708</v>
      </c>
      <c r="J228">
        <v>0.53494050456145625</v>
      </c>
      <c r="K228">
        <v>14230</v>
      </c>
      <c r="L228">
        <v>293147</v>
      </c>
      <c r="M228">
        <v>79396</v>
      </c>
      <c r="N228">
        <v>154721</v>
      </c>
      <c r="O228" s="43">
        <v>4172936.888561761</v>
      </c>
      <c r="P228" s="14">
        <f t="shared" si="11"/>
        <v>741854.83654656122</v>
      </c>
      <c r="Q228" s="14" t="str">
        <f t="shared" si="9"/>
        <v/>
      </c>
      <c r="R228" s="14" t="str">
        <f t="shared" si="9"/>
        <v/>
      </c>
      <c r="S228" s="14" t="str">
        <f t="shared" si="10"/>
        <v/>
      </c>
      <c r="T228" s="14" t="s">
        <v>72</v>
      </c>
      <c r="U228" s="14">
        <v>434.34123919587836</v>
      </c>
      <c r="V228">
        <v>5761</v>
      </c>
      <c r="W228">
        <v>29.971704101562501</v>
      </c>
      <c r="X228">
        <v>5.4275233036147998</v>
      </c>
      <c r="Y228">
        <v>4.0076335541430099</v>
      </c>
      <c r="Z228" s="31">
        <v>2.62072193246077</v>
      </c>
      <c r="AA228">
        <v>0.14135284037569301</v>
      </c>
      <c r="AB228">
        <v>0.06</v>
      </c>
      <c r="AC228">
        <v>240731.26419698299</v>
      </c>
      <c r="AD228">
        <v>275468.78562060773</v>
      </c>
      <c r="AE228">
        <v>1</v>
      </c>
      <c r="AF228">
        <v>283458.37175520422</v>
      </c>
      <c r="AG228">
        <v>1170134.9344832429</v>
      </c>
    </row>
    <row r="229" spans="1:33" hidden="1" x14ac:dyDescent="0.25">
      <c r="B229">
        <v>5</v>
      </c>
      <c r="C229" t="s">
        <v>32</v>
      </c>
      <c r="D229" t="s">
        <v>33</v>
      </c>
      <c r="E229" t="s">
        <v>67</v>
      </c>
      <c r="F229">
        <v>7068</v>
      </c>
      <c r="G229">
        <v>119589</v>
      </c>
      <c r="H229">
        <v>5</v>
      </c>
      <c r="I229">
        <v>839</v>
      </c>
      <c r="J229">
        <v>0.64137169806587557</v>
      </c>
      <c r="K229">
        <v>14230</v>
      </c>
      <c r="L229">
        <v>293147</v>
      </c>
      <c r="M229">
        <v>79396</v>
      </c>
      <c r="N229">
        <v>154721</v>
      </c>
      <c r="O229" s="43">
        <v>5378705.0390145602</v>
      </c>
      <c r="P229" s="14">
        <f t="shared" si="11"/>
        <v>1205768.1504527992</v>
      </c>
      <c r="Q229" s="14" t="str">
        <f t="shared" si="9"/>
        <v/>
      </c>
      <c r="R229" s="14" t="str">
        <f t="shared" si="9"/>
        <v/>
      </c>
      <c r="S229" s="14" t="str">
        <f t="shared" si="10"/>
        <v/>
      </c>
      <c r="T229" s="14" t="s">
        <v>72</v>
      </c>
      <c r="U229" s="14">
        <v>1437.1491662131104</v>
      </c>
      <c r="V229">
        <v>5761</v>
      </c>
      <c r="W229">
        <v>34.828729248046898</v>
      </c>
      <c r="X229">
        <v>7.1681909590258801</v>
      </c>
      <c r="Y229">
        <v>5.1714277147457404</v>
      </c>
      <c r="Z229" s="31">
        <v>2.6668789655610499</v>
      </c>
      <c r="AA229">
        <v>3.1723020861663702</v>
      </c>
      <c r="AB229">
        <v>0.06</v>
      </c>
      <c r="AC229">
        <v>240731.26419698299</v>
      </c>
      <c r="AD229">
        <v>275468.78562060773</v>
      </c>
      <c r="AE229">
        <v>1</v>
      </c>
      <c r="AF229">
        <v>283458.37175520422</v>
      </c>
      <c r="AG229">
        <v>1170134.9344832429</v>
      </c>
    </row>
    <row r="230" spans="1:33" hidden="1" x14ac:dyDescent="0.25">
      <c r="B230">
        <v>5</v>
      </c>
      <c r="C230" t="s">
        <v>32</v>
      </c>
      <c r="D230" t="s">
        <v>33</v>
      </c>
      <c r="E230" t="s">
        <v>67</v>
      </c>
      <c r="F230">
        <v>10367</v>
      </c>
      <c r="G230">
        <v>119589</v>
      </c>
      <c r="H230">
        <v>6</v>
      </c>
      <c r="I230">
        <v>719</v>
      </c>
      <c r="J230">
        <v>1.0206875214275559</v>
      </c>
      <c r="K230">
        <v>14230</v>
      </c>
      <c r="L230">
        <v>293147</v>
      </c>
      <c r="M230">
        <v>79396</v>
      </c>
      <c r="N230">
        <v>154721</v>
      </c>
      <c r="O230" s="43">
        <v>7564149.3697070396</v>
      </c>
      <c r="P230" s="14">
        <f t="shared" si="11"/>
        <v>2185444.3306924794</v>
      </c>
      <c r="Q230" s="14" t="str">
        <f t="shared" si="9"/>
        <v/>
      </c>
      <c r="R230" s="14" t="str">
        <f t="shared" si="9"/>
        <v/>
      </c>
      <c r="S230" s="14" t="str">
        <f t="shared" si="10"/>
        <v/>
      </c>
      <c r="T230" s="14" t="s">
        <v>72</v>
      </c>
      <c r="U230" s="14">
        <v>3039.5609606293187</v>
      </c>
      <c r="V230">
        <v>5761</v>
      </c>
      <c r="W230">
        <v>36.231439208984398</v>
      </c>
      <c r="X230">
        <v>7.0846585425300699</v>
      </c>
      <c r="Y230">
        <v>5.5914303531677998</v>
      </c>
      <c r="Z230" s="31">
        <v>3.59658343819188</v>
      </c>
      <c r="AA230">
        <v>3.4632252202677201</v>
      </c>
      <c r="AB230">
        <v>0.06</v>
      </c>
      <c r="AC230">
        <v>240731.26419698299</v>
      </c>
      <c r="AD230">
        <v>275468.78562060773</v>
      </c>
      <c r="AE230">
        <v>1</v>
      </c>
      <c r="AF230">
        <v>283458.37175520422</v>
      </c>
      <c r="AG230">
        <v>1170134.9344832429</v>
      </c>
    </row>
    <row r="231" spans="1:33" hidden="1" x14ac:dyDescent="0.25">
      <c r="B231">
        <v>5</v>
      </c>
      <c r="C231" t="s">
        <v>32</v>
      </c>
      <c r="D231" t="s">
        <v>33</v>
      </c>
      <c r="E231" t="s">
        <v>67</v>
      </c>
      <c r="F231">
        <v>12307</v>
      </c>
      <c r="G231">
        <v>119589</v>
      </c>
      <c r="H231">
        <v>7</v>
      </c>
      <c r="I231">
        <v>1729</v>
      </c>
      <c r="J231">
        <v>0.60022242848422513</v>
      </c>
      <c r="K231">
        <v>14230</v>
      </c>
      <c r="L231">
        <v>293147</v>
      </c>
      <c r="M231">
        <v>79396</v>
      </c>
      <c r="N231">
        <v>154721</v>
      </c>
      <c r="O231" s="43">
        <v>9006357.6586051211</v>
      </c>
      <c r="P231" s="14">
        <f t="shared" si="11"/>
        <v>1442208.2888980815</v>
      </c>
      <c r="Q231" s="14" t="str">
        <f t="shared" si="9"/>
        <v/>
      </c>
      <c r="R231" s="14" t="str">
        <f t="shared" si="9"/>
        <v/>
      </c>
      <c r="S231" s="14" t="str">
        <f t="shared" si="10"/>
        <v/>
      </c>
      <c r="T231" s="14" t="s">
        <v>72</v>
      </c>
      <c r="U231" s="14">
        <v>834.12856500756538</v>
      </c>
      <c r="V231">
        <v>5761</v>
      </c>
      <c r="W231">
        <v>35.889916992187501</v>
      </c>
      <c r="X231">
        <v>11.2440882197987</v>
      </c>
      <c r="Y231">
        <v>5.2415325096944203</v>
      </c>
      <c r="Z231" s="31">
        <v>4.4947620158970203</v>
      </c>
      <c r="AA231">
        <v>7.6295020732929597</v>
      </c>
      <c r="AB231">
        <v>0.06</v>
      </c>
      <c r="AC231">
        <v>240731.26419698299</v>
      </c>
      <c r="AD231">
        <v>275468.78562060773</v>
      </c>
      <c r="AE231">
        <v>1</v>
      </c>
      <c r="AF231">
        <v>283458.37175520422</v>
      </c>
      <c r="AG231">
        <v>1170134.9344832429</v>
      </c>
    </row>
    <row r="232" spans="1:33" hidden="1" x14ac:dyDescent="0.25">
      <c r="B232">
        <v>5</v>
      </c>
      <c r="C232" t="s">
        <v>32</v>
      </c>
      <c r="D232" t="s">
        <v>33</v>
      </c>
      <c r="E232" t="s">
        <v>67</v>
      </c>
      <c r="F232">
        <v>14675</v>
      </c>
      <c r="G232">
        <v>119589</v>
      </c>
      <c r="H232">
        <v>8</v>
      </c>
      <c r="I232">
        <v>2073</v>
      </c>
      <c r="J232">
        <v>0.73264263435600263</v>
      </c>
      <c r="K232">
        <v>14230</v>
      </c>
      <c r="L232">
        <v>293147</v>
      </c>
      <c r="M232">
        <v>79396</v>
      </c>
      <c r="N232">
        <v>154721</v>
      </c>
      <c r="O232" s="43">
        <v>10300640.810819039</v>
      </c>
      <c r="P232" s="14">
        <f t="shared" si="11"/>
        <v>1294283.152213918</v>
      </c>
      <c r="Q232" s="14" t="str">
        <f t="shared" si="9"/>
        <v/>
      </c>
      <c r="R232" s="14" t="str">
        <f t="shared" si="9"/>
        <v/>
      </c>
      <c r="S232" s="14" t="str">
        <f t="shared" si="10"/>
        <v/>
      </c>
      <c r="T232" s="14" t="s">
        <v>72</v>
      </c>
      <c r="U232" s="14">
        <v>624.35270246691744</v>
      </c>
      <c r="V232">
        <v>5761</v>
      </c>
      <c r="W232">
        <v>34.647332763671898</v>
      </c>
      <c r="X232">
        <v>9.6920131295928496</v>
      </c>
      <c r="Y232">
        <v>4.9803274463623204</v>
      </c>
      <c r="Z232" s="31">
        <v>6.0744834870767797</v>
      </c>
      <c r="AA232">
        <v>11.793979909192201</v>
      </c>
      <c r="AB232">
        <v>0.06</v>
      </c>
      <c r="AC232">
        <v>240731.26419698299</v>
      </c>
      <c r="AD232">
        <v>275468.78562060773</v>
      </c>
      <c r="AE232">
        <v>1</v>
      </c>
      <c r="AF232">
        <v>283458.37175520422</v>
      </c>
      <c r="AG232">
        <v>1170134.9344832429</v>
      </c>
    </row>
    <row r="233" spans="1:33" hidden="1" x14ac:dyDescent="0.25">
      <c r="B233">
        <v>5</v>
      </c>
      <c r="C233" t="s">
        <v>32</v>
      </c>
      <c r="D233" t="s">
        <v>33</v>
      </c>
      <c r="E233" t="s">
        <v>67</v>
      </c>
      <c r="F233">
        <v>15779</v>
      </c>
      <c r="G233">
        <v>119589</v>
      </c>
      <c r="H233">
        <v>9</v>
      </c>
      <c r="I233">
        <v>3299</v>
      </c>
      <c r="J233">
        <v>0.34156987682813628</v>
      </c>
      <c r="K233">
        <v>14230</v>
      </c>
      <c r="L233">
        <v>293147</v>
      </c>
      <c r="M233">
        <v>79396</v>
      </c>
      <c r="N233">
        <v>154721</v>
      </c>
      <c r="O233" s="43">
        <v>10300640.810819039</v>
      </c>
      <c r="P233" s="14">
        <f t="shared" si="11"/>
        <v>0</v>
      </c>
      <c r="Q233" s="14" t="str">
        <f t="shared" si="9"/>
        <v/>
      </c>
      <c r="R233" s="14" t="str">
        <f t="shared" si="9"/>
        <v/>
      </c>
      <c r="S233" s="14" t="str">
        <f t="shared" si="10"/>
        <v/>
      </c>
      <c r="T233" s="14" t="s">
        <v>72</v>
      </c>
      <c r="U233" s="14">
        <v>0</v>
      </c>
      <c r="V233">
        <v>5761</v>
      </c>
      <c r="W233">
        <v>33.879266357421898</v>
      </c>
      <c r="X233">
        <v>11.8717919020906</v>
      </c>
      <c r="Y233">
        <v>4.6569485991575403</v>
      </c>
      <c r="Z233" s="31">
        <v>4.9078235403779402</v>
      </c>
      <c r="AA233">
        <v>8.0349163603834395</v>
      </c>
      <c r="AB233">
        <v>0.06</v>
      </c>
      <c r="AC233">
        <v>240731.26419698299</v>
      </c>
      <c r="AD233">
        <v>275468.78562060773</v>
      </c>
      <c r="AE233">
        <v>1</v>
      </c>
      <c r="AF233">
        <v>283458.37175520422</v>
      </c>
      <c r="AG233">
        <v>1170134.9344832429</v>
      </c>
    </row>
    <row r="234" spans="1:33" hidden="1" x14ac:dyDescent="0.25">
      <c r="B234">
        <v>5</v>
      </c>
      <c r="C234" t="s">
        <v>32</v>
      </c>
      <c r="D234" t="s">
        <v>33</v>
      </c>
      <c r="E234" t="s">
        <v>67</v>
      </c>
      <c r="F234">
        <v>17448</v>
      </c>
      <c r="G234">
        <v>119589</v>
      </c>
      <c r="H234">
        <v>10</v>
      </c>
      <c r="I234">
        <v>1940</v>
      </c>
      <c r="J234">
        <v>0.51637692429905757</v>
      </c>
      <c r="K234">
        <v>14230</v>
      </c>
      <c r="L234">
        <v>293147</v>
      </c>
      <c r="M234">
        <v>79396</v>
      </c>
      <c r="N234">
        <v>154721</v>
      </c>
      <c r="O234" s="43">
        <v>10300640.810819039</v>
      </c>
      <c r="P234" s="14">
        <f t="shared" si="11"/>
        <v>0</v>
      </c>
      <c r="Q234" s="14" t="str">
        <f t="shared" si="9"/>
        <v/>
      </c>
      <c r="R234" s="14" t="str">
        <f t="shared" si="9"/>
        <v/>
      </c>
      <c r="S234" s="14" t="str">
        <f t="shared" si="10"/>
        <v/>
      </c>
      <c r="T234" s="14" t="s">
        <v>72</v>
      </c>
      <c r="U234" s="14">
        <v>-5309.6086653706398</v>
      </c>
      <c r="V234">
        <v>5761</v>
      </c>
      <c r="W234">
        <v>33.244958496093702</v>
      </c>
      <c r="X234">
        <v>16.244740479796999</v>
      </c>
      <c r="Y234">
        <v>4.2714545469654404</v>
      </c>
      <c r="Z234" s="31">
        <v>3.7513446799167198</v>
      </c>
      <c r="AA234">
        <v>7.0163441497483099</v>
      </c>
      <c r="AB234">
        <v>0.06</v>
      </c>
      <c r="AC234">
        <v>240731.26419698299</v>
      </c>
      <c r="AD234">
        <v>275468.78562060773</v>
      </c>
      <c r="AE234">
        <v>1</v>
      </c>
      <c r="AF234">
        <v>283458.37175520422</v>
      </c>
      <c r="AG234">
        <v>1170134.9344832429</v>
      </c>
    </row>
    <row r="235" spans="1:33" hidden="1" x14ac:dyDescent="0.25">
      <c r="B235">
        <v>5</v>
      </c>
      <c r="C235" t="s">
        <v>32</v>
      </c>
      <c r="D235" t="s">
        <v>33</v>
      </c>
      <c r="E235" t="s">
        <v>67</v>
      </c>
      <c r="F235">
        <v>29903</v>
      </c>
      <c r="G235">
        <v>119589</v>
      </c>
      <c r="H235">
        <v>11</v>
      </c>
      <c r="I235">
        <v>2368</v>
      </c>
      <c r="J235">
        <v>3.8534898694696</v>
      </c>
      <c r="K235">
        <v>14230</v>
      </c>
      <c r="L235">
        <v>293147</v>
      </c>
      <c r="M235">
        <v>79396</v>
      </c>
      <c r="N235">
        <v>154721</v>
      </c>
      <c r="O235" s="43">
        <v>14324638.68709632</v>
      </c>
      <c r="P235" s="14">
        <f t="shared" si="11"/>
        <v>4023997.876277281</v>
      </c>
      <c r="Q235" s="14" t="str">
        <f t="shared" si="9"/>
        <v/>
      </c>
      <c r="R235" s="14" t="str">
        <f t="shared" si="9"/>
        <v/>
      </c>
      <c r="S235" s="14" t="str">
        <f t="shared" si="10"/>
        <v/>
      </c>
      <c r="T235" s="14" t="s">
        <v>72</v>
      </c>
      <c r="U235" s="14">
        <v>6049.2562023210821</v>
      </c>
      <c r="V235">
        <v>5761</v>
      </c>
      <c r="W235">
        <v>35.432244873046898</v>
      </c>
      <c r="X235">
        <v>9.0790075126451395</v>
      </c>
      <c r="Y235">
        <v>5.2363031003337204</v>
      </c>
      <c r="Z235" s="31">
        <v>5.7276604417994896</v>
      </c>
      <c r="AA235">
        <v>10.3143134679339</v>
      </c>
      <c r="AB235">
        <v>0.06</v>
      </c>
      <c r="AC235">
        <v>240731.26419698299</v>
      </c>
      <c r="AD235">
        <v>275468.78562060773</v>
      </c>
      <c r="AE235">
        <v>1</v>
      </c>
      <c r="AF235">
        <v>283458.37175520422</v>
      </c>
      <c r="AG235">
        <v>1170134.9344832429</v>
      </c>
    </row>
    <row r="236" spans="1:33" hidden="1" x14ac:dyDescent="0.25">
      <c r="B236">
        <v>5</v>
      </c>
      <c r="C236" t="s">
        <v>32</v>
      </c>
      <c r="D236" t="s">
        <v>33</v>
      </c>
      <c r="E236" t="s">
        <v>67</v>
      </c>
      <c r="F236">
        <v>36998</v>
      </c>
      <c r="G236">
        <v>119589</v>
      </c>
      <c r="H236">
        <v>12</v>
      </c>
      <c r="I236">
        <v>1104</v>
      </c>
      <c r="J236">
        <v>2.1951433660286481</v>
      </c>
      <c r="K236">
        <v>14230</v>
      </c>
      <c r="L236">
        <v>293147</v>
      </c>
      <c r="M236">
        <v>79396</v>
      </c>
      <c r="N236">
        <v>154721</v>
      </c>
      <c r="O236" s="43">
        <v>15897778.825246559</v>
      </c>
      <c r="P236" s="14">
        <f t="shared" si="11"/>
        <v>1573140.1381502394</v>
      </c>
      <c r="Q236" s="14" t="str">
        <f t="shared" si="9"/>
        <v/>
      </c>
      <c r="R236" s="14" t="str">
        <f t="shared" si="9"/>
        <v/>
      </c>
      <c r="S236" s="14" t="str">
        <f t="shared" si="10"/>
        <v/>
      </c>
      <c r="T236" s="14" t="s">
        <v>72</v>
      </c>
      <c r="U236" s="14">
        <v>1424.9457773099994</v>
      </c>
      <c r="V236">
        <v>5761</v>
      </c>
      <c r="W236">
        <v>33.698632812500001</v>
      </c>
      <c r="X236">
        <v>7.8854572335460498</v>
      </c>
      <c r="Y236">
        <v>4.8192396608606796</v>
      </c>
      <c r="Z236" s="31">
        <v>5.1506654679292403</v>
      </c>
      <c r="AA236">
        <v>9.0853517289506804</v>
      </c>
      <c r="AB236">
        <v>0.06</v>
      </c>
      <c r="AC236">
        <v>240731.26419698299</v>
      </c>
      <c r="AD236">
        <v>275468.78562060773</v>
      </c>
      <c r="AE236">
        <v>1</v>
      </c>
      <c r="AF236">
        <v>283458.37175520422</v>
      </c>
      <c r="AG236">
        <v>1170134.9344832429</v>
      </c>
    </row>
    <row r="237" spans="1:33" hidden="1" x14ac:dyDescent="0.25">
      <c r="B237">
        <v>5</v>
      </c>
      <c r="C237" t="s">
        <v>32</v>
      </c>
      <c r="D237" t="s">
        <v>33</v>
      </c>
      <c r="E237" t="s">
        <v>67</v>
      </c>
      <c r="F237">
        <v>42718</v>
      </c>
      <c r="G237">
        <v>119589</v>
      </c>
      <c r="H237">
        <v>13</v>
      </c>
      <c r="I237">
        <v>1669</v>
      </c>
      <c r="J237">
        <v>1.769727985015344</v>
      </c>
      <c r="K237">
        <v>14230</v>
      </c>
      <c r="L237">
        <v>293147</v>
      </c>
      <c r="M237">
        <v>79396</v>
      </c>
      <c r="N237">
        <v>154721</v>
      </c>
      <c r="O237" s="43">
        <v>18235590.578267042</v>
      </c>
      <c r="P237" s="14">
        <f t="shared" si="11"/>
        <v>2337811.7530204821</v>
      </c>
      <c r="Q237" s="14" t="str">
        <f t="shared" si="9"/>
        <v/>
      </c>
      <c r="R237" s="14" t="str">
        <f t="shared" si="9"/>
        <v/>
      </c>
      <c r="S237" s="14" t="str">
        <f t="shared" si="10"/>
        <v/>
      </c>
      <c r="T237" s="14" t="s">
        <v>72</v>
      </c>
      <c r="U237" s="14">
        <v>1400.7260353627803</v>
      </c>
      <c r="V237">
        <v>5761</v>
      </c>
      <c r="W237">
        <v>33.411920166015598</v>
      </c>
      <c r="X237">
        <v>5.9691183469886298</v>
      </c>
      <c r="Y237">
        <v>4.8414872880278699</v>
      </c>
      <c r="Z237" s="31">
        <v>4.3956585980909999</v>
      </c>
      <c r="AA237">
        <v>7.5536896308013999</v>
      </c>
      <c r="AB237">
        <v>0.06</v>
      </c>
      <c r="AC237">
        <v>240731.26419698299</v>
      </c>
      <c r="AD237">
        <v>275468.78562060773</v>
      </c>
      <c r="AE237">
        <v>1</v>
      </c>
      <c r="AF237">
        <v>283458.37175520422</v>
      </c>
      <c r="AG237">
        <v>1170134.9344832429</v>
      </c>
    </row>
    <row r="238" spans="1:33" hidden="1" x14ac:dyDescent="0.25">
      <c r="B238">
        <v>5</v>
      </c>
      <c r="C238" t="s">
        <v>32</v>
      </c>
      <c r="D238" t="s">
        <v>33</v>
      </c>
      <c r="E238" t="s">
        <v>67</v>
      </c>
      <c r="F238">
        <v>51531</v>
      </c>
      <c r="G238">
        <v>119589</v>
      </c>
      <c r="H238">
        <v>14</v>
      </c>
      <c r="I238">
        <v>12455</v>
      </c>
      <c r="J238">
        <v>2.726680547541998</v>
      </c>
      <c r="K238">
        <v>14230</v>
      </c>
      <c r="L238">
        <v>293147</v>
      </c>
      <c r="M238">
        <v>79396</v>
      </c>
      <c r="N238">
        <v>154721</v>
      </c>
      <c r="O238" s="43">
        <v>20840805.72706176</v>
      </c>
      <c r="P238" s="14">
        <f t="shared" si="11"/>
        <v>2605215.1487947181</v>
      </c>
      <c r="Q238" s="14" t="str">
        <f t="shared" si="9"/>
        <v/>
      </c>
      <c r="R238" s="14" t="str">
        <f t="shared" si="9"/>
        <v/>
      </c>
      <c r="S238" s="14" t="str">
        <f t="shared" si="10"/>
        <v/>
      </c>
      <c r="T238" s="14" t="s">
        <v>72</v>
      </c>
      <c r="U238" s="14">
        <v>209.1702247125429</v>
      </c>
      <c r="V238">
        <v>5761</v>
      </c>
      <c r="W238">
        <v>33.202508544921898</v>
      </c>
      <c r="X238">
        <v>5.1680903225023096</v>
      </c>
      <c r="Y238">
        <v>4.8258869306760097</v>
      </c>
      <c r="Z238" s="31">
        <v>3.7322397967713301</v>
      </c>
      <c r="AA238">
        <v>5.9847073374978201</v>
      </c>
      <c r="AB238">
        <v>0.06</v>
      </c>
      <c r="AC238">
        <v>240731.26419698299</v>
      </c>
      <c r="AD238">
        <v>275468.78562060773</v>
      </c>
      <c r="AE238">
        <v>1</v>
      </c>
      <c r="AF238">
        <v>283458.37175520422</v>
      </c>
      <c r="AG238">
        <v>1170134.9344832429</v>
      </c>
    </row>
    <row r="239" spans="1:33" hidden="1" x14ac:dyDescent="0.25">
      <c r="B239">
        <v>5</v>
      </c>
      <c r="C239" t="s">
        <v>32</v>
      </c>
      <c r="D239" t="s">
        <v>33</v>
      </c>
      <c r="E239" t="s">
        <v>67</v>
      </c>
      <c r="F239">
        <v>58431</v>
      </c>
      <c r="G239">
        <v>119589</v>
      </c>
      <c r="H239">
        <v>15</v>
      </c>
      <c r="I239">
        <v>7095</v>
      </c>
      <c r="J239">
        <v>2.1348117301758518</v>
      </c>
      <c r="K239">
        <v>14230</v>
      </c>
      <c r="L239">
        <v>293147</v>
      </c>
      <c r="M239">
        <v>79396</v>
      </c>
      <c r="N239">
        <v>154721</v>
      </c>
      <c r="O239" s="43">
        <v>22722862.088472482</v>
      </c>
      <c r="P239" s="14">
        <f t="shared" si="11"/>
        <v>1882056.3614107221</v>
      </c>
      <c r="Q239" s="14" t="str">
        <f t="shared" si="9"/>
        <v/>
      </c>
      <c r="R239" s="14" t="str">
        <f t="shared" si="9"/>
        <v/>
      </c>
      <c r="S239" s="14" t="str">
        <f t="shared" si="10"/>
        <v/>
      </c>
      <c r="T239" s="14" t="s">
        <v>72</v>
      </c>
      <c r="U239" s="14">
        <v>265.26516721786027</v>
      </c>
      <c r="V239">
        <v>5761</v>
      </c>
      <c r="W239">
        <v>34.284020996093702</v>
      </c>
      <c r="X239">
        <v>10.887373280962001</v>
      </c>
      <c r="Y239">
        <v>4.8162607673941196</v>
      </c>
      <c r="Z239" s="31">
        <v>3.4926412825811801</v>
      </c>
      <c r="AA239">
        <v>4.0912340498902102</v>
      </c>
      <c r="AB239">
        <v>0.06</v>
      </c>
      <c r="AC239">
        <v>240731.26419698299</v>
      </c>
      <c r="AD239">
        <v>275468.78562060773</v>
      </c>
      <c r="AE239">
        <v>1</v>
      </c>
      <c r="AF239">
        <v>283458.37175520422</v>
      </c>
      <c r="AG239">
        <v>1170134.9344832429</v>
      </c>
    </row>
    <row r="240" spans="1:33" hidden="1" x14ac:dyDescent="0.25">
      <c r="B240">
        <v>5</v>
      </c>
      <c r="C240" t="s">
        <v>32</v>
      </c>
      <c r="D240" t="s">
        <v>33</v>
      </c>
      <c r="E240" t="s">
        <v>67</v>
      </c>
      <c r="F240">
        <v>65372</v>
      </c>
      <c r="G240">
        <v>119589</v>
      </c>
      <c r="H240">
        <v>16</v>
      </c>
      <c r="I240">
        <v>5720</v>
      </c>
      <c r="J240">
        <v>2.147496843355158</v>
      </c>
      <c r="K240">
        <v>14230</v>
      </c>
      <c r="L240">
        <v>293147</v>
      </c>
      <c r="M240">
        <v>79396</v>
      </c>
      <c r="N240">
        <v>154721</v>
      </c>
      <c r="O240" s="43">
        <v>24831941.903999999</v>
      </c>
      <c r="P240" s="14">
        <f t="shared" si="11"/>
        <v>2109079.8155275173</v>
      </c>
      <c r="Q240" s="14" t="str">
        <f t="shared" si="9"/>
        <v/>
      </c>
      <c r="R240" s="14" t="str">
        <f t="shared" si="9"/>
        <v/>
      </c>
      <c r="S240" s="14" t="str">
        <f t="shared" si="10"/>
        <v/>
      </c>
      <c r="T240" s="14" t="s">
        <v>72</v>
      </c>
      <c r="U240" s="14">
        <v>368.72024746984636</v>
      </c>
      <c r="V240">
        <v>5761</v>
      </c>
      <c r="W240">
        <v>35.254602050781301</v>
      </c>
      <c r="X240">
        <v>9.9609733123919195</v>
      </c>
      <c r="Y240">
        <v>5.1348958792441302</v>
      </c>
      <c r="Z240" s="31">
        <v>3.48262138491866</v>
      </c>
      <c r="AA240">
        <v>3.65603083380701</v>
      </c>
      <c r="AB240">
        <v>0.06</v>
      </c>
      <c r="AC240">
        <v>240731.26419698299</v>
      </c>
      <c r="AD240">
        <v>275468.78562060773</v>
      </c>
      <c r="AE240">
        <v>1</v>
      </c>
      <c r="AF240">
        <v>283458.37175520422</v>
      </c>
      <c r="AG240">
        <v>1170134.9344832429</v>
      </c>
    </row>
    <row r="241" spans="2:33" hidden="1" x14ac:dyDescent="0.25">
      <c r="B241">
        <v>5</v>
      </c>
      <c r="C241" t="s">
        <v>32</v>
      </c>
      <c r="D241" t="s">
        <v>33</v>
      </c>
      <c r="E241" t="s">
        <v>67</v>
      </c>
      <c r="F241">
        <v>74368</v>
      </c>
      <c r="G241">
        <v>119589</v>
      </c>
      <c r="H241">
        <v>17</v>
      </c>
      <c r="I241">
        <v>8813</v>
      </c>
      <c r="J241">
        <v>2.7832994673423141</v>
      </c>
      <c r="K241">
        <v>14230</v>
      </c>
      <c r="L241">
        <v>293147</v>
      </c>
      <c r="M241">
        <v>79396</v>
      </c>
      <c r="N241">
        <v>154721</v>
      </c>
      <c r="O241" s="43">
        <v>27921630.528000001</v>
      </c>
      <c r="P241" s="14">
        <f t="shared" si="11"/>
        <v>3089688.6240000017</v>
      </c>
      <c r="Q241" s="14" t="str">
        <f t="shared" si="9"/>
        <v/>
      </c>
      <c r="R241" s="14" t="str">
        <f t="shared" si="9"/>
        <v/>
      </c>
      <c r="S241" s="14" t="str">
        <f t="shared" si="10"/>
        <v/>
      </c>
      <c r="T241" s="14" t="s">
        <v>72</v>
      </c>
      <c r="U241" s="14">
        <v>350.58307318733665</v>
      </c>
      <c r="V241">
        <v>5761</v>
      </c>
      <c r="W241">
        <v>35.760797119140598</v>
      </c>
      <c r="X241">
        <v>9.0423055175500302</v>
      </c>
      <c r="Y241">
        <v>5.3339302091188303</v>
      </c>
      <c r="Z241" s="31">
        <v>3.9458464825609001</v>
      </c>
      <c r="AA241">
        <v>5.2577205318414597</v>
      </c>
      <c r="AB241">
        <v>0.06</v>
      </c>
      <c r="AC241">
        <v>240731.26419698299</v>
      </c>
      <c r="AD241">
        <v>275468.78562060773</v>
      </c>
      <c r="AE241">
        <v>1</v>
      </c>
      <c r="AF241">
        <v>283458.37175520422</v>
      </c>
      <c r="AG241">
        <v>1170134.9344832429</v>
      </c>
    </row>
    <row r="242" spans="2:33" hidden="1" x14ac:dyDescent="0.25">
      <c r="B242">
        <v>5</v>
      </c>
      <c r="C242" t="s">
        <v>32</v>
      </c>
      <c r="D242" t="s">
        <v>33</v>
      </c>
      <c r="E242" t="s">
        <v>67</v>
      </c>
      <c r="F242">
        <v>81474</v>
      </c>
      <c r="G242">
        <v>119589</v>
      </c>
      <c r="H242">
        <v>18</v>
      </c>
      <c r="I242">
        <v>6900</v>
      </c>
      <c r="J242">
        <v>2.1985466890767551</v>
      </c>
      <c r="K242">
        <v>14230</v>
      </c>
      <c r="L242">
        <v>293147</v>
      </c>
      <c r="M242">
        <v>79396</v>
      </c>
      <c r="N242">
        <v>154721</v>
      </c>
      <c r="O242" s="43">
        <v>28837093.824000001</v>
      </c>
      <c r="P242" s="14">
        <f t="shared" si="11"/>
        <v>915463.29600000009</v>
      </c>
      <c r="Q242" s="14" t="str">
        <f t="shared" si="9"/>
        <v/>
      </c>
      <c r="R242" s="14" t="str">
        <f t="shared" si="9"/>
        <v/>
      </c>
      <c r="S242" s="14" t="str">
        <f t="shared" si="10"/>
        <v/>
      </c>
      <c r="T242" s="14" t="s">
        <v>72</v>
      </c>
      <c r="U242" s="14">
        <v>132.67584000000002</v>
      </c>
      <c r="V242">
        <v>5761</v>
      </c>
      <c r="W242">
        <v>35.849237060546898</v>
      </c>
      <c r="X242">
        <v>10.7261682444478</v>
      </c>
      <c r="Y242">
        <v>5.2604380372353496</v>
      </c>
      <c r="Z242" s="31">
        <v>3.85641243320614</v>
      </c>
      <c r="AA242">
        <v>5.3705667958990198</v>
      </c>
      <c r="AB242">
        <v>0.06</v>
      </c>
      <c r="AC242">
        <v>240731.26419698299</v>
      </c>
      <c r="AD242">
        <v>275468.78562060773</v>
      </c>
      <c r="AE242">
        <v>1</v>
      </c>
      <c r="AF242">
        <v>283458.37175520422</v>
      </c>
      <c r="AG242">
        <v>1170134.9344832429</v>
      </c>
    </row>
    <row r="243" spans="2:33" hidden="1" x14ac:dyDescent="0.25">
      <c r="B243">
        <v>5</v>
      </c>
      <c r="C243" t="s">
        <v>32</v>
      </c>
      <c r="D243" t="s">
        <v>33</v>
      </c>
      <c r="E243" t="s">
        <v>67</v>
      </c>
      <c r="F243">
        <v>87666</v>
      </c>
      <c r="G243">
        <v>119589</v>
      </c>
      <c r="H243">
        <v>19</v>
      </c>
      <c r="I243">
        <v>6941</v>
      </c>
      <c r="J243">
        <v>1.9157614830795471</v>
      </c>
      <c r="K243">
        <v>14230</v>
      </c>
      <c r="L243">
        <v>293147</v>
      </c>
      <c r="M243">
        <v>79396</v>
      </c>
      <c r="N243">
        <v>154721</v>
      </c>
      <c r="O243" s="43">
        <v>32155648.272</v>
      </c>
      <c r="P243" s="14">
        <f t="shared" si="11"/>
        <v>3318554.4479999989</v>
      </c>
      <c r="Q243" s="14" t="str">
        <f t="shared" si="9"/>
        <v/>
      </c>
      <c r="R243" s="14" t="str">
        <f t="shared" si="9"/>
        <v/>
      </c>
      <c r="S243" s="14" t="str">
        <f t="shared" si="10"/>
        <v/>
      </c>
      <c r="T243" s="14" t="s">
        <v>72</v>
      </c>
      <c r="U243" s="14">
        <v>478.10898256735379</v>
      </c>
      <c r="V243">
        <v>5761</v>
      </c>
      <c r="W243">
        <v>36.275628662109398</v>
      </c>
      <c r="X243">
        <v>10.5758817563711</v>
      </c>
      <c r="Y243">
        <v>5.3938936593790103</v>
      </c>
      <c r="Z243" s="31">
        <v>4.2308404336581003</v>
      </c>
      <c r="AA243">
        <v>6.2593029384780099</v>
      </c>
      <c r="AB243">
        <v>0.06</v>
      </c>
      <c r="AC243">
        <v>240731.26419698299</v>
      </c>
      <c r="AD243">
        <v>275468.78562060773</v>
      </c>
      <c r="AE243">
        <v>1</v>
      </c>
      <c r="AF243">
        <v>283458.37175520422</v>
      </c>
      <c r="AG243">
        <v>1170134.9344832429</v>
      </c>
    </row>
    <row r="244" spans="2:33" hidden="1" x14ac:dyDescent="0.25">
      <c r="B244">
        <v>5</v>
      </c>
      <c r="C244" t="s">
        <v>32</v>
      </c>
      <c r="D244" t="s">
        <v>33</v>
      </c>
      <c r="E244" t="s">
        <v>67</v>
      </c>
      <c r="F244">
        <v>94709</v>
      </c>
      <c r="G244">
        <v>119589</v>
      </c>
      <c r="H244">
        <v>20</v>
      </c>
      <c r="I244">
        <v>8996</v>
      </c>
      <c r="J244">
        <v>2.1790549298012358</v>
      </c>
      <c r="K244">
        <v>14230</v>
      </c>
      <c r="L244">
        <v>293147</v>
      </c>
      <c r="M244">
        <v>79396</v>
      </c>
      <c r="N244">
        <v>154721</v>
      </c>
      <c r="O244" s="43">
        <v>34444306.512000002</v>
      </c>
      <c r="P244" s="14">
        <f t="shared" si="11"/>
        <v>2288658.2400000021</v>
      </c>
      <c r="Q244" s="14" t="str">
        <f t="shared" si="9"/>
        <v/>
      </c>
      <c r="R244" s="14" t="str">
        <f t="shared" si="9"/>
        <v/>
      </c>
      <c r="S244" s="14" t="str">
        <f t="shared" si="10"/>
        <v/>
      </c>
      <c r="T244" s="14" t="s">
        <v>72</v>
      </c>
      <c r="U244" s="14">
        <v>254.40843041351692</v>
      </c>
      <c r="V244">
        <v>5761</v>
      </c>
      <c r="W244">
        <v>37.285363769531301</v>
      </c>
      <c r="X244">
        <v>7.4160788151623196</v>
      </c>
      <c r="Y244">
        <v>5.9010371094618499</v>
      </c>
      <c r="Z244" s="31">
        <v>5.2606449771687203</v>
      </c>
      <c r="AA244">
        <v>8.7606751893242105</v>
      </c>
      <c r="AB244">
        <v>0.06</v>
      </c>
      <c r="AC244">
        <v>240731.26419698299</v>
      </c>
      <c r="AD244">
        <v>275468.78562060773</v>
      </c>
      <c r="AE244">
        <v>1</v>
      </c>
      <c r="AF244">
        <v>283458.37175520422</v>
      </c>
      <c r="AG244">
        <v>1170134.9344832429</v>
      </c>
    </row>
    <row r="245" spans="2:33" hidden="1" x14ac:dyDescent="0.25">
      <c r="B245">
        <v>5</v>
      </c>
      <c r="C245" t="s">
        <v>32</v>
      </c>
      <c r="D245" t="s">
        <v>33</v>
      </c>
      <c r="E245" t="s">
        <v>67</v>
      </c>
      <c r="F245">
        <v>104373</v>
      </c>
      <c r="G245">
        <v>119589</v>
      </c>
      <c r="H245">
        <v>21</v>
      </c>
      <c r="I245">
        <v>7106</v>
      </c>
      <c r="J245">
        <v>2.989973994263686</v>
      </c>
      <c r="K245">
        <v>14230</v>
      </c>
      <c r="L245">
        <v>293147</v>
      </c>
      <c r="M245">
        <v>79396</v>
      </c>
      <c r="N245">
        <v>154721</v>
      </c>
      <c r="O245" s="43">
        <v>37419562.223999999</v>
      </c>
      <c r="P245" s="14">
        <f t="shared" si="11"/>
        <v>2975255.7119999975</v>
      </c>
      <c r="Q245" s="14" t="str">
        <f t="shared" si="9"/>
        <v/>
      </c>
      <c r="R245" s="14" t="str">
        <f t="shared" si="9"/>
        <v/>
      </c>
      <c r="S245" s="14" t="str">
        <f t="shared" si="10"/>
        <v/>
      </c>
      <c r="T245" s="14" t="s">
        <v>72</v>
      </c>
      <c r="U245" s="14">
        <v>418.69627244582006</v>
      </c>
      <c r="V245">
        <v>5761</v>
      </c>
      <c r="W245">
        <v>36.541467285156301</v>
      </c>
      <c r="X245">
        <v>8.5434767873527893</v>
      </c>
      <c r="Y245">
        <v>5.5975457506009603</v>
      </c>
      <c r="Z245" s="31">
        <v>4.04155117605029</v>
      </c>
      <c r="AA245">
        <v>7.3825763829415099</v>
      </c>
      <c r="AB245">
        <v>0.06</v>
      </c>
      <c r="AC245">
        <v>240731.26419698299</v>
      </c>
      <c r="AD245">
        <v>275468.78562060773</v>
      </c>
      <c r="AE245">
        <v>1</v>
      </c>
      <c r="AF245">
        <v>283458.37175520422</v>
      </c>
      <c r="AG245">
        <v>1170134.9344832429</v>
      </c>
    </row>
    <row r="246" spans="2:33" hidden="1" x14ac:dyDescent="0.25">
      <c r="B246">
        <v>5</v>
      </c>
      <c r="C246" t="s">
        <v>32</v>
      </c>
      <c r="D246" t="s">
        <v>33</v>
      </c>
      <c r="E246" t="s">
        <v>67</v>
      </c>
      <c r="F246">
        <v>106899</v>
      </c>
      <c r="G246">
        <v>119589</v>
      </c>
      <c r="H246">
        <v>22</v>
      </c>
      <c r="I246">
        <v>6192</v>
      </c>
      <c r="J246">
        <v>0.78152672904698595</v>
      </c>
      <c r="K246">
        <v>14230</v>
      </c>
      <c r="L246">
        <v>293147</v>
      </c>
      <c r="M246">
        <v>79396</v>
      </c>
      <c r="N246">
        <v>154721</v>
      </c>
      <c r="O246" s="43">
        <v>40280385.023999996</v>
      </c>
      <c r="P246" s="14">
        <f t="shared" si="11"/>
        <v>2860822.799999997</v>
      </c>
      <c r="Q246" s="14" t="str">
        <f t="shared" si="9"/>
        <v/>
      </c>
      <c r="R246" s="14" t="str">
        <f t="shared" si="9"/>
        <v/>
      </c>
      <c r="S246" s="14" t="str">
        <f t="shared" si="10"/>
        <v/>
      </c>
      <c r="T246" s="14" t="s">
        <v>72</v>
      </c>
      <c r="U246" s="14">
        <v>462.01918604651235</v>
      </c>
      <c r="V246">
        <v>5761</v>
      </c>
      <c r="W246">
        <v>33.141564941406301</v>
      </c>
      <c r="X246">
        <v>14.3836127128403</v>
      </c>
      <c r="Y246">
        <v>4.3413887883929903</v>
      </c>
      <c r="Z246" s="31">
        <v>5.4592478273358198</v>
      </c>
      <c r="AA246">
        <v>11.8184187152003</v>
      </c>
      <c r="AB246">
        <v>0.06</v>
      </c>
      <c r="AC246">
        <v>240731.26419698299</v>
      </c>
      <c r="AD246">
        <v>275468.78562060773</v>
      </c>
      <c r="AE246">
        <v>1</v>
      </c>
      <c r="AF246">
        <v>283458.37175520422</v>
      </c>
      <c r="AG246">
        <v>1170134.9344832429</v>
      </c>
    </row>
    <row r="247" spans="2:33" hidden="1" x14ac:dyDescent="0.25">
      <c r="B247">
        <v>5</v>
      </c>
      <c r="C247" t="s">
        <v>32</v>
      </c>
      <c r="D247" t="s">
        <v>33</v>
      </c>
      <c r="E247" t="s">
        <v>67</v>
      </c>
      <c r="F247">
        <v>114954</v>
      </c>
      <c r="G247">
        <v>119589</v>
      </c>
      <c r="H247">
        <v>23</v>
      </c>
      <c r="I247">
        <v>7043</v>
      </c>
      <c r="J247">
        <v>2.492160650227027</v>
      </c>
      <c r="K247">
        <v>14230</v>
      </c>
      <c r="L247">
        <v>293147</v>
      </c>
      <c r="M247">
        <v>79396</v>
      </c>
      <c r="N247">
        <v>154721</v>
      </c>
      <c r="O247" s="43">
        <v>41768012.880000003</v>
      </c>
      <c r="P247" s="14">
        <f t="shared" si="11"/>
        <v>1487627.8560000062</v>
      </c>
      <c r="Q247" s="14" t="str">
        <f t="shared" si="9"/>
        <v/>
      </c>
      <c r="R247" s="14" t="str">
        <f t="shared" si="9"/>
        <v/>
      </c>
      <c r="S247" s="14" t="str">
        <f t="shared" si="10"/>
        <v/>
      </c>
      <c r="T247" s="14" t="s">
        <v>72</v>
      </c>
      <c r="U247" s="14">
        <v>211.22076615078785</v>
      </c>
      <c r="V247">
        <v>5761</v>
      </c>
      <c r="W247">
        <v>32.740472412109398</v>
      </c>
      <c r="X247">
        <v>14.8064241371953</v>
      </c>
      <c r="Y247">
        <v>4.2238445514080096</v>
      </c>
      <c r="Z247" s="31">
        <v>5.1796371124560201</v>
      </c>
      <c r="AA247">
        <v>9.5367327006046096</v>
      </c>
      <c r="AB247">
        <v>0.06</v>
      </c>
      <c r="AC247">
        <v>240731.26419698299</v>
      </c>
      <c r="AD247">
        <v>275468.78562060773</v>
      </c>
      <c r="AE247">
        <v>1</v>
      </c>
      <c r="AF247">
        <v>283458.37175520422</v>
      </c>
      <c r="AG247">
        <v>1170134.9344832429</v>
      </c>
    </row>
    <row r="248" spans="2:33" hidden="1" x14ac:dyDescent="0.25">
      <c r="B248">
        <v>5</v>
      </c>
      <c r="C248" t="s">
        <v>32</v>
      </c>
      <c r="D248" t="s">
        <v>33</v>
      </c>
      <c r="E248" t="s">
        <v>67</v>
      </c>
      <c r="F248">
        <v>118331</v>
      </c>
      <c r="G248">
        <v>119589</v>
      </c>
      <c r="H248">
        <v>24</v>
      </c>
      <c r="I248">
        <v>9664</v>
      </c>
      <c r="J248">
        <v>1.0448201757686739</v>
      </c>
      <c r="K248">
        <v>14230</v>
      </c>
      <c r="L248">
        <v>293147</v>
      </c>
      <c r="M248">
        <v>79396</v>
      </c>
      <c r="N248">
        <v>154721</v>
      </c>
      <c r="O248" s="43">
        <v>42340177.440000013</v>
      </c>
      <c r="P248" s="14">
        <f t="shared" si="11"/>
        <v>572164.56000000983</v>
      </c>
      <c r="Q248" s="14" t="str">
        <f t="shared" si="9"/>
        <v/>
      </c>
      <c r="R248" s="14" t="str">
        <f t="shared" si="9"/>
        <v/>
      </c>
      <c r="S248" s="14" t="str">
        <f t="shared" si="10"/>
        <v/>
      </c>
      <c r="T248" s="14" t="s">
        <v>72</v>
      </c>
      <c r="U248" s="14">
        <v>59.205769867549918</v>
      </c>
      <c r="V248">
        <v>5761</v>
      </c>
      <c r="W248">
        <v>32.366662597656301</v>
      </c>
      <c r="X248">
        <v>9.5020453306170491</v>
      </c>
      <c r="Y248">
        <v>4.3939890679885103</v>
      </c>
      <c r="Z248">
        <v>6.7679105209317196</v>
      </c>
      <c r="AA248">
        <v>13.437653474101101</v>
      </c>
      <c r="AB248">
        <v>0.06</v>
      </c>
      <c r="AC248">
        <v>240731.26419698299</v>
      </c>
      <c r="AD248">
        <v>275468.78562060773</v>
      </c>
      <c r="AE248">
        <v>1</v>
      </c>
      <c r="AF248">
        <v>283458.37175520422</v>
      </c>
      <c r="AG248">
        <v>1170134.9344832429</v>
      </c>
    </row>
    <row r="249" spans="2:33" hidden="1" x14ac:dyDescent="0.25">
      <c r="B249">
        <v>5</v>
      </c>
      <c r="C249" t="s">
        <v>32</v>
      </c>
      <c r="D249" t="s">
        <v>33</v>
      </c>
      <c r="E249" t="s">
        <v>67</v>
      </c>
      <c r="F249">
        <v>118710</v>
      </c>
      <c r="G249">
        <v>119589</v>
      </c>
      <c r="H249">
        <v>25</v>
      </c>
      <c r="I249">
        <v>2526</v>
      </c>
      <c r="J249">
        <v>0.11725994865748519</v>
      </c>
      <c r="K249">
        <v>14230</v>
      </c>
      <c r="L249">
        <v>293147</v>
      </c>
      <c r="M249">
        <v>79396</v>
      </c>
      <c r="N249">
        <v>154721</v>
      </c>
      <c r="O249" s="43">
        <v>44514402.768000007</v>
      </c>
      <c r="P249" s="14">
        <f t="shared" si="11"/>
        <v>2174225.3279999942</v>
      </c>
      <c r="Q249" s="14" t="str">
        <f t="shared" si="9"/>
        <v/>
      </c>
      <c r="R249" s="14" t="str">
        <f t="shared" si="9"/>
        <v/>
      </c>
      <c r="S249" s="14" t="str">
        <f t="shared" si="10"/>
        <v/>
      </c>
      <c r="T249" s="14" t="s">
        <v>72</v>
      </c>
      <c r="U249" s="14">
        <v>860.73845130641394</v>
      </c>
      <c r="V249">
        <v>5761</v>
      </c>
      <c r="W249">
        <v>32.124627685546898</v>
      </c>
      <c r="X249">
        <v>12.8947961834005</v>
      </c>
      <c r="Y249">
        <v>4.1716886069284902</v>
      </c>
      <c r="Z249" s="31">
        <v>5.5417060370869402</v>
      </c>
      <c r="AA249">
        <v>9.9911884715164501</v>
      </c>
      <c r="AB249">
        <v>0.06</v>
      </c>
      <c r="AC249">
        <v>240731.26419698299</v>
      </c>
      <c r="AD249">
        <v>275468.78562060773</v>
      </c>
      <c r="AE249">
        <v>1</v>
      </c>
      <c r="AF249">
        <v>283458.37175520422</v>
      </c>
      <c r="AG249">
        <v>1170134.9344832429</v>
      </c>
    </row>
    <row r="250" spans="2:33" hidden="1" x14ac:dyDescent="0.25">
      <c r="B250">
        <v>5</v>
      </c>
      <c r="C250" t="s">
        <v>32</v>
      </c>
      <c r="D250" t="s">
        <v>33</v>
      </c>
      <c r="E250" t="s">
        <v>67</v>
      </c>
      <c r="F250">
        <v>118765</v>
      </c>
      <c r="G250">
        <v>119589</v>
      </c>
      <c r="H250">
        <v>26</v>
      </c>
      <c r="I250">
        <v>8055</v>
      </c>
      <c r="J250">
        <v>1.7016615240532159E-2</v>
      </c>
      <c r="K250">
        <v>14230</v>
      </c>
      <c r="L250">
        <v>293147</v>
      </c>
      <c r="M250">
        <v>79396</v>
      </c>
      <c r="N250">
        <v>154721</v>
      </c>
      <c r="O250" s="43">
        <v>46230896.448000006</v>
      </c>
      <c r="P250" s="14">
        <f t="shared" si="11"/>
        <v>1716493.6799999997</v>
      </c>
      <c r="Q250" s="14" t="str">
        <f t="shared" si="9"/>
        <v/>
      </c>
      <c r="R250" s="14" t="str">
        <f t="shared" si="9"/>
        <v/>
      </c>
      <c r="S250" s="14" t="str">
        <f t="shared" si="10"/>
        <v/>
      </c>
      <c r="T250" s="14" t="s">
        <v>72</v>
      </c>
      <c r="U250" s="14">
        <v>213.09667039106142</v>
      </c>
      <c r="V250">
        <v>5761</v>
      </c>
      <c r="W250">
        <v>32.339318847656301</v>
      </c>
      <c r="X250">
        <v>20.898562984483199</v>
      </c>
      <c r="Y250">
        <v>3.8337303574750399</v>
      </c>
      <c r="Z250" s="31">
        <v>4.0810234069081801</v>
      </c>
      <c r="AA250">
        <v>5.73064163385376</v>
      </c>
      <c r="AB250">
        <v>0.06</v>
      </c>
      <c r="AC250">
        <v>240731.26419698299</v>
      </c>
      <c r="AD250">
        <v>275468.78562060773</v>
      </c>
      <c r="AE250">
        <v>1</v>
      </c>
      <c r="AF250">
        <v>283458.37175520422</v>
      </c>
      <c r="AG250">
        <v>1170134.9344832429</v>
      </c>
    </row>
    <row r="251" spans="2:33" hidden="1" x14ac:dyDescent="0.25">
      <c r="B251">
        <v>5</v>
      </c>
      <c r="C251" t="s">
        <v>32</v>
      </c>
      <c r="D251" t="s">
        <v>33</v>
      </c>
      <c r="E251" t="s">
        <v>67</v>
      </c>
      <c r="F251">
        <v>118980</v>
      </c>
      <c r="G251">
        <v>119589</v>
      </c>
      <c r="H251">
        <v>27</v>
      </c>
      <c r="I251">
        <v>3377</v>
      </c>
      <c r="J251">
        <v>6.6519495940262061E-2</v>
      </c>
      <c r="K251">
        <v>14230</v>
      </c>
      <c r="L251">
        <v>293147</v>
      </c>
      <c r="M251">
        <v>79396</v>
      </c>
      <c r="N251">
        <v>154721</v>
      </c>
      <c r="O251" s="43">
        <v>46803061.008000001</v>
      </c>
      <c r="P251" s="14">
        <f t="shared" si="11"/>
        <v>572164.55999999493</v>
      </c>
      <c r="Q251" s="14" t="str">
        <f t="shared" si="9"/>
        <v/>
      </c>
      <c r="R251" s="14" t="str">
        <f t="shared" si="9"/>
        <v/>
      </c>
      <c r="S251" s="14" t="str">
        <f t="shared" si="10"/>
        <v/>
      </c>
      <c r="T251" s="14" t="s">
        <v>72</v>
      </c>
      <c r="U251" s="14">
        <v>169.429837133549</v>
      </c>
      <c r="V251">
        <v>5761</v>
      </c>
      <c r="W251">
        <v>27.531488037109401</v>
      </c>
      <c r="X251">
        <v>42.920495655976303</v>
      </c>
      <c r="Y251">
        <v>2.0990607167226498</v>
      </c>
      <c r="Z251" s="31">
        <v>0.62273025838677898</v>
      </c>
      <c r="AA251">
        <v>1.8293211831068901</v>
      </c>
      <c r="AB251">
        <v>0.06</v>
      </c>
      <c r="AC251">
        <v>240731.26419698299</v>
      </c>
      <c r="AD251">
        <v>275468.78562060773</v>
      </c>
      <c r="AE251">
        <v>1</v>
      </c>
      <c r="AF251">
        <v>283458.37175520422</v>
      </c>
      <c r="AG251">
        <v>1170134.9344832429</v>
      </c>
    </row>
    <row r="252" spans="2:33" hidden="1" x14ac:dyDescent="0.25">
      <c r="B252">
        <v>5</v>
      </c>
      <c r="C252" t="s">
        <v>32</v>
      </c>
      <c r="D252" t="s">
        <v>33</v>
      </c>
      <c r="E252" t="s">
        <v>67</v>
      </c>
      <c r="G252">
        <v>119589</v>
      </c>
      <c r="H252">
        <v>28</v>
      </c>
      <c r="I252">
        <v>379</v>
      </c>
      <c r="J252">
        <v>0</v>
      </c>
      <c r="K252">
        <v>14230</v>
      </c>
      <c r="L252">
        <v>293147</v>
      </c>
      <c r="M252">
        <v>79396</v>
      </c>
      <c r="N252">
        <v>154721</v>
      </c>
      <c r="O252" s="43">
        <v>47586125.424815997</v>
      </c>
      <c r="P252" s="14">
        <f t="shared" si="11"/>
        <v>783064.41681599617</v>
      </c>
      <c r="Q252" s="14" t="str">
        <f t="shared" si="9"/>
        <v/>
      </c>
      <c r="R252" s="14" t="str">
        <f t="shared" si="9"/>
        <v/>
      </c>
      <c r="S252" s="14" t="str">
        <f t="shared" si="10"/>
        <v/>
      </c>
      <c r="T252" s="14" t="s">
        <v>72</v>
      </c>
      <c r="U252" s="14">
        <v>2066.1330258997459</v>
      </c>
      <c r="V252">
        <v>5761</v>
      </c>
      <c r="W252">
        <v>34.148370361328098</v>
      </c>
      <c r="X252">
        <v>26.793095920860601</v>
      </c>
      <c r="Y252">
        <v>3.9250979201974299</v>
      </c>
      <c r="Z252" s="31">
        <v>3.3389423537768099</v>
      </c>
      <c r="AA252">
        <v>3.9828525705127502</v>
      </c>
      <c r="AB252">
        <v>0.06</v>
      </c>
      <c r="AC252">
        <v>240731.26419698299</v>
      </c>
      <c r="AD252">
        <v>275468.78562060773</v>
      </c>
      <c r="AE252">
        <v>1</v>
      </c>
      <c r="AF252">
        <v>283458.37175520422</v>
      </c>
      <c r="AG252">
        <v>1170134.9344832429</v>
      </c>
    </row>
    <row r="253" spans="2:33" hidden="1" x14ac:dyDescent="0.25">
      <c r="B253">
        <v>5</v>
      </c>
      <c r="C253" t="s">
        <v>32</v>
      </c>
      <c r="D253" t="s">
        <v>33</v>
      </c>
      <c r="E253" t="s">
        <v>67</v>
      </c>
      <c r="F253">
        <v>119020</v>
      </c>
      <c r="G253">
        <v>119589</v>
      </c>
      <c r="H253">
        <v>29</v>
      </c>
      <c r="I253">
        <v>55</v>
      </c>
      <c r="J253">
        <v>0</v>
      </c>
      <c r="K253">
        <v>14230</v>
      </c>
      <c r="L253">
        <v>293147</v>
      </c>
      <c r="M253">
        <v>79396</v>
      </c>
      <c r="N253">
        <v>154721</v>
      </c>
      <c r="O253" s="43">
        <v>48409686.424756654</v>
      </c>
      <c r="P253" s="14">
        <f t="shared" si="11"/>
        <v>823560.99994065613</v>
      </c>
      <c r="Q253" s="14" t="str">
        <f t="shared" si="9"/>
        <v/>
      </c>
      <c r="R253" s="14" t="str">
        <f t="shared" si="9"/>
        <v/>
      </c>
      <c r="S253" s="14" t="str">
        <f t="shared" si="10"/>
        <v/>
      </c>
      <c r="T253" s="14" t="s">
        <v>72</v>
      </c>
      <c r="U253" s="14">
        <v>14973.836362557113</v>
      </c>
      <c r="V253">
        <v>5761</v>
      </c>
      <c r="W253">
        <v>34.863000488281301</v>
      </c>
      <c r="X253">
        <v>20.337596358163001</v>
      </c>
      <c r="Y253">
        <v>4.4446250738406299</v>
      </c>
      <c r="Z253" s="31">
        <v>4.5856763753295704</v>
      </c>
      <c r="AA253">
        <v>3.8698373148178602</v>
      </c>
      <c r="AB253">
        <v>0.06</v>
      </c>
      <c r="AC253">
        <v>240731.26419698299</v>
      </c>
      <c r="AD253">
        <v>275468.78562060773</v>
      </c>
      <c r="AE253">
        <v>1</v>
      </c>
      <c r="AF253">
        <v>283458.37175520422</v>
      </c>
      <c r="AG253">
        <v>1170134.9344832429</v>
      </c>
    </row>
    <row r="254" spans="2:33" hidden="1" x14ac:dyDescent="0.25">
      <c r="B254">
        <v>5</v>
      </c>
      <c r="C254" t="s">
        <v>32</v>
      </c>
      <c r="D254" t="s">
        <v>33</v>
      </c>
      <c r="E254" t="s">
        <v>67</v>
      </c>
      <c r="G254">
        <v>119589</v>
      </c>
      <c r="H254">
        <v>30</v>
      </c>
      <c r="I254">
        <v>215</v>
      </c>
      <c r="J254">
        <v>0</v>
      </c>
      <c r="K254">
        <v>14230</v>
      </c>
      <c r="L254">
        <v>293147</v>
      </c>
      <c r="M254">
        <v>79396</v>
      </c>
      <c r="N254">
        <v>154721</v>
      </c>
      <c r="O254" s="43">
        <v>48372927.220537923</v>
      </c>
      <c r="P254" s="14">
        <f t="shared" si="11"/>
        <v>-36759.20421873033</v>
      </c>
      <c r="Q254" s="14">
        <f t="shared" si="9"/>
        <v>-36759.20421873033</v>
      </c>
      <c r="R254" s="14">
        <f t="shared" si="9"/>
        <v>-36759.20421873033</v>
      </c>
      <c r="S254" s="14">
        <f t="shared" si="10"/>
        <v>1351239094.7943218</v>
      </c>
      <c r="T254" s="14">
        <v>1351239094.7943218</v>
      </c>
      <c r="U254" s="14">
        <v>-170.97304287778084</v>
      </c>
      <c r="V254">
        <v>5761</v>
      </c>
      <c r="W254">
        <v>36.893029785156301</v>
      </c>
      <c r="X254">
        <v>13.7477744194463</v>
      </c>
      <c r="Y254">
        <v>5.38037750461132</v>
      </c>
      <c r="Z254" s="31">
        <v>4.31916491015504</v>
      </c>
      <c r="AA254">
        <v>5.3832179947843102</v>
      </c>
      <c r="AB254">
        <v>0.06</v>
      </c>
      <c r="AC254">
        <v>240731.26419698299</v>
      </c>
      <c r="AD254">
        <v>275468.78562060773</v>
      </c>
      <c r="AE254">
        <v>1</v>
      </c>
      <c r="AF254">
        <v>283458.37175520422</v>
      </c>
      <c r="AG254">
        <v>1170134.9344832429</v>
      </c>
    </row>
    <row r="255" spans="2:33" hidden="1" x14ac:dyDescent="0.25">
      <c r="B255">
        <v>5</v>
      </c>
      <c r="C255" t="s">
        <v>32</v>
      </c>
      <c r="D255" t="s">
        <v>33</v>
      </c>
      <c r="E255" t="s">
        <v>67</v>
      </c>
      <c r="G255">
        <v>119589</v>
      </c>
      <c r="H255">
        <v>31</v>
      </c>
      <c r="I255" s="2">
        <v>0</v>
      </c>
      <c r="J255">
        <v>0</v>
      </c>
      <c r="K255">
        <v>14230</v>
      </c>
      <c r="L255">
        <v>293147</v>
      </c>
      <c r="M255">
        <v>79396</v>
      </c>
      <c r="N255">
        <v>154721</v>
      </c>
      <c r="O255" s="43">
        <v>49446168.590140983</v>
      </c>
      <c r="P255" s="14">
        <f t="shared" si="11"/>
        <v>1073241.3696030602</v>
      </c>
      <c r="Q255" s="14" t="str">
        <f t="shared" si="9"/>
        <v/>
      </c>
      <c r="R255" s="14" t="str">
        <f t="shared" si="9"/>
        <v/>
      </c>
      <c r="S255" s="14" t="str">
        <f t="shared" si="10"/>
        <v/>
      </c>
      <c r="T255" s="14" t="s">
        <v>72</v>
      </c>
      <c r="U255" s="14">
        <v>0</v>
      </c>
      <c r="V255">
        <v>5761</v>
      </c>
      <c r="W255">
        <v>37.011407470703098</v>
      </c>
      <c r="X255">
        <v>10.0133451527158</v>
      </c>
      <c r="Y255">
        <v>5.6502880143393304</v>
      </c>
      <c r="Z255" s="31">
        <v>4.8998917340523498</v>
      </c>
      <c r="AA255">
        <v>5.2490523726974301</v>
      </c>
      <c r="AB255">
        <v>0.06</v>
      </c>
      <c r="AC255">
        <v>240731.26419698299</v>
      </c>
      <c r="AD255">
        <v>275468.78562060773</v>
      </c>
      <c r="AE255">
        <v>1</v>
      </c>
      <c r="AF255">
        <v>283458.37175520422</v>
      </c>
      <c r="AG255">
        <v>1170134.9344832429</v>
      </c>
    </row>
    <row r="256" spans="2:33" hidden="1" x14ac:dyDescent="0.25">
      <c r="B256">
        <v>5</v>
      </c>
      <c r="C256" t="s">
        <v>32</v>
      </c>
      <c r="D256" t="s">
        <v>33</v>
      </c>
      <c r="E256" t="s">
        <v>67</v>
      </c>
      <c r="F256">
        <v>119235</v>
      </c>
      <c r="G256">
        <v>119589</v>
      </c>
      <c r="H256">
        <v>32</v>
      </c>
      <c r="I256" s="2">
        <v>0</v>
      </c>
      <c r="J256">
        <v>7.8895216115194539E-2</v>
      </c>
      <c r="K256">
        <v>14230</v>
      </c>
      <c r="L256">
        <v>293147</v>
      </c>
      <c r="M256">
        <v>79396</v>
      </c>
      <c r="N256">
        <v>154721</v>
      </c>
      <c r="O256" s="43">
        <v>49500566.300322726</v>
      </c>
      <c r="P256" s="14">
        <f t="shared" si="11"/>
        <v>54397.710181742907</v>
      </c>
      <c r="Q256" s="14" t="str">
        <f t="shared" si="9"/>
        <v/>
      </c>
      <c r="R256" s="14" t="str">
        <f t="shared" si="9"/>
        <v/>
      </c>
      <c r="S256" s="14" t="str">
        <f t="shared" si="10"/>
        <v/>
      </c>
      <c r="T256" s="14" t="s">
        <v>72</v>
      </c>
      <c r="U256" s="14">
        <v>0</v>
      </c>
      <c r="V256">
        <v>5761</v>
      </c>
      <c r="W256">
        <v>37.120812988281301</v>
      </c>
      <c r="X256">
        <v>12.0450371479191</v>
      </c>
      <c r="Y256">
        <v>5.5553362127408796</v>
      </c>
      <c r="Z256" s="31">
        <v>3.9974271804644901</v>
      </c>
      <c r="AA256">
        <v>4.5738996347391501</v>
      </c>
      <c r="AB256">
        <v>0.06</v>
      </c>
      <c r="AC256">
        <v>240731.26419698299</v>
      </c>
      <c r="AD256">
        <v>275468.78562060773</v>
      </c>
      <c r="AE256">
        <v>1</v>
      </c>
      <c r="AF256">
        <v>283458.37175520422</v>
      </c>
      <c r="AG256">
        <v>1170134.9344832429</v>
      </c>
    </row>
    <row r="257" spans="1:33" hidden="1" x14ac:dyDescent="0.25">
      <c r="B257">
        <v>5</v>
      </c>
      <c r="C257" t="s">
        <v>32</v>
      </c>
      <c r="D257" t="s">
        <v>33</v>
      </c>
      <c r="E257" t="s">
        <v>67</v>
      </c>
      <c r="G257">
        <v>119589</v>
      </c>
      <c r="H257">
        <v>33</v>
      </c>
      <c r="I257" s="5">
        <v>0</v>
      </c>
      <c r="J257">
        <v>0</v>
      </c>
      <c r="K257">
        <v>14230</v>
      </c>
      <c r="L257">
        <v>293147</v>
      </c>
      <c r="M257">
        <v>79396</v>
      </c>
      <c r="N257">
        <v>154721</v>
      </c>
      <c r="O257" s="43">
        <v>49502119.864422612</v>
      </c>
      <c r="P257" s="14">
        <f t="shared" si="11"/>
        <v>1553.5640998855233</v>
      </c>
      <c r="Q257" s="14" t="str">
        <f t="shared" si="9"/>
        <v/>
      </c>
      <c r="R257" s="14" t="str">
        <f t="shared" si="9"/>
        <v/>
      </c>
      <c r="S257" s="14" t="str">
        <f t="shared" si="10"/>
        <v/>
      </c>
      <c r="T257" s="14" t="s">
        <v>72</v>
      </c>
      <c r="U257" s="14">
        <v>0</v>
      </c>
      <c r="V257">
        <v>5761</v>
      </c>
      <c r="W257">
        <v>36.839593505859398</v>
      </c>
      <c r="X257">
        <v>18.307168455115601</v>
      </c>
      <c r="Y257">
        <v>5.0803647219142203</v>
      </c>
      <c r="Z257" s="31">
        <v>4.0633425730889901</v>
      </c>
      <c r="AA257">
        <v>5.8891815532160896</v>
      </c>
      <c r="AB257">
        <v>0.06</v>
      </c>
      <c r="AC257">
        <v>240731.26419698299</v>
      </c>
      <c r="AD257">
        <v>275468.78562060773</v>
      </c>
      <c r="AE257">
        <v>1</v>
      </c>
      <c r="AF257">
        <v>283458.37175520422</v>
      </c>
      <c r="AG257">
        <v>1170134.9344832429</v>
      </c>
    </row>
    <row r="258" spans="1:33" hidden="1" x14ac:dyDescent="0.25">
      <c r="B258">
        <v>5</v>
      </c>
      <c r="C258" t="s">
        <v>32</v>
      </c>
      <c r="D258" t="s">
        <v>33</v>
      </c>
      <c r="E258" t="s">
        <v>67</v>
      </c>
      <c r="F258">
        <v>119250</v>
      </c>
      <c r="G258">
        <v>119589</v>
      </c>
      <c r="H258">
        <v>34</v>
      </c>
      <c r="I258" s="5">
        <v>0</v>
      </c>
      <c r="J258">
        <v>3.0939300437331192E-4</v>
      </c>
      <c r="K258">
        <v>14230</v>
      </c>
      <c r="L258">
        <v>293147</v>
      </c>
      <c r="M258">
        <v>79396</v>
      </c>
      <c r="N258">
        <v>154721</v>
      </c>
      <c r="O258" s="43">
        <v>49912301.639344327</v>
      </c>
      <c r="P258" s="14">
        <f t="shared" si="11"/>
        <v>410181.77492171526</v>
      </c>
      <c r="Q258" s="14" t="str">
        <f t="shared" si="9"/>
        <v/>
      </c>
      <c r="R258" s="14" t="str">
        <f t="shared" si="9"/>
        <v/>
      </c>
      <c r="S258" s="14" t="str">
        <f t="shared" si="10"/>
        <v/>
      </c>
      <c r="T258" s="14" t="s">
        <v>72</v>
      </c>
      <c r="U258" s="14">
        <v>0</v>
      </c>
      <c r="V258">
        <v>5761</v>
      </c>
      <c r="W258">
        <v>36.631738281250001</v>
      </c>
      <c r="X258">
        <v>19.8465128611629</v>
      </c>
      <c r="Y258">
        <v>4.9282085439267096</v>
      </c>
      <c r="Z258" s="31">
        <v>3.94924142307603</v>
      </c>
      <c r="AA258">
        <v>4.5794946929545102</v>
      </c>
      <c r="AB258">
        <v>0.06</v>
      </c>
      <c r="AC258">
        <v>240731.26419698299</v>
      </c>
      <c r="AD258">
        <v>275468.78562060773</v>
      </c>
      <c r="AE258">
        <v>1</v>
      </c>
      <c r="AF258">
        <v>283458.37175520422</v>
      </c>
      <c r="AG258">
        <v>1170134.9344832429</v>
      </c>
    </row>
    <row r="259" spans="1:33" hidden="1" x14ac:dyDescent="0.25">
      <c r="B259">
        <v>5</v>
      </c>
      <c r="C259" t="s">
        <v>32</v>
      </c>
      <c r="D259" t="s">
        <v>33</v>
      </c>
      <c r="E259" t="s">
        <v>67</v>
      </c>
      <c r="G259">
        <v>119589</v>
      </c>
      <c r="H259">
        <v>35</v>
      </c>
      <c r="I259" s="5">
        <v>255</v>
      </c>
      <c r="J259">
        <v>0</v>
      </c>
      <c r="K259">
        <v>14230</v>
      </c>
      <c r="L259">
        <v>293147</v>
      </c>
      <c r="M259">
        <v>79396</v>
      </c>
      <c r="N259">
        <v>154721</v>
      </c>
      <c r="O259" s="43">
        <v>50130011.673392437</v>
      </c>
      <c r="P259" s="14">
        <f t="shared" si="11"/>
        <v>217710.03404811025</v>
      </c>
      <c r="Q259" s="14" t="str">
        <f t="shared" ref="Q259:R322" si="12">IF(P259&gt;=0,"",P259)</f>
        <v/>
      </c>
      <c r="R259" s="14" t="str">
        <f t="shared" si="12"/>
        <v/>
      </c>
      <c r="S259" s="14" t="str">
        <f t="shared" ref="S259:S322" si="13">IFERROR(IF(ISNA(Q259),NA(),Q259^2),"")</f>
        <v/>
      </c>
      <c r="T259" s="14" t="s">
        <v>72</v>
      </c>
      <c r="U259" s="14">
        <v>853.76483940435389</v>
      </c>
      <c r="V259">
        <v>5761</v>
      </c>
      <c r="W259">
        <v>38.143487548828098</v>
      </c>
      <c r="X259">
        <v>19.158151586974299</v>
      </c>
      <c r="Y259">
        <v>5.3955374391859001</v>
      </c>
      <c r="Z259" s="31">
        <v>4.0907956951811704</v>
      </c>
      <c r="AA259">
        <v>2.8275088437939799</v>
      </c>
      <c r="AB259">
        <v>0.06</v>
      </c>
      <c r="AC259">
        <v>240731.26419698299</v>
      </c>
      <c r="AD259">
        <v>275468.78562060773</v>
      </c>
      <c r="AE259">
        <v>1</v>
      </c>
      <c r="AF259">
        <v>283458.37175520422</v>
      </c>
      <c r="AG259">
        <v>1170134.9344832429</v>
      </c>
    </row>
    <row r="260" spans="1:33" hidden="1" x14ac:dyDescent="0.25">
      <c r="B260">
        <v>5</v>
      </c>
      <c r="C260" t="s">
        <v>32</v>
      </c>
      <c r="D260" t="s">
        <v>33</v>
      </c>
      <c r="E260" t="s">
        <v>67</v>
      </c>
      <c r="F260">
        <v>119589</v>
      </c>
      <c r="G260">
        <v>119589</v>
      </c>
      <c r="H260">
        <v>36</v>
      </c>
      <c r="I260" s="5">
        <v>0</v>
      </c>
      <c r="J260">
        <v>0</v>
      </c>
      <c r="K260">
        <v>14230</v>
      </c>
      <c r="L260">
        <v>293147</v>
      </c>
      <c r="M260">
        <v>79396</v>
      </c>
      <c r="N260">
        <v>154721</v>
      </c>
      <c r="O260" s="43">
        <v>50515743.002852157</v>
      </c>
      <c r="P260" s="14">
        <f t="shared" ref="P260:P323" si="14">O260-O259</f>
        <v>385731.32945971936</v>
      </c>
      <c r="Q260" s="14" t="str">
        <f t="shared" si="12"/>
        <v/>
      </c>
      <c r="R260" s="14" t="str">
        <f t="shared" si="12"/>
        <v/>
      </c>
      <c r="S260" s="14" t="str">
        <f t="shared" si="13"/>
        <v/>
      </c>
      <c r="T260" s="14" t="s">
        <v>72</v>
      </c>
      <c r="U260" s="14">
        <v>0</v>
      </c>
      <c r="V260">
        <v>5761</v>
      </c>
      <c r="W260">
        <v>37.939111328125001</v>
      </c>
      <c r="X260">
        <v>19.366190667522201</v>
      </c>
      <c r="Y260">
        <v>5.3225462015351601</v>
      </c>
      <c r="Z260" s="31">
        <v>4.7880298298104798</v>
      </c>
      <c r="AA260">
        <v>2.5012369333618398</v>
      </c>
      <c r="AB260">
        <v>0.06</v>
      </c>
      <c r="AC260">
        <v>240731.26419698299</v>
      </c>
      <c r="AD260">
        <v>275468.78562060773</v>
      </c>
      <c r="AE260">
        <v>1</v>
      </c>
      <c r="AF260">
        <v>283458.37175520422</v>
      </c>
      <c r="AG260">
        <v>1170134.9344832429</v>
      </c>
    </row>
    <row r="261" spans="1:33" hidden="1" x14ac:dyDescent="0.25">
      <c r="A261" t="s">
        <v>107</v>
      </c>
      <c r="B261">
        <v>6</v>
      </c>
      <c r="C261" t="s">
        <v>34</v>
      </c>
      <c r="D261" t="s">
        <v>35</v>
      </c>
      <c r="E261" t="s">
        <v>68</v>
      </c>
      <c r="F261">
        <v>1041</v>
      </c>
      <c r="G261">
        <v>325136</v>
      </c>
      <c r="H261">
        <v>1</v>
      </c>
      <c r="I261" s="5">
        <v>0</v>
      </c>
      <c r="J261">
        <v>7.7613404489999996E-2</v>
      </c>
      <c r="K261">
        <v>78192</v>
      </c>
      <c r="L261">
        <v>1157033</v>
      </c>
      <c r="M261">
        <v>23691</v>
      </c>
      <c r="N261">
        <v>93261</v>
      </c>
      <c r="O261" s="43">
        <v>100000</v>
      </c>
      <c r="P261" s="14">
        <v>0</v>
      </c>
      <c r="Q261" s="14" t="str">
        <f t="shared" si="12"/>
        <v/>
      </c>
      <c r="R261" s="14" t="str">
        <f t="shared" si="12"/>
        <v/>
      </c>
      <c r="S261" s="14" t="str">
        <f t="shared" si="13"/>
        <v/>
      </c>
      <c r="T261" s="14" t="s">
        <v>72</v>
      </c>
      <c r="U261" s="14">
        <v>0</v>
      </c>
      <c r="V261">
        <v>8566</v>
      </c>
      <c r="W261">
        <v>23.811242675781301</v>
      </c>
      <c r="X261">
        <v>2.4593165593083999</v>
      </c>
      <c r="Y261">
        <v>2.8787834229192102</v>
      </c>
      <c r="Z261" s="31">
        <v>4.9915668300583498</v>
      </c>
      <c r="AA261">
        <v>8.5197233695094194</v>
      </c>
      <c r="AB261">
        <v>0.08</v>
      </c>
      <c r="AC261">
        <v>169613.82930303301</v>
      </c>
      <c r="AD261">
        <v>169613.82930303301</v>
      </c>
      <c r="AE261">
        <v>1</v>
      </c>
      <c r="AF261">
        <v>468.96422781189148</v>
      </c>
      <c r="AG261">
        <v>11774.61516947211</v>
      </c>
    </row>
    <row r="262" spans="1:33" hidden="1" x14ac:dyDescent="0.25">
      <c r="B262">
        <v>6</v>
      </c>
      <c r="C262" t="s">
        <v>34</v>
      </c>
      <c r="D262" t="s">
        <v>35</v>
      </c>
      <c r="E262" t="s">
        <v>68</v>
      </c>
      <c r="F262">
        <v>1147</v>
      </c>
      <c r="G262">
        <v>325136</v>
      </c>
      <c r="H262">
        <v>2</v>
      </c>
      <c r="I262" s="5">
        <v>0</v>
      </c>
      <c r="J262">
        <v>7.9029979599999998E-3</v>
      </c>
      <c r="K262">
        <v>78192</v>
      </c>
      <c r="L262">
        <v>1157033</v>
      </c>
      <c r="M262">
        <v>23691</v>
      </c>
      <c r="N262">
        <v>93261</v>
      </c>
      <c r="O262" s="43">
        <v>564000</v>
      </c>
      <c r="P262" s="14">
        <f t="shared" si="14"/>
        <v>464000</v>
      </c>
      <c r="Q262" s="14" t="str">
        <f t="shared" si="12"/>
        <v/>
      </c>
      <c r="R262" s="14" t="str">
        <f t="shared" si="12"/>
        <v/>
      </c>
      <c r="S262" s="14" t="str">
        <f t="shared" si="13"/>
        <v/>
      </c>
      <c r="T262" s="14" t="s">
        <v>72</v>
      </c>
      <c r="U262" s="14">
        <v>0</v>
      </c>
      <c r="V262">
        <v>8566</v>
      </c>
      <c r="W262">
        <v>25.553216552734401</v>
      </c>
      <c r="X262">
        <v>2.2653763675095</v>
      </c>
      <c r="Y262">
        <v>3.2005704929690002</v>
      </c>
      <c r="Z262" s="31">
        <v>1.7841013636463801</v>
      </c>
      <c r="AA262">
        <v>2.8641611290454398</v>
      </c>
      <c r="AB262">
        <v>0.08</v>
      </c>
      <c r="AC262">
        <v>169613.82930303301</v>
      </c>
      <c r="AD262">
        <v>169613.82930303301</v>
      </c>
      <c r="AE262">
        <v>1</v>
      </c>
      <c r="AF262">
        <v>468.96422781189148</v>
      </c>
      <c r="AG262">
        <v>11774.61516947211</v>
      </c>
    </row>
    <row r="263" spans="1:33" hidden="1" x14ac:dyDescent="0.25">
      <c r="B263">
        <v>6</v>
      </c>
      <c r="C263" t="s">
        <v>34</v>
      </c>
      <c r="D263" t="s">
        <v>35</v>
      </c>
      <c r="E263" t="s">
        <v>68</v>
      </c>
      <c r="F263">
        <v>18762</v>
      </c>
      <c r="G263">
        <v>325136</v>
      </c>
      <c r="H263">
        <v>3</v>
      </c>
      <c r="I263" s="5">
        <v>0</v>
      </c>
      <c r="J263">
        <v>1.3133142360000001</v>
      </c>
      <c r="K263">
        <v>78192</v>
      </c>
      <c r="L263">
        <v>1157033</v>
      </c>
      <c r="M263">
        <v>23691</v>
      </c>
      <c r="N263">
        <v>93261</v>
      </c>
      <c r="O263" s="43">
        <v>564000</v>
      </c>
      <c r="P263" s="14">
        <f t="shared" si="14"/>
        <v>0</v>
      </c>
      <c r="Q263" s="14" t="str">
        <f t="shared" si="12"/>
        <v/>
      </c>
      <c r="R263" s="14" t="str">
        <f t="shared" si="12"/>
        <v/>
      </c>
      <c r="S263" s="14" t="str">
        <f t="shared" si="13"/>
        <v/>
      </c>
      <c r="T263" s="14" t="s">
        <v>72</v>
      </c>
      <c r="U263" s="14">
        <v>0</v>
      </c>
      <c r="V263">
        <v>8566</v>
      </c>
      <c r="W263">
        <v>27.929833984375001</v>
      </c>
      <c r="X263">
        <v>4.1753727724449101</v>
      </c>
      <c r="Y263">
        <v>3.6086725825320598</v>
      </c>
      <c r="Z263" s="31">
        <v>2.785974157299</v>
      </c>
      <c r="AA263">
        <v>3.7173304285714699</v>
      </c>
      <c r="AB263">
        <v>0.08</v>
      </c>
      <c r="AC263">
        <v>169613.82930303301</v>
      </c>
      <c r="AD263">
        <v>169613.82930303301</v>
      </c>
      <c r="AE263">
        <v>1</v>
      </c>
      <c r="AF263">
        <v>468.96422781189148</v>
      </c>
      <c r="AG263">
        <v>11774.61516947211</v>
      </c>
    </row>
    <row r="264" spans="1:33" hidden="1" x14ac:dyDescent="0.25">
      <c r="B264">
        <v>6</v>
      </c>
      <c r="C264" t="s">
        <v>34</v>
      </c>
      <c r="D264" t="s">
        <v>35</v>
      </c>
      <c r="E264" t="s">
        <v>68</v>
      </c>
      <c r="F264">
        <v>56132</v>
      </c>
      <c r="G264">
        <v>325136</v>
      </c>
      <c r="H264">
        <v>4</v>
      </c>
      <c r="I264">
        <v>1041</v>
      </c>
      <c r="J264">
        <v>2.7861795640000002</v>
      </c>
      <c r="K264">
        <v>78192</v>
      </c>
      <c r="L264">
        <v>1157033</v>
      </c>
      <c r="M264">
        <v>23691</v>
      </c>
      <c r="N264">
        <v>93261</v>
      </c>
      <c r="O264" s="43">
        <v>564000</v>
      </c>
      <c r="P264" s="14">
        <f t="shared" si="14"/>
        <v>0</v>
      </c>
      <c r="Q264" s="14" t="str">
        <f t="shared" si="12"/>
        <v/>
      </c>
      <c r="R264" s="14" t="str">
        <f t="shared" si="12"/>
        <v/>
      </c>
      <c r="S264" s="14" t="str">
        <f t="shared" si="13"/>
        <v/>
      </c>
      <c r="T264" s="14" t="s">
        <v>72</v>
      </c>
      <c r="U264" s="14">
        <v>0</v>
      </c>
      <c r="V264">
        <v>8566</v>
      </c>
      <c r="W264">
        <v>28.621545410156301</v>
      </c>
      <c r="X264">
        <v>3.6744886491085502</v>
      </c>
      <c r="Y264">
        <v>3.7761970728068701</v>
      </c>
      <c r="Z264" s="31">
        <v>3.9257180537408498</v>
      </c>
      <c r="AA264">
        <v>6.0043280991332502</v>
      </c>
      <c r="AB264">
        <v>0.08</v>
      </c>
      <c r="AC264">
        <v>169613.82930303301</v>
      </c>
      <c r="AD264">
        <v>169613.82930303301</v>
      </c>
      <c r="AE264">
        <v>1</v>
      </c>
      <c r="AF264">
        <v>468.96422781189148</v>
      </c>
      <c r="AG264">
        <v>11774.61516947211</v>
      </c>
    </row>
    <row r="265" spans="1:33" hidden="1" x14ac:dyDescent="0.25">
      <c r="B265">
        <v>6</v>
      </c>
      <c r="C265" t="s">
        <v>34</v>
      </c>
      <c r="D265" t="s">
        <v>35</v>
      </c>
      <c r="E265" t="s">
        <v>68</v>
      </c>
      <c r="F265">
        <v>77360</v>
      </c>
      <c r="G265">
        <v>325136</v>
      </c>
      <c r="H265">
        <v>5</v>
      </c>
      <c r="I265">
        <v>106</v>
      </c>
      <c r="J265">
        <v>1.5826871760000001</v>
      </c>
      <c r="K265">
        <v>78192</v>
      </c>
      <c r="L265">
        <v>1157033</v>
      </c>
      <c r="M265">
        <v>23691</v>
      </c>
      <c r="N265">
        <v>93261</v>
      </c>
      <c r="O265" s="43">
        <v>3400000</v>
      </c>
      <c r="P265" s="14">
        <f t="shared" si="14"/>
        <v>2836000</v>
      </c>
      <c r="Q265" s="14" t="str">
        <f t="shared" si="12"/>
        <v/>
      </c>
      <c r="R265" s="14" t="str">
        <f t="shared" si="12"/>
        <v/>
      </c>
      <c r="S265" s="14" t="str">
        <f t="shared" si="13"/>
        <v/>
      </c>
      <c r="T265" s="14" t="s">
        <v>72</v>
      </c>
      <c r="U265" s="14">
        <v>26754.716981132075</v>
      </c>
      <c r="V265">
        <v>8566</v>
      </c>
      <c r="W265">
        <v>27.533746337890602</v>
      </c>
      <c r="X265">
        <v>4.3323182412400101</v>
      </c>
      <c r="Y265">
        <v>3.5205048322289798</v>
      </c>
      <c r="Z265" s="31">
        <v>6.2132632793954503</v>
      </c>
      <c r="AA265">
        <v>10.539448667099601</v>
      </c>
      <c r="AB265">
        <v>0.08</v>
      </c>
      <c r="AC265">
        <v>169613.82930303301</v>
      </c>
      <c r="AD265">
        <v>169613.82930303301</v>
      </c>
      <c r="AE265">
        <v>1</v>
      </c>
      <c r="AF265">
        <v>468.96422781189148</v>
      </c>
      <c r="AG265">
        <v>11774.61516947211</v>
      </c>
    </row>
    <row r="266" spans="1:33" hidden="1" x14ac:dyDescent="0.25">
      <c r="B266">
        <v>6</v>
      </c>
      <c r="C266" t="s">
        <v>34</v>
      </c>
      <c r="D266" t="s">
        <v>35</v>
      </c>
      <c r="E266" t="s">
        <v>68</v>
      </c>
      <c r="F266">
        <v>92990</v>
      </c>
      <c r="G266">
        <v>325136</v>
      </c>
      <c r="H266">
        <v>6</v>
      </c>
      <c r="I266">
        <v>17615</v>
      </c>
      <c r="J266">
        <v>1.165319416</v>
      </c>
      <c r="K266">
        <v>78192</v>
      </c>
      <c r="L266">
        <v>1157033</v>
      </c>
      <c r="M266">
        <v>23691</v>
      </c>
      <c r="N266">
        <v>93261</v>
      </c>
      <c r="O266" s="43">
        <v>3800000</v>
      </c>
      <c r="P266" s="14">
        <f t="shared" si="14"/>
        <v>400000</v>
      </c>
      <c r="Q266" s="14" t="str">
        <f t="shared" si="12"/>
        <v/>
      </c>
      <c r="R266" s="14" t="str">
        <f t="shared" si="12"/>
        <v/>
      </c>
      <c r="S266" s="14" t="str">
        <f t="shared" si="13"/>
        <v/>
      </c>
      <c r="T266" s="14" t="s">
        <v>72</v>
      </c>
      <c r="U266" s="14">
        <v>22.707919386886175</v>
      </c>
      <c r="V266">
        <v>8566</v>
      </c>
      <c r="W266">
        <v>26.089624023437501</v>
      </c>
      <c r="X266">
        <v>6.8351977001625404</v>
      </c>
      <c r="Y266">
        <v>3.1497823567285401</v>
      </c>
      <c r="Z266" s="31">
        <v>4.9480061359248104</v>
      </c>
      <c r="AA266">
        <v>7.8489899793148101</v>
      </c>
      <c r="AB266">
        <v>0.08</v>
      </c>
      <c r="AC266">
        <v>169613.82930303301</v>
      </c>
      <c r="AD266">
        <v>169613.82930303301</v>
      </c>
      <c r="AE266">
        <v>1</v>
      </c>
      <c r="AF266">
        <v>468.96422781189148</v>
      </c>
      <c r="AG266">
        <v>11774.61516947211</v>
      </c>
    </row>
    <row r="267" spans="1:33" hidden="1" x14ac:dyDescent="0.25">
      <c r="B267">
        <v>6</v>
      </c>
      <c r="C267" t="s">
        <v>34</v>
      </c>
      <c r="D267" t="s">
        <v>35</v>
      </c>
      <c r="E267" t="s">
        <v>68</v>
      </c>
      <c r="F267">
        <v>105288</v>
      </c>
      <c r="G267">
        <v>325136</v>
      </c>
      <c r="H267">
        <v>7</v>
      </c>
      <c r="I267">
        <v>37370</v>
      </c>
      <c r="J267">
        <v>0.91689687649999996</v>
      </c>
      <c r="K267">
        <v>78192</v>
      </c>
      <c r="L267">
        <v>1157033</v>
      </c>
      <c r="M267">
        <v>23691</v>
      </c>
      <c r="N267">
        <v>93261</v>
      </c>
      <c r="O267" s="43">
        <v>4600000</v>
      </c>
      <c r="P267" s="14">
        <f t="shared" si="14"/>
        <v>800000</v>
      </c>
      <c r="Q267" s="14" t="str">
        <f t="shared" si="12"/>
        <v/>
      </c>
      <c r="R267" s="14" t="str">
        <f t="shared" si="12"/>
        <v/>
      </c>
      <c r="S267" s="14" t="str">
        <f t="shared" si="13"/>
        <v/>
      </c>
      <c r="T267" s="14" t="s">
        <v>72</v>
      </c>
      <c r="U267" s="14">
        <v>21.407546160021408</v>
      </c>
      <c r="V267">
        <v>8566</v>
      </c>
      <c r="W267">
        <v>27.317712402343702</v>
      </c>
      <c r="X267">
        <v>6.8921102199959101</v>
      </c>
      <c r="Y267">
        <v>3.3834458403408298</v>
      </c>
      <c r="Z267" s="31">
        <v>3.3658043407567999</v>
      </c>
      <c r="AA267">
        <v>5.3165914423473399</v>
      </c>
      <c r="AB267">
        <v>0.08</v>
      </c>
      <c r="AC267">
        <v>169613.82930303301</v>
      </c>
      <c r="AD267">
        <v>169613.82930303301</v>
      </c>
      <c r="AE267">
        <v>1</v>
      </c>
      <c r="AF267">
        <v>468.96422781189148</v>
      </c>
      <c r="AG267">
        <v>11774.61516947211</v>
      </c>
    </row>
    <row r="268" spans="1:33" hidden="1" x14ac:dyDescent="0.25">
      <c r="B268">
        <v>6</v>
      </c>
      <c r="C268" t="s">
        <v>34</v>
      </c>
      <c r="D268" t="s">
        <v>35</v>
      </c>
      <c r="E268" t="s">
        <v>68</v>
      </c>
      <c r="F268">
        <v>120785</v>
      </c>
      <c r="G268">
        <v>325136</v>
      </c>
      <c r="H268">
        <v>8</v>
      </c>
      <c r="I268">
        <v>21228</v>
      </c>
      <c r="J268">
        <v>1.15540339</v>
      </c>
      <c r="K268">
        <v>78192</v>
      </c>
      <c r="L268">
        <v>1157033</v>
      </c>
      <c r="M268">
        <v>23691</v>
      </c>
      <c r="N268">
        <v>93261</v>
      </c>
      <c r="O268" s="43">
        <v>6621451</v>
      </c>
      <c r="P268" s="14">
        <f t="shared" si="14"/>
        <v>2021451</v>
      </c>
      <c r="Q268" s="14" t="str">
        <f t="shared" si="12"/>
        <v/>
      </c>
      <c r="R268" s="14" t="str">
        <f t="shared" si="12"/>
        <v/>
      </c>
      <c r="S268" s="14" t="str">
        <f t="shared" si="13"/>
        <v/>
      </c>
      <c r="T268" s="14" t="s">
        <v>72</v>
      </c>
      <c r="U268" s="14">
        <v>95.225692481628045</v>
      </c>
      <c r="V268">
        <v>8566</v>
      </c>
      <c r="W268">
        <v>26.088800048828102</v>
      </c>
      <c r="X268">
        <v>9.1569234654232403</v>
      </c>
      <c r="Y268">
        <v>3.0711874823245302</v>
      </c>
      <c r="Z268">
        <v>6.8553777603247497</v>
      </c>
      <c r="AA268">
        <v>11.700106698430099</v>
      </c>
      <c r="AB268">
        <v>0.08</v>
      </c>
      <c r="AC268">
        <v>169613.82930303301</v>
      </c>
      <c r="AD268">
        <v>169613.82930303301</v>
      </c>
      <c r="AE268">
        <v>1</v>
      </c>
      <c r="AF268">
        <v>468.96422781189148</v>
      </c>
      <c r="AG268">
        <v>11774.61516947211</v>
      </c>
    </row>
    <row r="269" spans="1:33" hidden="1" x14ac:dyDescent="0.25">
      <c r="B269">
        <v>6</v>
      </c>
      <c r="C269" t="s">
        <v>34</v>
      </c>
      <c r="D269" t="s">
        <v>35</v>
      </c>
      <c r="E269" t="s">
        <v>68</v>
      </c>
      <c r="F269">
        <v>130224</v>
      </c>
      <c r="G269">
        <v>325136</v>
      </c>
      <c r="H269">
        <v>9</v>
      </c>
      <c r="I269">
        <v>15630</v>
      </c>
      <c r="J269">
        <v>0.70373960130000002</v>
      </c>
      <c r="K269">
        <v>78192</v>
      </c>
      <c r="L269">
        <v>1157033</v>
      </c>
      <c r="M269">
        <v>23691</v>
      </c>
      <c r="N269">
        <v>93261</v>
      </c>
      <c r="O269" s="43">
        <v>7930000</v>
      </c>
      <c r="P269" s="14">
        <f t="shared" si="14"/>
        <v>1308549</v>
      </c>
      <c r="Q269" s="14" t="str">
        <f t="shared" si="12"/>
        <v/>
      </c>
      <c r="R269" s="14" t="str">
        <f t="shared" si="12"/>
        <v/>
      </c>
      <c r="S269" s="14" t="str">
        <f t="shared" si="13"/>
        <v/>
      </c>
      <c r="T269" s="14" t="s">
        <v>72</v>
      </c>
      <c r="U269" s="14">
        <v>83.720345489443375</v>
      </c>
      <c r="V269">
        <v>8566</v>
      </c>
      <c r="W269">
        <v>24.503289794921901</v>
      </c>
      <c r="X269">
        <v>9.1451393300806405</v>
      </c>
      <c r="Y269">
        <v>2.7955435724693198</v>
      </c>
      <c r="Z269">
        <v>7.7835143421346302</v>
      </c>
      <c r="AA269">
        <v>14.854382030819201</v>
      </c>
      <c r="AB269">
        <v>0.08</v>
      </c>
      <c r="AC269">
        <v>169613.82930303301</v>
      </c>
      <c r="AD269">
        <v>169613.82930303301</v>
      </c>
      <c r="AE269">
        <v>1</v>
      </c>
      <c r="AF269">
        <v>468.96422781189148</v>
      </c>
      <c r="AG269">
        <v>11774.61516947211</v>
      </c>
    </row>
    <row r="270" spans="1:33" hidden="1" x14ac:dyDescent="0.25">
      <c r="B270">
        <v>6</v>
      </c>
      <c r="C270" t="s">
        <v>34</v>
      </c>
      <c r="D270" t="s">
        <v>35</v>
      </c>
      <c r="E270" t="s">
        <v>68</v>
      </c>
      <c r="F270">
        <v>146343</v>
      </c>
      <c r="G270">
        <v>325136</v>
      </c>
      <c r="H270">
        <v>10</v>
      </c>
      <c r="I270">
        <v>12298</v>
      </c>
      <c r="J270">
        <v>1.201777586</v>
      </c>
      <c r="K270">
        <v>78192</v>
      </c>
      <c r="L270">
        <v>1157033</v>
      </c>
      <c r="M270">
        <v>23691</v>
      </c>
      <c r="N270">
        <v>93261</v>
      </c>
      <c r="O270" s="43">
        <v>9100000</v>
      </c>
      <c r="P270" s="14">
        <f t="shared" si="14"/>
        <v>1170000</v>
      </c>
      <c r="Q270" s="14" t="str">
        <f t="shared" si="12"/>
        <v/>
      </c>
      <c r="R270" s="14" t="str">
        <f t="shared" si="12"/>
        <v/>
      </c>
      <c r="S270" s="14" t="str">
        <f t="shared" si="13"/>
        <v/>
      </c>
      <c r="T270" s="14" t="s">
        <v>72</v>
      </c>
      <c r="U270" s="14">
        <v>95.137420718816074</v>
      </c>
      <c r="V270">
        <v>8566</v>
      </c>
      <c r="W270">
        <v>23.727746582031301</v>
      </c>
      <c r="X270">
        <v>11.2468159115791</v>
      </c>
      <c r="Y270">
        <v>2.6068892803335202</v>
      </c>
      <c r="Z270">
        <v>6.22572337999281</v>
      </c>
      <c r="AA270">
        <v>10.8056224473996</v>
      </c>
      <c r="AB270">
        <v>0.08</v>
      </c>
      <c r="AC270">
        <v>169613.82930303301</v>
      </c>
      <c r="AD270">
        <v>169613.82930303301</v>
      </c>
      <c r="AE270">
        <v>1</v>
      </c>
      <c r="AF270">
        <v>468.96422781189148</v>
      </c>
      <c r="AG270">
        <v>11774.61516947211</v>
      </c>
    </row>
    <row r="271" spans="1:33" hidden="1" x14ac:dyDescent="0.25">
      <c r="B271">
        <v>6</v>
      </c>
      <c r="C271" t="s">
        <v>34</v>
      </c>
      <c r="D271" t="s">
        <v>35</v>
      </c>
      <c r="E271" t="s">
        <v>68</v>
      </c>
      <c r="F271">
        <v>154911</v>
      </c>
      <c r="G271">
        <v>325136</v>
      </c>
      <c r="H271">
        <v>11</v>
      </c>
      <c r="I271">
        <v>15497</v>
      </c>
      <c r="J271">
        <v>0.63880081619999995</v>
      </c>
      <c r="K271">
        <v>78192</v>
      </c>
      <c r="L271">
        <v>1157033</v>
      </c>
      <c r="M271">
        <v>23691</v>
      </c>
      <c r="N271">
        <v>93261</v>
      </c>
      <c r="O271" s="43">
        <v>10100000</v>
      </c>
      <c r="P271" s="14">
        <f t="shared" si="14"/>
        <v>1000000</v>
      </c>
      <c r="Q271" s="14" t="str">
        <f t="shared" si="12"/>
        <v/>
      </c>
      <c r="R271" s="14" t="str">
        <f t="shared" si="12"/>
        <v/>
      </c>
      <c r="S271" s="14" t="str">
        <f t="shared" si="13"/>
        <v/>
      </c>
      <c r="T271" s="14" t="s">
        <v>72</v>
      </c>
      <c r="U271" s="14">
        <v>64.528618442279154</v>
      </c>
      <c r="V271">
        <v>8566</v>
      </c>
      <c r="W271">
        <v>19.722253417968801</v>
      </c>
      <c r="X271">
        <v>22.806102595682201</v>
      </c>
      <c r="Y271">
        <v>1.77566269418839</v>
      </c>
      <c r="Z271" s="31">
        <v>5.5819737018359303</v>
      </c>
      <c r="AA271">
        <v>9.1851146062416902</v>
      </c>
      <c r="AB271">
        <v>0.08</v>
      </c>
      <c r="AC271">
        <v>169613.82930303301</v>
      </c>
      <c r="AD271">
        <v>169613.82930303301</v>
      </c>
      <c r="AE271">
        <v>1</v>
      </c>
      <c r="AF271">
        <v>468.96422781189148</v>
      </c>
      <c r="AG271">
        <v>11774.61516947211</v>
      </c>
    </row>
    <row r="272" spans="1:33" hidden="1" x14ac:dyDescent="0.25">
      <c r="B272">
        <v>6</v>
      </c>
      <c r="C272" t="s">
        <v>34</v>
      </c>
      <c r="D272" t="s">
        <v>35</v>
      </c>
      <c r="E272" t="s">
        <v>68</v>
      </c>
      <c r="F272">
        <v>167365</v>
      </c>
      <c r="G272">
        <v>325136</v>
      </c>
      <c r="H272">
        <v>12</v>
      </c>
      <c r="I272">
        <v>9439</v>
      </c>
      <c r="J272">
        <v>0.92852770370000004</v>
      </c>
      <c r="K272">
        <v>78192</v>
      </c>
      <c r="L272">
        <v>1157033</v>
      </c>
      <c r="M272">
        <v>23691</v>
      </c>
      <c r="N272">
        <v>93261</v>
      </c>
      <c r="O272" s="43">
        <v>12200000</v>
      </c>
      <c r="P272" s="14">
        <f t="shared" si="14"/>
        <v>2100000</v>
      </c>
      <c r="Q272" s="14" t="str">
        <f t="shared" si="12"/>
        <v/>
      </c>
      <c r="R272" s="14" t="str">
        <f t="shared" si="12"/>
        <v/>
      </c>
      <c r="S272" s="14" t="str">
        <f t="shared" si="13"/>
        <v/>
      </c>
      <c r="T272" s="14" t="s">
        <v>72</v>
      </c>
      <c r="U272" s="14">
        <v>222.48119504184766</v>
      </c>
      <c r="V272">
        <v>8566</v>
      </c>
      <c r="W272">
        <v>21.497033691406301</v>
      </c>
      <c r="X272">
        <v>16.7958858450829</v>
      </c>
      <c r="Y272">
        <v>2.13483660157108</v>
      </c>
      <c r="Z272">
        <v>7.0894130968923799</v>
      </c>
      <c r="AA272">
        <v>12.7946560803249</v>
      </c>
      <c r="AB272">
        <v>0.08</v>
      </c>
      <c r="AC272">
        <v>169613.82930303301</v>
      </c>
      <c r="AD272">
        <v>169613.82930303301</v>
      </c>
      <c r="AE272">
        <v>1</v>
      </c>
      <c r="AF272">
        <v>468.96422781189148</v>
      </c>
      <c r="AG272">
        <v>11774.61516947211</v>
      </c>
    </row>
    <row r="273" spans="2:33" hidden="1" x14ac:dyDescent="0.25">
      <c r="B273">
        <v>6</v>
      </c>
      <c r="C273" t="s">
        <v>34</v>
      </c>
      <c r="D273" t="s">
        <v>35</v>
      </c>
      <c r="E273" t="s">
        <v>68</v>
      </c>
      <c r="F273">
        <v>179534</v>
      </c>
      <c r="G273">
        <v>325136</v>
      </c>
      <c r="H273">
        <v>13</v>
      </c>
      <c r="I273">
        <v>16119</v>
      </c>
      <c r="J273">
        <v>0.9072790771</v>
      </c>
      <c r="K273">
        <v>78192</v>
      </c>
      <c r="L273">
        <v>1157033</v>
      </c>
      <c r="M273">
        <v>23691</v>
      </c>
      <c r="N273">
        <v>93261</v>
      </c>
      <c r="O273" s="43">
        <v>13700000</v>
      </c>
      <c r="P273" s="14">
        <f t="shared" si="14"/>
        <v>1500000</v>
      </c>
      <c r="Q273" s="14" t="str">
        <f t="shared" si="12"/>
        <v/>
      </c>
      <c r="R273" s="14" t="str">
        <f t="shared" si="12"/>
        <v/>
      </c>
      <c r="S273" s="14" t="str">
        <f t="shared" si="13"/>
        <v/>
      </c>
      <c r="T273" s="14" t="s">
        <v>72</v>
      </c>
      <c r="U273" s="14">
        <v>93.057882002605623</v>
      </c>
      <c r="V273">
        <v>8566</v>
      </c>
      <c r="W273">
        <v>21.489038085937501</v>
      </c>
      <c r="X273">
        <v>5.5407990813721399</v>
      </c>
      <c r="Y273">
        <v>2.4220997478127599</v>
      </c>
      <c r="Z273">
        <v>8.1026990009807296</v>
      </c>
      <c r="AA273">
        <v>15.3358237964616</v>
      </c>
      <c r="AB273">
        <v>0.08</v>
      </c>
      <c r="AC273">
        <v>169613.82930303301</v>
      </c>
      <c r="AD273">
        <v>169613.82930303301</v>
      </c>
      <c r="AE273">
        <v>1</v>
      </c>
      <c r="AF273">
        <v>468.96422781189148</v>
      </c>
      <c r="AG273">
        <v>11774.61516947211</v>
      </c>
    </row>
    <row r="274" spans="2:33" hidden="1" x14ac:dyDescent="0.25">
      <c r="B274">
        <v>6</v>
      </c>
      <c r="C274" t="s">
        <v>34</v>
      </c>
      <c r="D274" t="s">
        <v>35</v>
      </c>
      <c r="E274" t="s">
        <v>68</v>
      </c>
      <c r="F274">
        <v>191459</v>
      </c>
      <c r="G274">
        <v>325136</v>
      </c>
      <c r="H274">
        <v>14</v>
      </c>
      <c r="I274">
        <v>8568</v>
      </c>
      <c r="J274">
        <v>0.88908727040000002</v>
      </c>
      <c r="K274">
        <v>78192</v>
      </c>
      <c r="L274">
        <v>1157033</v>
      </c>
      <c r="M274">
        <v>23691</v>
      </c>
      <c r="N274">
        <v>93261</v>
      </c>
      <c r="O274" s="43">
        <v>15200000</v>
      </c>
      <c r="P274" s="14">
        <f t="shared" si="14"/>
        <v>1500000</v>
      </c>
      <c r="Q274" s="14" t="str">
        <f t="shared" si="12"/>
        <v/>
      </c>
      <c r="R274" s="14" t="str">
        <f t="shared" si="12"/>
        <v/>
      </c>
      <c r="S274" s="14" t="str">
        <f t="shared" si="13"/>
        <v/>
      </c>
      <c r="T274" s="14" t="s">
        <v>72</v>
      </c>
      <c r="U274" s="14">
        <v>175.07002801120447</v>
      </c>
      <c r="V274">
        <v>8566</v>
      </c>
      <c r="W274">
        <v>25.829064941406301</v>
      </c>
      <c r="X274">
        <v>9.0646795691564392</v>
      </c>
      <c r="Y274">
        <v>3.0274791148843501</v>
      </c>
      <c r="Z274">
        <v>5.3101432525638597</v>
      </c>
      <c r="AA274">
        <v>9.4218097711519508</v>
      </c>
      <c r="AB274">
        <v>0.08</v>
      </c>
      <c r="AC274">
        <v>169613.82930303301</v>
      </c>
      <c r="AD274">
        <v>169613.82930303301</v>
      </c>
      <c r="AE274">
        <v>1</v>
      </c>
      <c r="AF274">
        <v>468.96422781189148</v>
      </c>
      <c r="AG274">
        <v>11774.61516947211</v>
      </c>
    </row>
    <row r="275" spans="2:33" hidden="1" x14ac:dyDescent="0.25">
      <c r="B275">
        <v>6</v>
      </c>
      <c r="C275" t="s">
        <v>34</v>
      </c>
      <c r="D275" t="s">
        <v>35</v>
      </c>
      <c r="E275" t="s">
        <v>68</v>
      </c>
      <c r="F275">
        <v>212118</v>
      </c>
      <c r="G275">
        <v>325136</v>
      </c>
      <c r="H275">
        <v>15</v>
      </c>
      <c r="I275">
        <v>12454</v>
      </c>
      <c r="J275">
        <v>1.54026448</v>
      </c>
      <c r="K275">
        <v>78192</v>
      </c>
      <c r="L275">
        <v>1157033</v>
      </c>
      <c r="M275">
        <v>23691</v>
      </c>
      <c r="N275">
        <v>93261</v>
      </c>
      <c r="O275" s="43">
        <v>16100000</v>
      </c>
      <c r="P275" s="14">
        <f t="shared" si="14"/>
        <v>900000</v>
      </c>
      <c r="Q275" s="14" t="str">
        <f t="shared" si="12"/>
        <v/>
      </c>
      <c r="R275" s="14" t="str">
        <f t="shared" si="12"/>
        <v/>
      </c>
      <c r="S275" s="14" t="str">
        <f t="shared" si="13"/>
        <v/>
      </c>
      <c r="T275" s="14" t="s">
        <v>72</v>
      </c>
      <c r="U275" s="14">
        <v>72.265938654247634</v>
      </c>
      <c r="V275">
        <v>8566</v>
      </c>
      <c r="W275">
        <v>28.870660400390602</v>
      </c>
      <c r="X275">
        <v>6.4522707016359098</v>
      </c>
      <c r="Y275">
        <v>3.72071249981482</v>
      </c>
      <c r="Z275" s="31">
        <v>2.8494204662174401</v>
      </c>
      <c r="AA275">
        <v>3.93465090632654</v>
      </c>
      <c r="AB275">
        <v>0.08</v>
      </c>
      <c r="AC275">
        <v>169613.82930303301</v>
      </c>
      <c r="AD275">
        <v>169613.82930303301</v>
      </c>
      <c r="AE275">
        <v>1</v>
      </c>
      <c r="AF275">
        <v>468.96422781189148</v>
      </c>
      <c r="AG275">
        <v>11774.61516947211</v>
      </c>
    </row>
    <row r="276" spans="2:33" hidden="1" x14ac:dyDescent="0.25">
      <c r="B276">
        <v>6</v>
      </c>
      <c r="C276" t="s">
        <v>34</v>
      </c>
      <c r="D276" t="s">
        <v>35</v>
      </c>
      <c r="E276" t="s">
        <v>68</v>
      </c>
      <c r="F276">
        <v>228312</v>
      </c>
      <c r="G276">
        <v>325136</v>
      </c>
      <c r="H276">
        <v>16</v>
      </c>
      <c r="I276">
        <v>12169</v>
      </c>
      <c r="J276">
        <v>1.2073693299999999</v>
      </c>
      <c r="K276">
        <v>78192</v>
      </c>
      <c r="L276">
        <v>1157033</v>
      </c>
      <c r="M276">
        <v>23691</v>
      </c>
      <c r="N276">
        <v>93261</v>
      </c>
      <c r="O276" s="43">
        <v>17500000</v>
      </c>
      <c r="P276" s="14">
        <f t="shared" si="14"/>
        <v>1400000</v>
      </c>
      <c r="Q276" s="14" t="str">
        <f t="shared" si="12"/>
        <v/>
      </c>
      <c r="R276" s="14" t="str">
        <f t="shared" si="12"/>
        <v/>
      </c>
      <c r="S276" s="14" t="str">
        <f t="shared" si="13"/>
        <v/>
      </c>
      <c r="T276" s="14" t="s">
        <v>72</v>
      </c>
      <c r="U276" s="14">
        <v>115.04642945188594</v>
      </c>
      <c r="V276">
        <v>8566</v>
      </c>
      <c r="W276">
        <v>27.104455566406301</v>
      </c>
      <c r="X276">
        <v>8.0009675556992796</v>
      </c>
      <c r="Y276">
        <v>3.3016946164108201</v>
      </c>
      <c r="Z276">
        <v>6.5801417303146197</v>
      </c>
      <c r="AA276">
        <v>11.782064827118401</v>
      </c>
      <c r="AB276">
        <v>0.08</v>
      </c>
      <c r="AC276">
        <v>169613.82930303301</v>
      </c>
      <c r="AD276">
        <v>169613.82930303301</v>
      </c>
      <c r="AE276">
        <v>1</v>
      </c>
      <c r="AF276">
        <v>468.96422781189148</v>
      </c>
      <c r="AG276">
        <v>11774.61516947211</v>
      </c>
    </row>
    <row r="277" spans="2:33" hidden="1" x14ac:dyDescent="0.25">
      <c r="B277">
        <v>6</v>
      </c>
      <c r="C277" t="s">
        <v>34</v>
      </c>
      <c r="D277" t="s">
        <v>35</v>
      </c>
      <c r="E277" t="s">
        <v>68</v>
      </c>
      <c r="F277">
        <v>241403</v>
      </c>
      <c r="G277">
        <v>325136</v>
      </c>
      <c r="H277">
        <v>17</v>
      </c>
      <c r="I277">
        <v>11925</v>
      </c>
      <c r="J277">
        <v>0.97602024799999998</v>
      </c>
      <c r="K277">
        <v>78192</v>
      </c>
      <c r="L277">
        <v>1157033</v>
      </c>
      <c r="M277">
        <v>23691</v>
      </c>
      <c r="N277">
        <v>93261</v>
      </c>
      <c r="O277" s="43">
        <v>19000000</v>
      </c>
      <c r="P277" s="14">
        <f t="shared" si="14"/>
        <v>1500000</v>
      </c>
      <c r="Q277" s="14" t="str">
        <f t="shared" si="12"/>
        <v/>
      </c>
      <c r="R277" s="14" t="str">
        <f t="shared" si="12"/>
        <v/>
      </c>
      <c r="S277" s="14" t="str">
        <f t="shared" si="13"/>
        <v/>
      </c>
      <c r="T277" s="14" t="s">
        <v>72</v>
      </c>
      <c r="U277" s="14">
        <v>125.78616352201257</v>
      </c>
      <c r="V277">
        <v>8566</v>
      </c>
      <c r="W277">
        <v>25.787011718750001</v>
      </c>
      <c r="X277">
        <v>4.1959521022209199</v>
      </c>
      <c r="Y277">
        <v>3.1814054452982199</v>
      </c>
      <c r="Z277">
        <v>7.5850743441160304</v>
      </c>
      <c r="AA277">
        <v>14.182885911372701</v>
      </c>
      <c r="AB277">
        <v>0.08</v>
      </c>
      <c r="AC277">
        <v>169613.82930303301</v>
      </c>
      <c r="AD277">
        <v>169613.82930303301</v>
      </c>
      <c r="AE277">
        <v>1</v>
      </c>
      <c r="AF277">
        <v>468.96422781189148</v>
      </c>
      <c r="AG277">
        <v>11774.61516947211</v>
      </c>
    </row>
    <row r="278" spans="2:33" hidden="1" x14ac:dyDescent="0.25">
      <c r="B278">
        <v>6</v>
      </c>
      <c r="C278" t="s">
        <v>34</v>
      </c>
      <c r="D278" t="s">
        <v>35</v>
      </c>
      <c r="E278" t="s">
        <v>68</v>
      </c>
      <c r="F278">
        <v>249656</v>
      </c>
      <c r="G278">
        <v>325136</v>
      </c>
      <c r="H278">
        <v>18</v>
      </c>
      <c r="I278">
        <v>20659</v>
      </c>
      <c r="J278">
        <v>0.61531549210000003</v>
      </c>
      <c r="K278">
        <v>78192</v>
      </c>
      <c r="L278">
        <v>1157033</v>
      </c>
      <c r="M278">
        <v>23691</v>
      </c>
      <c r="N278">
        <v>93261</v>
      </c>
      <c r="O278" s="43">
        <v>20177599</v>
      </c>
      <c r="P278" s="14">
        <f t="shared" si="14"/>
        <v>1177599</v>
      </c>
      <c r="Q278" s="14" t="str">
        <f t="shared" si="12"/>
        <v/>
      </c>
      <c r="R278" s="14" t="str">
        <f t="shared" si="12"/>
        <v/>
      </c>
      <c r="S278" s="14" t="str">
        <f t="shared" si="13"/>
        <v/>
      </c>
      <c r="T278" s="14" t="s">
        <v>72</v>
      </c>
      <c r="U278" s="14">
        <v>57.001742581925555</v>
      </c>
      <c r="V278">
        <v>8566</v>
      </c>
      <c r="W278">
        <v>23.655419921875001</v>
      </c>
      <c r="X278">
        <v>12.184534020453301</v>
      </c>
      <c r="Y278">
        <v>2.5681611902496599</v>
      </c>
      <c r="Z278">
        <v>8.5135293888974903</v>
      </c>
      <c r="AA278">
        <v>16.472241596292299</v>
      </c>
      <c r="AB278">
        <v>0.08</v>
      </c>
      <c r="AC278">
        <v>169613.82930303301</v>
      </c>
      <c r="AD278">
        <v>169613.82930303301</v>
      </c>
      <c r="AE278">
        <v>1</v>
      </c>
      <c r="AF278">
        <v>468.96422781189148</v>
      </c>
      <c r="AG278">
        <v>11774.61516947211</v>
      </c>
    </row>
    <row r="279" spans="2:33" hidden="1" x14ac:dyDescent="0.25">
      <c r="B279">
        <v>6</v>
      </c>
      <c r="C279" t="s">
        <v>34</v>
      </c>
      <c r="D279" t="s">
        <v>35</v>
      </c>
      <c r="E279" t="s">
        <v>68</v>
      </c>
      <c r="F279">
        <v>254840</v>
      </c>
      <c r="G279">
        <v>325136</v>
      </c>
      <c r="H279">
        <v>19</v>
      </c>
      <c r="I279">
        <v>16194</v>
      </c>
      <c r="J279">
        <v>0.38650133419999999</v>
      </c>
      <c r="K279">
        <v>78192</v>
      </c>
      <c r="L279">
        <v>1157033</v>
      </c>
      <c r="M279">
        <v>23691</v>
      </c>
      <c r="N279">
        <v>93261</v>
      </c>
      <c r="O279" s="43">
        <v>21417296</v>
      </c>
      <c r="P279" s="14">
        <f t="shared" si="14"/>
        <v>1239697</v>
      </c>
      <c r="Q279" s="14" t="str">
        <f t="shared" si="12"/>
        <v/>
      </c>
      <c r="R279" s="14" t="str">
        <f t="shared" si="12"/>
        <v/>
      </c>
      <c r="S279" s="14" t="str">
        <f t="shared" si="13"/>
        <v/>
      </c>
      <c r="T279" s="14" t="s">
        <v>72</v>
      </c>
      <c r="U279" s="14">
        <v>76.55285908361121</v>
      </c>
      <c r="V279">
        <v>8566</v>
      </c>
      <c r="W279">
        <v>23.668908691406301</v>
      </c>
      <c r="X279">
        <v>10.8992048924248</v>
      </c>
      <c r="Y279">
        <v>2.6078553405266298</v>
      </c>
      <c r="Z279">
        <v>6.83916654088911</v>
      </c>
      <c r="AA279">
        <v>12.6112163022121</v>
      </c>
      <c r="AB279">
        <v>0.08</v>
      </c>
      <c r="AC279">
        <v>169613.82930303301</v>
      </c>
      <c r="AD279">
        <v>169613.82930303301</v>
      </c>
      <c r="AE279">
        <v>1</v>
      </c>
      <c r="AF279">
        <v>468.96422781189148</v>
      </c>
      <c r="AG279">
        <v>11774.61516947211</v>
      </c>
    </row>
    <row r="280" spans="2:33" hidden="1" x14ac:dyDescent="0.25">
      <c r="B280">
        <v>6</v>
      </c>
      <c r="C280" t="s">
        <v>34</v>
      </c>
      <c r="D280" t="s">
        <v>35</v>
      </c>
      <c r="E280" t="s">
        <v>68</v>
      </c>
      <c r="F280">
        <v>262595</v>
      </c>
      <c r="G280">
        <v>325136</v>
      </c>
      <c r="H280">
        <v>20</v>
      </c>
      <c r="I280">
        <v>13091</v>
      </c>
      <c r="J280">
        <v>1.144874760100389</v>
      </c>
      <c r="K280">
        <v>78192</v>
      </c>
      <c r="L280">
        <v>1157033</v>
      </c>
      <c r="M280">
        <v>23691</v>
      </c>
      <c r="N280">
        <v>93261</v>
      </c>
      <c r="O280" s="43">
        <v>21417296</v>
      </c>
      <c r="P280" s="14">
        <f t="shared" si="14"/>
        <v>0</v>
      </c>
      <c r="Q280" s="14" t="str">
        <f t="shared" si="12"/>
        <v/>
      </c>
      <c r="R280" s="14" t="str">
        <f t="shared" si="12"/>
        <v/>
      </c>
      <c r="S280" s="14" t="str">
        <f t="shared" si="13"/>
        <v/>
      </c>
      <c r="T280" s="14" t="s">
        <v>72</v>
      </c>
      <c r="U280" s="14">
        <v>-1636.0320831105339</v>
      </c>
      <c r="V280">
        <v>8566</v>
      </c>
      <c r="W280">
        <v>25.782952880859401</v>
      </c>
      <c r="X280">
        <v>9.4582849073582391</v>
      </c>
      <c r="Y280">
        <v>3.0061663372318601</v>
      </c>
      <c r="Z280">
        <v>5.7731683654678099</v>
      </c>
      <c r="AA280">
        <v>10.2120063695852</v>
      </c>
      <c r="AB280">
        <v>0.08</v>
      </c>
      <c r="AC280">
        <v>169613.82930303301</v>
      </c>
      <c r="AD280">
        <v>169613.82930303301</v>
      </c>
      <c r="AE280">
        <v>1</v>
      </c>
      <c r="AF280">
        <v>468.96422781189148</v>
      </c>
      <c r="AG280">
        <v>11774.61516947211</v>
      </c>
    </row>
    <row r="281" spans="2:33" hidden="1" x14ac:dyDescent="0.25">
      <c r="B281">
        <v>6</v>
      </c>
      <c r="C281" t="s">
        <v>34</v>
      </c>
      <c r="D281" t="s">
        <v>35</v>
      </c>
      <c r="E281" t="s">
        <v>68</v>
      </c>
      <c r="F281">
        <v>264657</v>
      </c>
      <c r="G281">
        <v>325136</v>
      </c>
      <c r="H281">
        <v>21</v>
      </c>
      <c r="I281">
        <v>8253</v>
      </c>
      <c r="J281">
        <v>0.30441415284680873</v>
      </c>
      <c r="K281">
        <v>78192</v>
      </c>
      <c r="L281">
        <v>1157033</v>
      </c>
      <c r="M281">
        <v>23691</v>
      </c>
      <c r="N281">
        <v>93261</v>
      </c>
      <c r="O281" s="43">
        <v>24628668</v>
      </c>
      <c r="P281" s="14">
        <f t="shared" si="14"/>
        <v>3211372</v>
      </c>
      <c r="Q281" s="14" t="str">
        <f t="shared" si="12"/>
        <v/>
      </c>
      <c r="R281" s="14" t="str">
        <f t="shared" si="12"/>
        <v/>
      </c>
      <c r="S281" s="14" t="str">
        <f t="shared" si="13"/>
        <v/>
      </c>
      <c r="T281" s="14" t="s">
        <v>72</v>
      </c>
      <c r="U281" s="14">
        <v>2984.2079243911303</v>
      </c>
      <c r="V281">
        <v>8566</v>
      </c>
      <c r="W281">
        <v>27.991235351562501</v>
      </c>
      <c r="X281">
        <v>7.4249504408482698</v>
      </c>
      <c r="Y281">
        <v>3.4989231594957202</v>
      </c>
      <c r="Z281" s="31">
        <v>5.4690290771954899</v>
      </c>
      <c r="AA281">
        <v>8.9338254022077006</v>
      </c>
      <c r="AB281">
        <v>0.08</v>
      </c>
      <c r="AC281">
        <v>169613.82930303301</v>
      </c>
      <c r="AD281">
        <v>169613.82930303301</v>
      </c>
      <c r="AE281">
        <v>1</v>
      </c>
      <c r="AF281">
        <v>468.96422781189148</v>
      </c>
      <c r="AG281">
        <v>11774.61516947211</v>
      </c>
    </row>
    <row r="282" spans="2:33" hidden="1" x14ac:dyDescent="0.25">
      <c r="B282">
        <v>6</v>
      </c>
      <c r="C282" t="s">
        <v>34</v>
      </c>
      <c r="D282" t="s">
        <v>35</v>
      </c>
      <c r="E282" t="s">
        <v>68</v>
      </c>
      <c r="F282">
        <v>268218</v>
      </c>
      <c r="G282">
        <v>325136</v>
      </c>
      <c r="H282">
        <v>22</v>
      </c>
      <c r="I282">
        <v>5184</v>
      </c>
      <c r="J282">
        <v>0.52571231730721912</v>
      </c>
      <c r="K282">
        <v>78192</v>
      </c>
      <c r="L282">
        <v>1157033</v>
      </c>
      <c r="M282">
        <v>23691</v>
      </c>
      <c r="N282">
        <v>93261</v>
      </c>
      <c r="O282" s="43">
        <v>26956439</v>
      </c>
      <c r="P282" s="14">
        <f t="shared" si="14"/>
        <v>2327771</v>
      </c>
      <c r="Q282" s="14" t="str">
        <f t="shared" si="12"/>
        <v/>
      </c>
      <c r="R282" s="14" t="str">
        <f t="shared" si="12"/>
        <v/>
      </c>
      <c r="S282" s="14" t="str">
        <f t="shared" si="13"/>
        <v/>
      </c>
      <c r="T282" s="14" t="s">
        <v>72</v>
      </c>
      <c r="U282" s="14">
        <v>449.02989969135803</v>
      </c>
      <c r="V282">
        <v>8566</v>
      </c>
      <c r="W282">
        <v>25.590844726562501</v>
      </c>
      <c r="X282">
        <v>18.6304726510119</v>
      </c>
      <c r="Y282">
        <v>2.6709252991638399</v>
      </c>
      <c r="Z282" s="31">
        <v>4.7427749358323501</v>
      </c>
      <c r="AA282">
        <v>9.3842139098901907</v>
      </c>
      <c r="AB282">
        <v>0.08</v>
      </c>
      <c r="AC282">
        <v>169613.82930303301</v>
      </c>
      <c r="AD282">
        <v>169613.82930303301</v>
      </c>
      <c r="AE282">
        <v>1</v>
      </c>
      <c r="AF282">
        <v>468.96422781189148</v>
      </c>
      <c r="AG282">
        <v>11774.61516947211</v>
      </c>
    </row>
    <row r="283" spans="2:33" hidden="1" x14ac:dyDescent="0.25">
      <c r="B283">
        <v>6</v>
      </c>
      <c r="C283" t="s">
        <v>34</v>
      </c>
      <c r="D283" t="s">
        <v>35</v>
      </c>
      <c r="E283" t="s">
        <v>68</v>
      </c>
      <c r="F283">
        <v>278188</v>
      </c>
      <c r="G283">
        <v>325136</v>
      </c>
      <c r="H283">
        <v>23</v>
      </c>
      <c r="I283" s="5">
        <v>7755</v>
      </c>
      <c r="J283">
        <v>1.471876384036219</v>
      </c>
      <c r="K283">
        <v>78192</v>
      </c>
      <c r="L283">
        <v>1157033</v>
      </c>
      <c r="M283">
        <v>23691</v>
      </c>
      <c r="N283">
        <v>93261</v>
      </c>
      <c r="O283" s="43">
        <v>29494120</v>
      </c>
      <c r="P283" s="14">
        <f t="shared" si="14"/>
        <v>2537681</v>
      </c>
      <c r="Q283" s="14" t="str">
        <f t="shared" si="12"/>
        <v/>
      </c>
      <c r="R283" s="14" t="str">
        <f t="shared" si="12"/>
        <v/>
      </c>
      <c r="S283" s="14" t="str">
        <f t="shared" si="13"/>
        <v/>
      </c>
      <c r="T283" s="14" t="s">
        <v>72</v>
      </c>
      <c r="U283" s="14">
        <v>327.23159252095422</v>
      </c>
      <c r="V283">
        <v>8566</v>
      </c>
      <c r="W283">
        <v>27.043603515625001</v>
      </c>
      <c r="X283">
        <v>7.99633964672205</v>
      </c>
      <c r="Y283">
        <v>3.2901075779814599</v>
      </c>
      <c r="Z283" s="31">
        <v>6.33843243892019</v>
      </c>
      <c r="AA283">
        <v>11.246434817221999</v>
      </c>
      <c r="AB283">
        <v>0.08</v>
      </c>
      <c r="AC283">
        <v>169613.82930303301</v>
      </c>
      <c r="AD283">
        <v>169613.82930303301</v>
      </c>
      <c r="AE283">
        <v>1</v>
      </c>
      <c r="AF283">
        <v>468.96422781189148</v>
      </c>
      <c r="AG283">
        <v>11774.61516947211</v>
      </c>
    </row>
    <row r="284" spans="2:33" hidden="1" x14ac:dyDescent="0.25">
      <c r="B284">
        <v>6</v>
      </c>
      <c r="C284" t="s">
        <v>34</v>
      </c>
      <c r="D284" t="s">
        <v>35</v>
      </c>
      <c r="E284" t="s">
        <v>68</v>
      </c>
      <c r="F284">
        <v>287283</v>
      </c>
      <c r="G284">
        <v>325136</v>
      </c>
      <c r="H284">
        <v>24</v>
      </c>
      <c r="I284" s="5">
        <v>2062</v>
      </c>
      <c r="J284">
        <v>1.3426996702918159</v>
      </c>
      <c r="K284">
        <v>78192</v>
      </c>
      <c r="L284">
        <v>1157033</v>
      </c>
      <c r="M284">
        <v>23691</v>
      </c>
      <c r="N284">
        <v>93261</v>
      </c>
      <c r="O284" s="43">
        <v>30950356</v>
      </c>
      <c r="P284" s="14">
        <f t="shared" si="14"/>
        <v>1456236</v>
      </c>
      <c r="Q284" s="14" t="str">
        <f t="shared" si="12"/>
        <v/>
      </c>
      <c r="R284" s="14" t="str">
        <f t="shared" si="12"/>
        <v/>
      </c>
      <c r="S284" s="14" t="str">
        <f t="shared" si="13"/>
        <v/>
      </c>
      <c r="T284" s="14" t="s">
        <v>72</v>
      </c>
      <c r="U284" s="14">
        <v>706.22502424830259</v>
      </c>
      <c r="V284">
        <v>8566</v>
      </c>
      <c r="W284">
        <v>26.704522705078102</v>
      </c>
      <c r="X284">
        <v>8.0739134531225307</v>
      </c>
      <c r="Y284">
        <v>3.2225634628158399</v>
      </c>
      <c r="Z284" s="31">
        <v>6.0779080786807098</v>
      </c>
      <c r="AA284">
        <v>10.377471061168899</v>
      </c>
      <c r="AB284">
        <v>0.08</v>
      </c>
      <c r="AC284">
        <v>169613.82930303301</v>
      </c>
      <c r="AD284">
        <v>169613.82930303301</v>
      </c>
      <c r="AE284">
        <v>1</v>
      </c>
      <c r="AF284">
        <v>468.96422781189148</v>
      </c>
      <c r="AG284">
        <v>11774.61516947211</v>
      </c>
    </row>
    <row r="285" spans="2:33" hidden="1" x14ac:dyDescent="0.25">
      <c r="B285">
        <v>6</v>
      </c>
      <c r="C285" t="s">
        <v>34</v>
      </c>
      <c r="D285" t="s">
        <v>35</v>
      </c>
      <c r="E285" t="s">
        <v>68</v>
      </c>
      <c r="F285">
        <v>292770</v>
      </c>
      <c r="G285">
        <v>325136</v>
      </c>
      <c r="H285">
        <v>25</v>
      </c>
      <c r="I285" s="5">
        <v>3561</v>
      </c>
      <c r="J285">
        <v>0.81004871807489787</v>
      </c>
      <c r="K285">
        <v>78192</v>
      </c>
      <c r="L285">
        <v>1157033</v>
      </c>
      <c r="M285">
        <v>23691</v>
      </c>
      <c r="N285">
        <v>93261</v>
      </c>
      <c r="O285" s="43">
        <v>32417822</v>
      </c>
      <c r="P285" s="14">
        <f t="shared" si="14"/>
        <v>1467466</v>
      </c>
      <c r="Q285" s="14" t="str">
        <f t="shared" si="12"/>
        <v/>
      </c>
      <c r="R285" s="14" t="str">
        <f t="shared" si="12"/>
        <v/>
      </c>
      <c r="S285" s="14" t="str">
        <f t="shared" si="13"/>
        <v/>
      </c>
      <c r="T285" s="14" t="s">
        <v>72</v>
      </c>
      <c r="U285" s="14">
        <v>412.09379387812413</v>
      </c>
      <c r="V285">
        <v>8566</v>
      </c>
      <c r="W285">
        <v>28.609429931640602</v>
      </c>
      <c r="X285">
        <v>10.873440523964399</v>
      </c>
      <c r="Y285">
        <v>3.4916371897401799</v>
      </c>
      <c r="Z285" s="31">
        <v>5.1507734270186898</v>
      </c>
      <c r="AA285">
        <v>9.0508313742676094</v>
      </c>
      <c r="AB285">
        <v>0.08</v>
      </c>
      <c r="AC285">
        <v>169613.82930303301</v>
      </c>
      <c r="AD285">
        <v>169613.82930303301</v>
      </c>
      <c r="AE285">
        <v>1</v>
      </c>
      <c r="AF285">
        <v>468.96422781189148</v>
      </c>
      <c r="AG285">
        <v>11774.61516947211</v>
      </c>
    </row>
    <row r="286" spans="2:33" hidden="1" x14ac:dyDescent="0.25">
      <c r="B286">
        <v>6</v>
      </c>
      <c r="C286" t="s">
        <v>34</v>
      </c>
      <c r="D286" t="s">
        <v>35</v>
      </c>
      <c r="E286" t="s">
        <v>68</v>
      </c>
      <c r="F286">
        <v>296895</v>
      </c>
      <c r="G286">
        <v>325136</v>
      </c>
      <c r="H286">
        <v>26</v>
      </c>
      <c r="I286" s="5">
        <v>9970</v>
      </c>
      <c r="J286">
        <v>0.60897593622361101</v>
      </c>
      <c r="K286">
        <v>78192</v>
      </c>
      <c r="L286">
        <v>1157033</v>
      </c>
      <c r="M286">
        <v>23691</v>
      </c>
      <c r="N286">
        <v>93261</v>
      </c>
      <c r="O286" s="43">
        <v>33797534</v>
      </c>
      <c r="P286" s="14">
        <f t="shared" si="14"/>
        <v>1379712</v>
      </c>
      <c r="Q286" s="14" t="str">
        <f t="shared" si="12"/>
        <v/>
      </c>
      <c r="R286" s="14" t="str">
        <f t="shared" si="12"/>
        <v/>
      </c>
      <c r="S286" s="14" t="str">
        <f t="shared" si="13"/>
        <v/>
      </c>
      <c r="T286" s="14" t="s">
        <v>72</v>
      </c>
      <c r="U286" s="14">
        <v>138.3863590772317</v>
      </c>
      <c r="V286">
        <v>8566</v>
      </c>
      <c r="W286">
        <v>30.247521972656301</v>
      </c>
      <c r="X286">
        <v>12.131700431103001</v>
      </c>
      <c r="Y286">
        <v>3.78265298298323</v>
      </c>
      <c r="Z286" s="31">
        <v>4.7141363796291804</v>
      </c>
      <c r="AA286">
        <v>8.0664694210065893</v>
      </c>
      <c r="AB286">
        <v>0.08</v>
      </c>
      <c r="AC286">
        <v>169613.82930303301</v>
      </c>
      <c r="AD286">
        <v>169613.82930303301</v>
      </c>
      <c r="AE286">
        <v>1</v>
      </c>
      <c r="AF286">
        <v>468.96422781189148</v>
      </c>
      <c r="AG286">
        <v>11774.61516947211</v>
      </c>
    </row>
    <row r="287" spans="2:33" hidden="1" x14ac:dyDescent="0.25">
      <c r="B287">
        <v>6</v>
      </c>
      <c r="C287" t="s">
        <v>34</v>
      </c>
      <c r="D287" t="s">
        <v>35</v>
      </c>
      <c r="E287" t="s">
        <v>68</v>
      </c>
      <c r="F287">
        <v>297418</v>
      </c>
      <c r="G287">
        <v>325136</v>
      </c>
      <c r="H287">
        <v>27</v>
      </c>
      <c r="I287" s="5">
        <v>9095</v>
      </c>
      <c r="J287">
        <v>7.7210767186654206E-2</v>
      </c>
      <c r="K287">
        <v>78192</v>
      </c>
      <c r="L287">
        <v>1157033</v>
      </c>
      <c r="M287">
        <v>23691</v>
      </c>
      <c r="N287">
        <v>93261</v>
      </c>
      <c r="O287" s="43">
        <v>35860838</v>
      </c>
      <c r="P287" s="14">
        <f t="shared" si="14"/>
        <v>2063304</v>
      </c>
      <c r="Q287" s="14" t="str">
        <f t="shared" si="12"/>
        <v/>
      </c>
      <c r="R287" s="14" t="str">
        <f t="shared" si="12"/>
        <v/>
      </c>
      <c r="S287" s="14" t="str">
        <f t="shared" si="13"/>
        <v/>
      </c>
      <c r="T287" s="14" t="s">
        <v>72</v>
      </c>
      <c r="U287" s="14">
        <v>226.86135239142385</v>
      </c>
      <c r="V287">
        <v>8566</v>
      </c>
      <c r="W287">
        <v>29.972711181640602</v>
      </c>
      <c r="X287">
        <v>9.72646172419633</v>
      </c>
      <c r="Y287">
        <v>3.8256337170374199</v>
      </c>
      <c r="Z287" s="31">
        <v>3.8600756220949002</v>
      </c>
      <c r="AA287">
        <v>6.5387585589006596</v>
      </c>
      <c r="AB287">
        <v>0.08</v>
      </c>
      <c r="AC287">
        <v>169613.82930303301</v>
      </c>
      <c r="AD287">
        <v>169613.82930303301</v>
      </c>
      <c r="AE287">
        <v>1</v>
      </c>
      <c r="AF287">
        <v>468.96422781189148</v>
      </c>
      <c r="AG287">
        <v>11774.61516947211</v>
      </c>
    </row>
    <row r="288" spans="2:33" hidden="1" x14ac:dyDescent="0.25">
      <c r="B288">
        <v>6</v>
      </c>
      <c r="C288" t="s">
        <v>34</v>
      </c>
      <c r="D288" t="s">
        <v>35</v>
      </c>
      <c r="E288" t="s">
        <v>68</v>
      </c>
      <c r="F288">
        <v>298439</v>
      </c>
      <c r="G288">
        <v>325136</v>
      </c>
      <c r="H288">
        <v>28</v>
      </c>
      <c r="I288" s="5">
        <v>5487</v>
      </c>
      <c r="J288">
        <v>0.1507307711234683</v>
      </c>
      <c r="K288">
        <v>78192</v>
      </c>
      <c r="L288">
        <v>1157033</v>
      </c>
      <c r="M288">
        <v>23691</v>
      </c>
      <c r="N288">
        <v>93261</v>
      </c>
      <c r="O288" s="43">
        <v>37610533</v>
      </c>
      <c r="P288" s="14">
        <f t="shared" si="14"/>
        <v>1749695</v>
      </c>
      <c r="Q288" s="14" t="str">
        <f t="shared" si="12"/>
        <v/>
      </c>
      <c r="R288" s="14" t="str">
        <f t="shared" si="12"/>
        <v/>
      </c>
      <c r="S288" s="14" t="str">
        <f t="shared" si="13"/>
        <v/>
      </c>
      <c r="T288" s="14" t="s">
        <v>72</v>
      </c>
      <c r="U288" s="14">
        <v>318.88008018953889</v>
      </c>
      <c r="V288">
        <v>8566</v>
      </c>
      <c r="W288">
        <v>27.595788574218801</v>
      </c>
      <c r="X288">
        <v>21.392794436262299</v>
      </c>
      <c r="Y288">
        <v>2.90288493248176</v>
      </c>
      <c r="Z288" s="31">
        <v>4.7392686540971702</v>
      </c>
      <c r="AA288">
        <v>7.4746934197399204</v>
      </c>
      <c r="AB288">
        <v>0.08</v>
      </c>
      <c r="AC288">
        <v>169613.82930303301</v>
      </c>
      <c r="AD288">
        <v>169613.82930303301</v>
      </c>
      <c r="AE288">
        <v>1</v>
      </c>
      <c r="AF288">
        <v>468.96422781189148</v>
      </c>
      <c r="AG288">
        <v>11774.61516947211</v>
      </c>
    </row>
    <row r="289" spans="2:33" hidden="1" x14ac:dyDescent="0.25">
      <c r="B289">
        <v>6</v>
      </c>
      <c r="C289" t="s">
        <v>34</v>
      </c>
      <c r="D289" t="s">
        <v>35</v>
      </c>
      <c r="E289" t="s">
        <v>68</v>
      </c>
      <c r="F289">
        <v>303180</v>
      </c>
      <c r="G289">
        <v>325136</v>
      </c>
      <c r="H289">
        <v>29</v>
      </c>
      <c r="I289" s="5">
        <v>4125</v>
      </c>
      <c r="J289">
        <v>0.69991634269967029</v>
      </c>
      <c r="K289">
        <v>78192</v>
      </c>
      <c r="L289">
        <v>1157033</v>
      </c>
      <c r="M289">
        <v>23691</v>
      </c>
      <c r="N289">
        <v>93261</v>
      </c>
      <c r="O289" s="43">
        <v>39394262</v>
      </c>
      <c r="P289" s="14">
        <f t="shared" si="14"/>
        <v>1783729</v>
      </c>
      <c r="Q289" s="14" t="str">
        <f t="shared" si="12"/>
        <v/>
      </c>
      <c r="R289" s="14" t="str">
        <f t="shared" si="12"/>
        <v/>
      </c>
      <c r="S289" s="14" t="str">
        <f t="shared" si="13"/>
        <v/>
      </c>
      <c r="T289" s="14" t="s">
        <v>72</v>
      </c>
      <c r="U289" s="14">
        <v>432.4191515151515</v>
      </c>
      <c r="V289">
        <v>8566</v>
      </c>
      <c r="W289">
        <v>24.730035400390602</v>
      </c>
      <c r="X289">
        <v>28.524612393878101</v>
      </c>
      <c r="Y289">
        <v>2.2288564360105299</v>
      </c>
      <c r="Z289" s="31">
        <v>2.2468403622822599</v>
      </c>
      <c r="AA289">
        <v>7.8105264223227602</v>
      </c>
      <c r="AB289">
        <v>0.08</v>
      </c>
      <c r="AC289">
        <v>169613.82930303301</v>
      </c>
      <c r="AD289">
        <v>169613.82930303301</v>
      </c>
      <c r="AE289">
        <v>1</v>
      </c>
      <c r="AF289">
        <v>468.96422781189148</v>
      </c>
      <c r="AG289">
        <v>11774.61516947211</v>
      </c>
    </row>
    <row r="290" spans="2:33" hidden="1" x14ac:dyDescent="0.25">
      <c r="B290">
        <v>6</v>
      </c>
      <c r="C290" t="s">
        <v>34</v>
      </c>
      <c r="D290" t="s">
        <v>35</v>
      </c>
      <c r="E290" t="s">
        <v>68</v>
      </c>
      <c r="F290">
        <v>305205</v>
      </c>
      <c r="G290">
        <v>325136</v>
      </c>
      <c r="H290">
        <v>30</v>
      </c>
      <c r="I290" s="5">
        <v>523</v>
      </c>
      <c r="J290">
        <v>0.29895182323704539</v>
      </c>
      <c r="K290">
        <v>78192</v>
      </c>
      <c r="L290">
        <v>1157033</v>
      </c>
      <c r="M290">
        <v>23691</v>
      </c>
      <c r="N290">
        <v>93261</v>
      </c>
      <c r="O290" s="43">
        <v>40841346</v>
      </c>
      <c r="P290" s="14">
        <f t="shared" si="14"/>
        <v>1447084</v>
      </c>
      <c r="Q290" s="14" t="str">
        <f t="shared" si="12"/>
        <v/>
      </c>
      <c r="R290" s="14" t="str">
        <f t="shared" si="12"/>
        <v/>
      </c>
      <c r="S290" s="14" t="str">
        <f t="shared" si="13"/>
        <v/>
      </c>
      <c r="T290" s="14" t="s">
        <v>72</v>
      </c>
      <c r="U290" s="14">
        <v>2766.891013384321</v>
      </c>
      <c r="V290">
        <v>8566</v>
      </c>
      <c r="W290">
        <v>29.147241210937501</v>
      </c>
      <c r="X290">
        <v>19.4454172376857</v>
      </c>
      <c r="Y290">
        <v>3.2550107136782098</v>
      </c>
      <c r="Z290" s="31">
        <v>1.9484788798677499</v>
      </c>
      <c r="AA290">
        <v>2.6697943657165601</v>
      </c>
      <c r="AB290">
        <v>0.08</v>
      </c>
      <c r="AC290">
        <v>169613.82930303301</v>
      </c>
      <c r="AD290">
        <v>169613.82930303301</v>
      </c>
      <c r="AE290">
        <v>1</v>
      </c>
      <c r="AF290">
        <v>468.96422781189148</v>
      </c>
      <c r="AG290">
        <v>11774.61516947211</v>
      </c>
    </row>
    <row r="291" spans="2:33" hidden="1" x14ac:dyDescent="0.25">
      <c r="B291">
        <v>6</v>
      </c>
      <c r="C291" t="s">
        <v>34</v>
      </c>
      <c r="D291" t="s">
        <v>35</v>
      </c>
      <c r="E291" t="s">
        <v>68</v>
      </c>
      <c r="F291">
        <v>311691</v>
      </c>
      <c r="G291">
        <v>325136</v>
      </c>
      <c r="H291">
        <v>31</v>
      </c>
      <c r="I291" s="5">
        <v>1021</v>
      </c>
      <c r="J291">
        <v>0.95753161753850702</v>
      </c>
      <c r="K291">
        <v>78192</v>
      </c>
      <c r="L291">
        <v>1157033</v>
      </c>
      <c r="M291">
        <v>23691</v>
      </c>
      <c r="N291">
        <v>93261</v>
      </c>
      <c r="O291" s="43">
        <v>42061322</v>
      </c>
      <c r="P291" s="14">
        <f t="shared" si="14"/>
        <v>1219976</v>
      </c>
      <c r="Q291" s="14" t="str">
        <f t="shared" si="12"/>
        <v/>
      </c>
      <c r="R291" s="14" t="str">
        <f t="shared" si="12"/>
        <v/>
      </c>
      <c r="S291" s="14" t="str">
        <f t="shared" si="13"/>
        <v/>
      </c>
      <c r="T291" s="14" t="s">
        <v>72</v>
      </c>
      <c r="U291" s="14">
        <v>1194.8834476003917</v>
      </c>
      <c r="V291">
        <v>8566</v>
      </c>
      <c r="W291">
        <v>26.530786132812501</v>
      </c>
      <c r="X291">
        <v>23.359984429261299</v>
      </c>
      <c r="Y291">
        <v>2.6589991452156601</v>
      </c>
      <c r="Z291" s="31">
        <v>4.8432897435842897</v>
      </c>
      <c r="AA291">
        <v>6.6731228779029497</v>
      </c>
      <c r="AB291">
        <v>0.08</v>
      </c>
      <c r="AC291">
        <v>169613.82930303301</v>
      </c>
      <c r="AD291">
        <v>169613.82930303301</v>
      </c>
      <c r="AE291">
        <v>1</v>
      </c>
      <c r="AF291">
        <v>468.96422781189148</v>
      </c>
      <c r="AG291">
        <v>11774.61516947211</v>
      </c>
    </row>
    <row r="292" spans="2:33" hidden="1" x14ac:dyDescent="0.25">
      <c r="B292">
        <v>6</v>
      </c>
      <c r="C292" t="s">
        <v>34</v>
      </c>
      <c r="D292" t="s">
        <v>35</v>
      </c>
      <c r="E292" t="s">
        <v>68</v>
      </c>
      <c r="F292">
        <v>312520</v>
      </c>
      <c r="G292">
        <v>325136</v>
      </c>
      <c r="H292">
        <v>32</v>
      </c>
      <c r="I292" s="5">
        <v>4741</v>
      </c>
      <c r="J292">
        <v>0.1223857093646966</v>
      </c>
      <c r="K292">
        <v>78192</v>
      </c>
      <c r="L292">
        <v>1157033</v>
      </c>
      <c r="M292">
        <v>23691</v>
      </c>
      <c r="N292">
        <v>93261</v>
      </c>
      <c r="O292" s="43">
        <v>44351063</v>
      </c>
      <c r="P292" s="14">
        <f t="shared" si="14"/>
        <v>2289741</v>
      </c>
      <c r="Q292" s="14" t="str">
        <f t="shared" si="12"/>
        <v/>
      </c>
      <c r="R292" s="14" t="str">
        <f t="shared" si="12"/>
        <v/>
      </c>
      <c r="S292" s="14" t="str">
        <f t="shared" si="13"/>
        <v/>
      </c>
      <c r="T292" s="14" t="s">
        <v>72</v>
      </c>
      <c r="U292" s="14">
        <v>482.96582999367223</v>
      </c>
      <c r="V292">
        <v>8566</v>
      </c>
      <c r="W292">
        <v>30.600518798828102</v>
      </c>
      <c r="X292">
        <v>11.0048659299647</v>
      </c>
      <c r="Y292">
        <v>3.9092770893807902</v>
      </c>
      <c r="Z292" s="31">
        <v>3.4714686626703499</v>
      </c>
      <c r="AA292">
        <v>6.3765335939938002</v>
      </c>
      <c r="AB292">
        <v>0.08</v>
      </c>
      <c r="AC292">
        <v>169613.82930303301</v>
      </c>
      <c r="AD292">
        <v>169613.82930303301</v>
      </c>
      <c r="AE292">
        <v>1</v>
      </c>
      <c r="AF292">
        <v>468.96422781189148</v>
      </c>
      <c r="AG292">
        <v>11774.61516947211</v>
      </c>
    </row>
    <row r="293" spans="2:33" hidden="1" x14ac:dyDescent="0.25">
      <c r="B293">
        <v>6</v>
      </c>
      <c r="C293" t="s">
        <v>34</v>
      </c>
      <c r="D293" t="s">
        <v>35</v>
      </c>
      <c r="E293" t="s">
        <v>68</v>
      </c>
      <c r="F293">
        <v>317676</v>
      </c>
      <c r="G293">
        <v>325136</v>
      </c>
      <c r="H293">
        <v>33</v>
      </c>
      <c r="I293" s="5">
        <v>2025</v>
      </c>
      <c r="J293">
        <v>0.76118301264701538</v>
      </c>
      <c r="K293">
        <v>78192</v>
      </c>
      <c r="L293">
        <v>1157033</v>
      </c>
      <c r="M293">
        <v>23691</v>
      </c>
      <c r="N293">
        <v>93261</v>
      </c>
      <c r="O293" s="43">
        <v>45920345</v>
      </c>
      <c r="P293" s="14">
        <f t="shared" si="14"/>
        <v>1569282</v>
      </c>
      <c r="Q293" s="14" t="str">
        <f t="shared" si="12"/>
        <v/>
      </c>
      <c r="R293" s="14" t="str">
        <f t="shared" si="12"/>
        <v/>
      </c>
      <c r="S293" s="14" t="str">
        <f t="shared" si="13"/>
        <v/>
      </c>
      <c r="T293" s="14" t="s">
        <v>72</v>
      </c>
      <c r="U293" s="14">
        <v>774.95407407407413</v>
      </c>
      <c r="V293">
        <v>8566</v>
      </c>
      <c r="W293">
        <v>26.756677246093702</v>
      </c>
      <c r="X293">
        <v>18.833964922690701</v>
      </c>
      <c r="Y293">
        <v>2.8538576384751</v>
      </c>
      <c r="Z293" s="31">
        <v>5.7453310210549899</v>
      </c>
      <c r="AA293">
        <v>10.085329163436301</v>
      </c>
      <c r="AB293">
        <v>0.08</v>
      </c>
      <c r="AC293">
        <v>169613.82930303301</v>
      </c>
      <c r="AD293">
        <v>169613.82930303301</v>
      </c>
      <c r="AE293">
        <v>1</v>
      </c>
      <c r="AF293">
        <v>468.96422781189148</v>
      </c>
      <c r="AG293">
        <v>11774.61516947211</v>
      </c>
    </row>
    <row r="294" spans="2:33" hidden="1" x14ac:dyDescent="0.25">
      <c r="B294">
        <v>6</v>
      </c>
      <c r="C294" t="s">
        <v>34</v>
      </c>
      <c r="D294" t="s">
        <v>35</v>
      </c>
      <c r="E294" t="s">
        <v>68</v>
      </c>
      <c r="F294">
        <v>320971</v>
      </c>
      <c r="G294">
        <v>325136</v>
      </c>
      <c r="H294">
        <v>34</v>
      </c>
      <c r="I294" s="5">
        <v>6486</v>
      </c>
      <c r="J294">
        <v>0.48644259632892078</v>
      </c>
      <c r="K294">
        <v>78192</v>
      </c>
      <c r="L294">
        <v>1157033</v>
      </c>
      <c r="M294">
        <v>23691</v>
      </c>
      <c r="N294">
        <v>93261</v>
      </c>
      <c r="O294" s="43">
        <v>47611050</v>
      </c>
      <c r="P294" s="14">
        <f t="shared" si="14"/>
        <v>1690705</v>
      </c>
      <c r="Q294" s="14" t="str">
        <f t="shared" si="12"/>
        <v/>
      </c>
      <c r="R294" s="14" t="str">
        <f t="shared" si="12"/>
        <v/>
      </c>
      <c r="S294" s="14" t="str">
        <f t="shared" si="13"/>
        <v/>
      </c>
      <c r="T294" s="14" t="s">
        <v>72</v>
      </c>
      <c r="U294" s="14">
        <v>260.66990440949741</v>
      </c>
      <c r="V294">
        <v>8566</v>
      </c>
      <c r="W294">
        <v>29.232904052734401</v>
      </c>
      <c r="X294">
        <v>11.5886002291788</v>
      </c>
      <c r="Y294">
        <v>3.5906420157619698</v>
      </c>
      <c r="Z294" s="31">
        <v>5.4198540685467496</v>
      </c>
      <c r="AA294">
        <v>9.0374226941691393</v>
      </c>
      <c r="AB294">
        <v>0.08</v>
      </c>
      <c r="AC294">
        <v>169613.82930303301</v>
      </c>
      <c r="AD294">
        <v>169613.82930303301</v>
      </c>
      <c r="AE294">
        <v>1</v>
      </c>
      <c r="AF294">
        <v>468.96422781189148</v>
      </c>
      <c r="AG294">
        <v>11774.61516947211</v>
      </c>
    </row>
    <row r="295" spans="2:33" hidden="1" x14ac:dyDescent="0.25">
      <c r="B295">
        <v>6</v>
      </c>
      <c r="C295" t="s">
        <v>34</v>
      </c>
      <c r="D295" t="s">
        <v>35</v>
      </c>
      <c r="E295" t="s">
        <v>68</v>
      </c>
      <c r="F295">
        <v>324132</v>
      </c>
      <c r="G295">
        <v>325136</v>
      </c>
      <c r="H295">
        <v>35</v>
      </c>
      <c r="I295" s="5">
        <v>829</v>
      </c>
      <c r="J295">
        <v>0.46666010530977808</v>
      </c>
      <c r="K295">
        <v>78192</v>
      </c>
      <c r="L295">
        <v>1157033</v>
      </c>
      <c r="M295">
        <v>23691</v>
      </c>
      <c r="N295">
        <v>93261</v>
      </c>
      <c r="O295" s="43">
        <v>49864283</v>
      </c>
      <c r="P295" s="14">
        <f t="shared" si="14"/>
        <v>2253233</v>
      </c>
      <c r="Q295" s="14" t="str">
        <f t="shared" si="12"/>
        <v/>
      </c>
      <c r="R295" s="14" t="str">
        <f t="shared" si="12"/>
        <v/>
      </c>
      <c r="S295" s="14" t="str">
        <f t="shared" si="13"/>
        <v/>
      </c>
      <c r="T295" s="14" t="s">
        <v>72</v>
      </c>
      <c r="U295" s="14">
        <v>2718.0132689987936</v>
      </c>
      <c r="V295">
        <v>8566</v>
      </c>
      <c r="W295">
        <v>31.776208496093702</v>
      </c>
      <c r="X295">
        <v>7.7872950939683996</v>
      </c>
      <c r="Y295">
        <v>4.3305890260776998</v>
      </c>
      <c r="Z295" s="31">
        <v>2.5924174856475202</v>
      </c>
      <c r="AA295">
        <v>2.9720787905598298</v>
      </c>
      <c r="AB295">
        <v>0.08</v>
      </c>
      <c r="AC295">
        <v>169613.82930303301</v>
      </c>
      <c r="AD295">
        <v>169613.82930303301</v>
      </c>
      <c r="AE295">
        <v>1</v>
      </c>
      <c r="AF295">
        <v>468.96422781189148</v>
      </c>
      <c r="AG295">
        <v>11774.61516947211</v>
      </c>
    </row>
    <row r="296" spans="2:33" hidden="1" x14ac:dyDescent="0.25">
      <c r="B296">
        <v>6</v>
      </c>
      <c r="C296" t="s">
        <v>34</v>
      </c>
      <c r="D296" t="s">
        <v>35</v>
      </c>
      <c r="E296" t="s">
        <v>68</v>
      </c>
      <c r="F296">
        <v>324910</v>
      </c>
      <c r="G296">
        <v>325136</v>
      </c>
      <c r="H296">
        <v>36</v>
      </c>
      <c r="I296" s="5">
        <v>5156</v>
      </c>
      <c r="J296">
        <v>0.1148565523350229</v>
      </c>
      <c r="K296">
        <v>78192</v>
      </c>
      <c r="L296">
        <v>1157033</v>
      </c>
      <c r="M296">
        <v>23691</v>
      </c>
      <c r="N296">
        <v>93261</v>
      </c>
      <c r="O296" s="43">
        <v>51446232</v>
      </c>
      <c r="P296" s="14">
        <f t="shared" si="14"/>
        <v>1581949</v>
      </c>
      <c r="Q296" s="14" t="str">
        <f t="shared" si="12"/>
        <v/>
      </c>
      <c r="R296" s="14" t="str">
        <f t="shared" si="12"/>
        <v/>
      </c>
      <c r="S296" s="14" t="str">
        <f t="shared" si="13"/>
        <v/>
      </c>
      <c r="T296" s="14" t="s">
        <v>72</v>
      </c>
      <c r="U296" s="14">
        <v>306.81710628394103</v>
      </c>
      <c r="V296">
        <v>8566</v>
      </c>
      <c r="W296">
        <v>26.953027343750001</v>
      </c>
      <c r="X296">
        <v>23.6709319001992</v>
      </c>
      <c r="Y296">
        <v>2.7146657698140602</v>
      </c>
      <c r="Z296" s="31">
        <v>4.1722901323099304</v>
      </c>
      <c r="AA296">
        <v>5.9569447876956003</v>
      </c>
      <c r="AB296">
        <v>0.08</v>
      </c>
      <c r="AC296">
        <v>169613.82930303301</v>
      </c>
      <c r="AD296">
        <v>169613.82930303301</v>
      </c>
      <c r="AE296">
        <v>1</v>
      </c>
      <c r="AF296">
        <v>468.96422781189148</v>
      </c>
      <c r="AG296">
        <v>11774.61516947211</v>
      </c>
    </row>
    <row r="297" spans="2:33" hidden="1" x14ac:dyDescent="0.25">
      <c r="B297">
        <v>6</v>
      </c>
      <c r="C297" t="s">
        <v>34</v>
      </c>
      <c r="D297" t="s">
        <v>35</v>
      </c>
      <c r="E297" t="s">
        <v>68</v>
      </c>
      <c r="F297">
        <v>325043</v>
      </c>
      <c r="G297">
        <v>325136</v>
      </c>
      <c r="H297">
        <v>37</v>
      </c>
      <c r="I297" s="5">
        <v>3295</v>
      </c>
      <c r="J297">
        <v>1.9634860489149159E-2</v>
      </c>
      <c r="K297">
        <v>78192</v>
      </c>
      <c r="L297">
        <v>1157033</v>
      </c>
      <c r="M297">
        <v>23691</v>
      </c>
      <c r="N297">
        <v>93261</v>
      </c>
      <c r="O297" s="43">
        <v>51772708</v>
      </c>
      <c r="P297" s="14">
        <f t="shared" si="14"/>
        <v>326476</v>
      </c>
      <c r="Q297" s="14" t="str">
        <f t="shared" si="12"/>
        <v/>
      </c>
      <c r="R297" s="14" t="str">
        <f t="shared" si="12"/>
        <v/>
      </c>
      <c r="S297" s="14" t="str">
        <f t="shared" si="13"/>
        <v/>
      </c>
      <c r="T297" s="14" t="s">
        <v>72</v>
      </c>
      <c r="U297" s="14">
        <v>99.082245827010624</v>
      </c>
      <c r="V297">
        <v>8566</v>
      </c>
      <c r="W297">
        <v>25.775079345703102</v>
      </c>
      <c r="X297">
        <v>33.729317948488102</v>
      </c>
      <c r="Y297">
        <v>2.19862728387975</v>
      </c>
      <c r="Z297" s="31">
        <v>3.5339772845885302</v>
      </c>
      <c r="AA297">
        <v>7.8887489916850599</v>
      </c>
      <c r="AB297">
        <v>0.08</v>
      </c>
      <c r="AC297">
        <v>169613.82930303301</v>
      </c>
      <c r="AD297">
        <v>169613.82930303301</v>
      </c>
      <c r="AE297">
        <v>1</v>
      </c>
      <c r="AF297">
        <v>468.96422781189148</v>
      </c>
      <c r="AG297">
        <v>11774.61516947211</v>
      </c>
    </row>
    <row r="298" spans="2:33" hidden="1" x14ac:dyDescent="0.25">
      <c r="B298">
        <v>6</v>
      </c>
      <c r="C298" t="s">
        <v>34</v>
      </c>
      <c r="D298" t="s">
        <v>35</v>
      </c>
      <c r="E298" t="s">
        <v>68</v>
      </c>
      <c r="F298">
        <v>325111</v>
      </c>
      <c r="G298">
        <v>325136</v>
      </c>
      <c r="H298">
        <v>38</v>
      </c>
      <c r="I298" s="5">
        <v>3161</v>
      </c>
      <c r="J298">
        <v>1.003887603956498E-2</v>
      </c>
      <c r="K298">
        <v>78192</v>
      </c>
      <c r="L298">
        <v>1157033</v>
      </c>
      <c r="M298">
        <v>23691</v>
      </c>
      <c r="N298">
        <v>93261</v>
      </c>
      <c r="O298" s="43">
        <v>52504114</v>
      </c>
      <c r="P298" s="14">
        <f t="shared" si="14"/>
        <v>731406</v>
      </c>
      <c r="Q298" s="14" t="str">
        <f t="shared" si="12"/>
        <v/>
      </c>
      <c r="R298" s="14" t="str">
        <f t="shared" si="12"/>
        <v/>
      </c>
      <c r="S298" s="14" t="str">
        <f t="shared" si="13"/>
        <v/>
      </c>
      <c r="T298" s="14" t="s">
        <v>72</v>
      </c>
      <c r="U298" s="14">
        <v>231.3843720341664</v>
      </c>
      <c r="V298">
        <v>8566</v>
      </c>
      <c r="W298">
        <v>22.024133300781301</v>
      </c>
      <c r="X298">
        <v>44.859377703769603</v>
      </c>
      <c r="Y298">
        <v>1.46058410423587</v>
      </c>
      <c r="Z298" s="31">
        <v>2.71529199073882</v>
      </c>
      <c r="AA298">
        <v>5.3983897208648903</v>
      </c>
      <c r="AB298">
        <v>0.08</v>
      </c>
      <c r="AC298">
        <v>169613.82930303301</v>
      </c>
      <c r="AD298">
        <v>169613.82930303301</v>
      </c>
      <c r="AE298">
        <v>1</v>
      </c>
      <c r="AF298">
        <v>468.96422781189148</v>
      </c>
      <c r="AG298">
        <v>11774.61516947211</v>
      </c>
    </row>
    <row r="299" spans="2:33" hidden="1" x14ac:dyDescent="0.25">
      <c r="B299">
        <v>6</v>
      </c>
      <c r="C299" t="s">
        <v>34</v>
      </c>
      <c r="D299" t="s">
        <v>35</v>
      </c>
      <c r="E299" t="s">
        <v>68</v>
      </c>
      <c r="F299">
        <v>325115</v>
      </c>
      <c r="G299">
        <v>325136</v>
      </c>
      <c r="H299">
        <v>39</v>
      </c>
      <c r="I299" s="5">
        <v>778</v>
      </c>
      <c r="J299">
        <v>5.9052211997441073E-4</v>
      </c>
      <c r="K299">
        <v>78192</v>
      </c>
      <c r="L299">
        <v>1157033</v>
      </c>
      <c r="M299">
        <v>23691</v>
      </c>
      <c r="N299">
        <v>93261</v>
      </c>
      <c r="O299" s="43">
        <v>54061979</v>
      </c>
      <c r="P299" s="14">
        <f t="shared" si="14"/>
        <v>1557865</v>
      </c>
      <c r="Q299" s="14" t="str">
        <f t="shared" si="12"/>
        <v/>
      </c>
      <c r="R299" s="14" t="str">
        <f t="shared" si="12"/>
        <v/>
      </c>
      <c r="S299" s="14" t="str">
        <f t="shared" si="13"/>
        <v/>
      </c>
      <c r="T299" s="14" t="s">
        <v>72</v>
      </c>
      <c r="U299" s="14">
        <v>2002.3971722365038</v>
      </c>
      <c r="V299">
        <v>8566</v>
      </c>
      <c r="W299">
        <v>19.346582031250001</v>
      </c>
      <c r="X299">
        <v>57.295963902388898</v>
      </c>
      <c r="Y299">
        <v>0.95936637679588299</v>
      </c>
      <c r="Z299" s="31">
        <v>2.6959614021838898</v>
      </c>
      <c r="AA299">
        <v>5.3082660110463804</v>
      </c>
      <c r="AB299">
        <v>0.08</v>
      </c>
      <c r="AC299">
        <v>169613.82930303301</v>
      </c>
      <c r="AD299">
        <v>169613.82930303301</v>
      </c>
      <c r="AE299">
        <v>1</v>
      </c>
      <c r="AF299">
        <v>468.96422781189148</v>
      </c>
      <c r="AG299">
        <v>11774.61516947211</v>
      </c>
    </row>
    <row r="300" spans="2:33" hidden="1" x14ac:dyDescent="0.25">
      <c r="B300">
        <v>6</v>
      </c>
      <c r="C300" t="s">
        <v>34</v>
      </c>
      <c r="D300" t="s">
        <v>35</v>
      </c>
      <c r="E300" t="s">
        <v>68</v>
      </c>
      <c r="F300">
        <v>325128</v>
      </c>
      <c r="G300">
        <v>325136</v>
      </c>
      <c r="H300">
        <v>40</v>
      </c>
      <c r="I300" s="5">
        <v>133</v>
      </c>
      <c r="J300">
        <v>1.9191968899168351E-3</v>
      </c>
      <c r="K300">
        <v>78192</v>
      </c>
      <c r="L300">
        <v>1157033</v>
      </c>
      <c r="M300">
        <v>23691</v>
      </c>
      <c r="N300">
        <v>93261</v>
      </c>
      <c r="O300" s="43">
        <v>55162183</v>
      </c>
      <c r="P300" s="14">
        <f t="shared" si="14"/>
        <v>1100204</v>
      </c>
      <c r="Q300" s="14" t="str">
        <f t="shared" si="12"/>
        <v/>
      </c>
      <c r="R300" s="14" t="str">
        <f t="shared" si="12"/>
        <v/>
      </c>
      <c r="S300" s="14" t="str">
        <f t="shared" si="13"/>
        <v/>
      </c>
      <c r="T300" s="14" t="s">
        <v>72</v>
      </c>
      <c r="U300" s="14">
        <v>8272.21052631579</v>
      </c>
      <c r="V300">
        <v>8566</v>
      </c>
      <c r="W300">
        <v>23.220941162109401</v>
      </c>
      <c r="X300">
        <v>39.466678733303901</v>
      </c>
      <c r="Y300">
        <v>1.72408921919463</v>
      </c>
      <c r="Z300" s="31">
        <v>0.93273509613374805</v>
      </c>
      <c r="AA300">
        <v>1.55448198315432</v>
      </c>
      <c r="AB300">
        <v>0.08</v>
      </c>
      <c r="AC300">
        <v>169613.82930303301</v>
      </c>
      <c r="AD300">
        <v>169613.82930303301</v>
      </c>
      <c r="AE300">
        <v>1</v>
      </c>
      <c r="AF300">
        <v>468.96422781189148</v>
      </c>
      <c r="AG300">
        <v>11774.61516947211</v>
      </c>
    </row>
    <row r="301" spans="2:33" hidden="1" x14ac:dyDescent="0.25">
      <c r="B301">
        <v>6</v>
      </c>
      <c r="C301" t="s">
        <v>34</v>
      </c>
      <c r="D301" t="s">
        <v>35</v>
      </c>
      <c r="E301" t="s">
        <v>68</v>
      </c>
      <c r="F301">
        <v>325128</v>
      </c>
      <c r="G301">
        <v>325136</v>
      </c>
      <c r="H301">
        <v>41</v>
      </c>
      <c r="I301" s="5">
        <v>68</v>
      </c>
      <c r="J301">
        <v>0</v>
      </c>
      <c r="K301">
        <v>78192</v>
      </c>
      <c r="L301">
        <v>1157033</v>
      </c>
      <c r="M301">
        <v>23691</v>
      </c>
      <c r="N301">
        <v>93261</v>
      </c>
      <c r="O301" s="43">
        <v>56189446</v>
      </c>
      <c r="P301" s="14">
        <f t="shared" si="14"/>
        <v>1027263</v>
      </c>
      <c r="Q301" s="14" t="str">
        <f t="shared" si="12"/>
        <v/>
      </c>
      <c r="R301" s="14" t="str">
        <f t="shared" si="12"/>
        <v/>
      </c>
      <c r="S301" s="14" t="str">
        <f t="shared" si="13"/>
        <v/>
      </c>
      <c r="T301" s="14" t="s">
        <v>72</v>
      </c>
      <c r="U301" s="14">
        <v>15106.808823529413</v>
      </c>
      <c r="V301">
        <v>8566</v>
      </c>
      <c r="W301">
        <v>17.382409667968801</v>
      </c>
      <c r="X301">
        <v>75.654280055096606</v>
      </c>
      <c r="Y301">
        <v>0.48359020731934799</v>
      </c>
      <c r="Z301" s="31">
        <v>2.0974631070191401</v>
      </c>
      <c r="AA301">
        <v>6.5248755372608702</v>
      </c>
      <c r="AB301">
        <v>0.08</v>
      </c>
      <c r="AC301">
        <v>169613.82930303301</v>
      </c>
      <c r="AD301">
        <v>169613.82930303301</v>
      </c>
      <c r="AE301">
        <v>1</v>
      </c>
      <c r="AF301">
        <v>468.96422781189148</v>
      </c>
      <c r="AG301">
        <v>11774.61516947211</v>
      </c>
    </row>
    <row r="302" spans="2:33" hidden="1" x14ac:dyDescent="0.25">
      <c r="B302">
        <v>6</v>
      </c>
      <c r="C302" t="s">
        <v>34</v>
      </c>
      <c r="D302" t="s">
        <v>35</v>
      </c>
      <c r="E302" t="s">
        <v>68</v>
      </c>
      <c r="F302">
        <v>325133</v>
      </c>
      <c r="G302">
        <v>325136</v>
      </c>
      <c r="H302">
        <v>42</v>
      </c>
      <c r="I302" s="5">
        <v>4</v>
      </c>
      <c r="J302">
        <v>7.3815264996801339E-4</v>
      </c>
      <c r="K302">
        <v>78192</v>
      </c>
      <c r="L302">
        <v>1157033</v>
      </c>
      <c r="M302">
        <v>23691</v>
      </c>
      <c r="N302">
        <v>93261</v>
      </c>
      <c r="O302" s="43">
        <v>56986120</v>
      </c>
      <c r="P302" s="14">
        <f t="shared" si="14"/>
        <v>796674</v>
      </c>
      <c r="Q302" s="14" t="str">
        <f t="shared" si="12"/>
        <v/>
      </c>
      <c r="R302" s="14" t="str">
        <f t="shared" si="12"/>
        <v/>
      </c>
      <c r="S302" s="14" t="str">
        <f t="shared" si="13"/>
        <v/>
      </c>
      <c r="T302" s="14" t="s">
        <v>72</v>
      </c>
      <c r="U302" s="14">
        <v>199168.5</v>
      </c>
      <c r="V302">
        <v>8566</v>
      </c>
      <c r="W302">
        <v>17.872918701171901</v>
      </c>
      <c r="X302">
        <v>86.922136608473906</v>
      </c>
      <c r="Y302">
        <v>0.26787597424376802</v>
      </c>
      <c r="Z302" s="31">
        <v>3.01698797961211</v>
      </c>
      <c r="AA302">
        <v>9.0771702530943994</v>
      </c>
      <c r="AB302">
        <v>0.08</v>
      </c>
      <c r="AC302">
        <v>169613.82930303301</v>
      </c>
      <c r="AD302">
        <v>169613.82930303301</v>
      </c>
      <c r="AE302">
        <v>1</v>
      </c>
      <c r="AF302">
        <v>468.96422781189148</v>
      </c>
      <c r="AG302">
        <v>11774.61516947211</v>
      </c>
    </row>
    <row r="303" spans="2:33" hidden="1" x14ac:dyDescent="0.25">
      <c r="B303">
        <v>6</v>
      </c>
      <c r="C303" t="s">
        <v>34</v>
      </c>
      <c r="D303" t="s">
        <v>35</v>
      </c>
      <c r="E303" t="s">
        <v>68</v>
      </c>
      <c r="F303">
        <v>325133</v>
      </c>
      <c r="G303">
        <v>325136</v>
      </c>
      <c r="H303">
        <v>43</v>
      </c>
      <c r="I303" s="5">
        <v>13</v>
      </c>
      <c r="J303">
        <v>0</v>
      </c>
      <c r="K303">
        <v>78192</v>
      </c>
      <c r="L303">
        <v>1157033</v>
      </c>
      <c r="M303">
        <v>23691</v>
      </c>
      <c r="N303">
        <v>93261</v>
      </c>
      <c r="O303" s="43">
        <v>57346065</v>
      </c>
      <c r="P303" s="14">
        <f t="shared" si="14"/>
        <v>359945</v>
      </c>
      <c r="Q303" s="14" t="str">
        <f t="shared" si="12"/>
        <v/>
      </c>
      <c r="R303" s="14" t="str">
        <f t="shared" si="12"/>
        <v/>
      </c>
      <c r="S303" s="14" t="str">
        <f t="shared" si="13"/>
        <v/>
      </c>
      <c r="T303" s="14" t="s">
        <v>72</v>
      </c>
      <c r="U303" s="14">
        <v>27688.076923076922</v>
      </c>
      <c r="V303">
        <v>8566</v>
      </c>
      <c r="W303">
        <v>20.897729492187501</v>
      </c>
      <c r="X303">
        <v>67.630859947684897</v>
      </c>
      <c r="Y303">
        <v>0.800124508440622</v>
      </c>
      <c r="Z303" s="31">
        <v>0.73095205772914695</v>
      </c>
      <c r="AA303">
        <v>3.2740654061489201</v>
      </c>
      <c r="AB303">
        <v>0.08</v>
      </c>
      <c r="AC303">
        <v>169613.82930303301</v>
      </c>
      <c r="AD303">
        <v>169613.82930303301</v>
      </c>
      <c r="AE303">
        <v>1</v>
      </c>
      <c r="AF303">
        <v>468.96422781189148</v>
      </c>
      <c r="AG303">
        <v>11774.61516947211</v>
      </c>
    </row>
    <row r="304" spans="2:33" hidden="1" x14ac:dyDescent="0.25">
      <c r="B304">
        <v>6</v>
      </c>
      <c r="C304" t="s">
        <v>34</v>
      </c>
      <c r="D304" t="s">
        <v>35</v>
      </c>
      <c r="E304" t="s">
        <v>68</v>
      </c>
      <c r="F304">
        <v>325133</v>
      </c>
      <c r="G304">
        <v>325136</v>
      </c>
      <c r="H304">
        <v>44</v>
      </c>
      <c r="I304" s="5">
        <v>0</v>
      </c>
      <c r="J304">
        <v>0</v>
      </c>
      <c r="K304">
        <v>78192</v>
      </c>
      <c r="L304">
        <v>1157033</v>
      </c>
      <c r="M304">
        <v>23691</v>
      </c>
      <c r="N304">
        <v>93261</v>
      </c>
      <c r="O304" s="43">
        <v>57439692</v>
      </c>
      <c r="P304" s="14">
        <f t="shared" si="14"/>
        <v>93627</v>
      </c>
      <c r="Q304" s="14" t="str">
        <f t="shared" si="12"/>
        <v/>
      </c>
      <c r="R304" s="14" t="str">
        <f t="shared" si="12"/>
        <v/>
      </c>
      <c r="S304" s="14" t="str">
        <f t="shared" si="13"/>
        <v/>
      </c>
      <c r="T304" s="14" t="s">
        <v>72</v>
      </c>
      <c r="U304" s="14">
        <v>0</v>
      </c>
      <c r="V304">
        <v>8566</v>
      </c>
      <c r="W304">
        <v>20.316552734375001</v>
      </c>
      <c r="X304">
        <v>60.618889343636098</v>
      </c>
      <c r="Y304">
        <v>0.93937967394419697</v>
      </c>
      <c r="Z304" s="31">
        <v>2.7261786054415902</v>
      </c>
      <c r="AA304">
        <v>5.6990199151187202</v>
      </c>
      <c r="AB304">
        <v>0.08</v>
      </c>
      <c r="AC304">
        <v>169613.82930303301</v>
      </c>
      <c r="AD304">
        <v>169613.82930303301</v>
      </c>
      <c r="AE304">
        <v>1</v>
      </c>
      <c r="AF304">
        <v>468.96422781189148</v>
      </c>
      <c r="AG304">
        <v>11774.61516947211</v>
      </c>
    </row>
    <row r="305" spans="1:33" hidden="1" x14ac:dyDescent="0.25">
      <c r="B305">
        <v>6</v>
      </c>
      <c r="C305" t="s">
        <v>34</v>
      </c>
      <c r="D305" t="s">
        <v>35</v>
      </c>
      <c r="E305" t="s">
        <v>68</v>
      </c>
      <c r="F305">
        <v>325136</v>
      </c>
      <c r="G305">
        <v>325136</v>
      </c>
      <c r="H305">
        <v>45</v>
      </c>
      <c r="I305" s="5">
        <v>5</v>
      </c>
      <c r="J305">
        <v>4.4289158998080808E-4</v>
      </c>
      <c r="K305">
        <v>78192</v>
      </c>
      <c r="L305">
        <v>1157033</v>
      </c>
      <c r="M305">
        <v>23691</v>
      </c>
      <c r="N305">
        <v>93261</v>
      </c>
      <c r="O305" s="43">
        <v>57899802</v>
      </c>
      <c r="P305" s="14">
        <f t="shared" si="14"/>
        <v>460110</v>
      </c>
      <c r="Q305" s="14" t="str">
        <f t="shared" si="12"/>
        <v/>
      </c>
      <c r="R305" s="14" t="str">
        <f t="shared" si="12"/>
        <v/>
      </c>
      <c r="S305" s="14" t="str">
        <f t="shared" si="13"/>
        <v/>
      </c>
      <c r="T305" s="14" t="s">
        <v>72</v>
      </c>
      <c r="U305" s="14">
        <v>92022</v>
      </c>
      <c r="V305">
        <v>8566</v>
      </c>
      <c r="W305">
        <v>17.381494140625001</v>
      </c>
      <c r="X305">
        <v>78.969461778879406</v>
      </c>
      <c r="Y305">
        <v>0.41769916965005199</v>
      </c>
      <c r="Z305" s="31">
        <v>1.17792780327223</v>
      </c>
      <c r="AA305">
        <v>1.7658454539280599</v>
      </c>
      <c r="AB305">
        <v>0.08</v>
      </c>
      <c r="AC305">
        <v>169613.82930303301</v>
      </c>
      <c r="AD305">
        <v>169613.82930303301</v>
      </c>
      <c r="AE305">
        <v>1</v>
      </c>
      <c r="AF305">
        <v>468.96422781189148</v>
      </c>
      <c r="AG305">
        <v>11774.61516947211</v>
      </c>
    </row>
    <row r="306" spans="1:33" hidden="1" x14ac:dyDescent="0.25">
      <c r="B306">
        <v>6</v>
      </c>
      <c r="C306" t="s">
        <v>34</v>
      </c>
      <c r="D306" t="s">
        <v>35</v>
      </c>
      <c r="E306" t="s">
        <v>68</v>
      </c>
      <c r="F306">
        <v>325136</v>
      </c>
      <c r="G306">
        <v>325136</v>
      </c>
      <c r="H306">
        <v>46</v>
      </c>
      <c r="I306" s="5">
        <v>0</v>
      </c>
      <c r="J306">
        <v>0</v>
      </c>
      <c r="K306">
        <v>78192</v>
      </c>
      <c r="L306">
        <v>1157033</v>
      </c>
      <c r="M306">
        <v>23691</v>
      </c>
      <c r="N306">
        <v>93261</v>
      </c>
      <c r="O306" s="43">
        <v>58312224</v>
      </c>
      <c r="P306" s="14">
        <f t="shared" si="14"/>
        <v>412422</v>
      </c>
      <c r="Q306" s="14" t="str">
        <f t="shared" si="12"/>
        <v/>
      </c>
      <c r="R306" s="14" t="str">
        <f t="shared" si="12"/>
        <v/>
      </c>
      <c r="S306" s="14" t="str">
        <f t="shared" si="13"/>
        <v/>
      </c>
      <c r="T306" s="14" t="s">
        <v>72</v>
      </c>
      <c r="U306" s="14">
        <v>0</v>
      </c>
      <c r="V306">
        <v>8566</v>
      </c>
      <c r="W306">
        <v>18.398583984375001</v>
      </c>
      <c r="X306">
        <v>59.775506230549802</v>
      </c>
      <c r="Y306">
        <v>0.85179582156324196</v>
      </c>
      <c r="Z306" s="31">
        <v>2.70565031387433</v>
      </c>
      <c r="AA306">
        <v>8.5322987251705609</v>
      </c>
      <c r="AB306">
        <v>0.08</v>
      </c>
      <c r="AC306">
        <v>169613.82930303301</v>
      </c>
      <c r="AD306">
        <v>169613.82930303301</v>
      </c>
      <c r="AE306">
        <v>1</v>
      </c>
      <c r="AF306">
        <v>468.96422781189148</v>
      </c>
      <c r="AG306">
        <v>11774.61516947211</v>
      </c>
    </row>
    <row r="307" spans="1:33" hidden="1" x14ac:dyDescent="0.25">
      <c r="B307">
        <v>6</v>
      </c>
      <c r="C307" t="s">
        <v>34</v>
      </c>
      <c r="D307" t="s">
        <v>35</v>
      </c>
      <c r="E307" t="s">
        <v>68</v>
      </c>
      <c r="F307">
        <v>325136</v>
      </c>
      <c r="G307">
        <v>325136</v>
      </c>
      <c r="H307">
        <v>47</v>
      </c>
      <c r="I307" s="5">
        <v>0</v>
      </c>
      <c r="J307">
        <v>0</v>
      </c>
      <c r="K307">
        <v>78192</v>
      </c>
      <c r="L307">
        <v>1157033</v>
      </c>
      <c r="M307">
        <v>23691</v>
      </c>
      <c r="N307">
        <v>93261</v>
      </c>
      <c r="O307" s="43">
        <v>59598801</v>
      </c>
      <c r="P307" s="14">
        <f t="shared" si="14"/>
        <v>1286577</v>
      </c>
      <c r="Q307" s="14" t="str">
        <f t="shared" si="12"/>
        <v/>
      </c>
      <c r="R307" s="14" t="str">
        <f t="shared" si="12"/>
        <v/>
      </c>
      <c r="S307" s="14" t="str">
        <f t="shared" si="13"/>
        <v/>
      </c>
      <c r="T307" s="14" t="s">
        <v>72</v>
      </c>
      <c r="U307" s="14">
        <v>0</v>
      </c>
      <c r="V307">
        <v>8566</v>
      </c>
      <c r="W307">
        <v>16.583154296875001</v>
      </c>
      <c r="X307">
        <v>79.880384069093694</v>
      </c>
      <c r="Y307">
        <v>0.37993290654386103</v>
      </c>
      <c r="Z307" s="31">
        <v>0.813151146782084</v>
      </c>
      <c r="AA307">
        <v>2.4669006296859899</v>
      </c>
      <c r="AB307">
        <v>0.08</v>
      </c>
      <c r="AC307">
        <v>169613.82930303301</v>
      </c>
      <c r="AD307">
        <v>169613.82930303301</v>
      </c>
      <c r="AE307">
        <v>1</v>
      </c>
      <c r="AF307">
        <v>468.96422781189148</v>
      </c>
      <c r="AG307">
        <v>11774.61516947211</v>
      </c>
    </row>
    <row r="308" spans="1:33" hidden="1" x14ac:dyDescent="0.25">
      <c r="A308" t="s">
        <v>100</v>
      </c>
      <c r="B308">
        <v>7</v>
      </c>
      <c r="C308" t="s">
        <v>36</v>
      </c>
      <c r="D308" t="s">
        <v>26</v>
      </c>
      <c r="E308" t="s">
        <v>69</v>
      </c>
      <c r="F308">
        <v>3256</v>
      </c>
      <c r="G308">
        <v>115796</v>
      </c>
      <c r="H308">
        <v>1</v>
      </c>
      <c r="I308" s="5">
        <v>0</v>
      </c>
      <c r="J308">
        <v>1.5183944177691799</v>
      </c>
      <c r="K308">
        <v>0</v>
      </c>
      <c r="L308">
        <v>157488</v>
      </c>
      <c r="M308">
        <v>220211</v>
      </c>
      <c r="N308">
        <v>44755</v>
      </c>
      <c r="O308" s="43">
        <v>114432.912</v>
      </c>
      <c r="P308" s="14">
        <v>0</v>
      </c>
      <c r="Q308" s="14" t="str">
        <f t="shared" si="12"/>
        <v/>
      </c>
      <c r="R308" s="14" t="str">
        <f t="shared" si="12"/>
        <v/>
      </c>
      <c r="S308" s="14" t="str">
        <f t="shared" si="13"/>
        <v/>
      </c>
      <c r="T308" s="14" t="s">
        <v>72</v>
      </c>
      <c r="U308" s="14">
        <v>0</v>
      </c>
      <c r="V308">
        <v>6345</v>
      </c>
      <c r="W308">
        <v>40.687280273437501</v>
      </c>
      <c r="X308">
        <v>9.3452079540476003</v>
      </c>
      <c r="Y308">
        <v>6.9347346516612998</v>
      </c>
      <c r="Z308" s="31">
        <v>2.3546082340677401</v>
      </c>
      <c r="AA308">
        <v>4.9951629566890601</v>
      </c>
      <c r="AB308">
        <v>0.08</v>
      </c>
      <c r="AC308">
        <v>669503.674823198</v>
      </c>
      <c r="AD308">
        <v>766113.05510018556</v>
      </c>
      <c r="AE308">
        <v>1</v>
      </c>
      <c r="AF308">
        <v>616530.90200364403</v>
      </c>
      <c r="AG308">
        <v>6990654.5166192111</v>
      </c>
    </row>
    <row r="309" spans="1:33" hidden="1" x14ac:dyDescent="0.25">
      <c r="B309">
        <v>7</v>
      </c>
      <c r="C309" t="s">
        <v>36</v>
      </c>
      <c r="D309" t="s">
        <v>26</v>
      </c>
      <c r="E309" t="s">
        <v>69</v>
      </c>
      <c r="F309">
        <v>8432</v>
      </c>
      <c r="G309">
        <v>115796</v>
      </c>
      <c r="H309">
        <v>2</v>
      </c>
      <c r="I309" s="5">
        <v>0</v>
      </c>
      <c r="J309">
        <v>2.4137621334070261</v>
      </c>
      <c r="K309">
        <v>0</v>
      </c>
      <c r="L309">
        <v>157488</v>
      </c>
      <c r="M309">
        <v>220211</v>
      </c>
      <c r="N309">
        <v>44755</v>
      </c>
      <c r="O309" s="43">
        <v>400515.19199999998</v>
      </c>
      <c r="P309" s="14">
        <f t="shared" si="14"/>
        <v>286082.27999999997</v>
      </c>
      <c r="Q309" s="14" t="str">
        <f t="shared" si="12"/>
        <v/>
      </c>
      <c r="R309" s="14" t="str">
        <f t="shared" si="12"/>
        <v/>
      </c>
      <c r="S309" s="14" t="str">
        <f t="shared" si="13"/>
        <v/>
      </c>
      <c r="T309" s="14" t="s">
        <v>72</v>
      </c>
      <c r="U309" s="14">
        <v>0</v>
      </c>
      <c r="V309">
        <v>6345</v>
      </c>
      <c r="W309">
        <v>39.945092773437501</v>
      </c>
      <c r="X309">
        <v>13.089842349160699</v>
      </c>
      <c r="Y309">
        <v>6.3902763849807798</v>
      </c>
      <c r="Z309" s="31">
        <v>1.7543900819807501</v>
      </c>
      <c r="AA309">
        <v>3.1782871021274901</v>
      </c>
      <c r="AB309">
        <v>0.08</v>
      </c>
      <c r="AC309">
        <v>669503.674823198</v>
      </c>
      <c r="AD309">
        <v>766113.05510018556</v>
      </c>
      <c r="AE309">
        <v>1</v>
      </c>
      <c r="AF309">
        <v>616530.90200364403</v>
      </c>
      <c r="AG309">
        <v>6990654.5166192111</v>
      </c>
    </row>
    <row r="310" spans="1:33" hidden="1" x14ac:dyDescent="0.25">
      <c r="B310">
        <v>7</v>
      </c>
      <c r="C310" t="s">
        <v>36</v>
      </c>
      <c r="D310" t="s">
        <v>26</v>
      </c>
      <c r="E310" t="s">
        <v>69</v>
      </c>
      <c r="F310">
        <v>11363</v>
      </c>
      <c r="G310">
        <v>115796</v>
      </c>
      <c r="H310">
        <v>3</v>
      </c>
      <c r="I310" s="5">
        <v>0</v>
      </c>
      <c r="J310">
        <v>1.366834778403399</v>
      </c>
      <c r="K310">
        <v>0</v>
      </c>
      <c r="L310">
        <v>157488</v>
      </c>
      <c r="M310">
        <v>220211</v>
      </c>
      <c r="N310">
        <v>44755</v>
      </c>
      <c r="O310" s="43">
        <v>400515.19199999998</v>
      </c>
      <c r="P310" s="14">
        <f t="shared" si="14"/>
        <v>0</v>
      </c>
      <c r="Q310" s="14" t="str">
        <f t="shared" si="12"/>
        <v/>
      </c>
      <c r="R310" s="14" t="str">
        <f t="shared" si="12"/>
        <v/>
      </c>
      <c r="S310" s="14" t="str">
        <f t="shared" si="13"/>
        <v/>
      </c>
      <c r="T310" s="14" t="s">
        <v>72</v>
      </c>
      <c r="U310" s="14">
        <v>0</v>
      </c>
      <c r="V310">
        <v>6345</v>
      </c>
      <c r="W310">
        <v>31.849572753906301</v>
      </c>
      <c r="X310">
        <v>29.860021528938301</v>
      </c>
      <c r="Y310">
        <v>3.30598459502882</v>
      </c>
      <c r="Z310" s="31">
        <v>2.6537073100694801</v>
      </c>
      <c r="AA310">
        <v>10.6382361258663</v>
      </c>
      <c r="AB310">
        <v>0.08</v>
      </c>
      <c r="AC310">
        <v>669503.674823198</v>
      </c>
      <c r="AD310">
        <v>766113.05510018556</v>
      </c>
      <c r="AE310">
        <v>1</v>
      </c>
      <c r="AF310">
        <v>616530.90200364403</v>
      </c>
      <c r="AG310">
        <v>6990654.5166192111</v>
      </c>
    </row>
    <row r="311" spans="1:33" hidden="1" x14ac:dyDescent="0.25">
      <c r="B311">
        <v>7</v>
      </c>
      <c r="C311" t="s">
        <v>36</v>
      </c>
      <c r="D311" t="s">
        <v>26</v>
      </c>
      <c r="E311" t="s">
        <v>69</v>
      </c>
      <c r="F311">
        <v>19718</v>
      </c>
      <c r="G311">
        <v>115796</v>
      </c>
      <c r="H311">
        <v>4</v>
      </c>
      <c r="I311">
        <v>3256</v>
      </c>
      <c r="J311">
        <v>3.896248575080314</v>
      </c>
      <c r="K311">
        <v>0</v>
      </c>
      <c r="L311">
        <v>157488</v>
      </c>
      <c r="M311">
        <v>220211</v>
      </c>
      <c r="N311">
        <v>44755</v>
      </c>
      <c r="O311" s="43">
        <v>766700.51040000003</v>
      </c>
      <c r="P311" s="14">
        <f t="shared" si="14"/>
        <v>366185.31840000005</v>
      </c>
      <c r="Q311" s="14" t="str">
        <f t="shared" si="12"/>
        <v/>
      </c>
      <c r="R311" s="14" t="str">
        <f t="shared" si="12"/>
        <v/>
      </c>
      <c r="S311" s="14" t="str">
        <f t="shared" si="13"/>
        <v/>
      </c>
      <c r="T311" s="14" t="s">
        <v>72</v>
      </c>
      <c r="U311" s="14">
        <v>235.47312972972975</v>
      </c>
      <c r="V311">
        <v>6345</v>
      </c>
      <c r="W311">
        <v>27.823052978515602</v>
      </c>
      <c r="X311">
        <v>30.194959832004901</v>
      </c>
      <c r="Y311">
        <v>2.6117454194944099</v>
      </c>
      <c r="Z311" s="31">
        <v>0.75527595088511901</v>
      </c>
      <c r="AA311">
        <v>13.6022751175891</v>
      </c>
      <c r="AB311">
        <v>0.08</v>
      </c>
      <c r="AC311">
        <v>669503.674823198</v>
      </c>
      <c r="AD311">
        <v>766113.05510018556</v>
      </c>
      <c r="AE311">
        <v>1</v>
      </c>
      <c r="AF311">
        <v>616530.90200364403</v>
      </c>
      <c r="AG311">
        <v>6990654.5166192111</v>
      </c>
    </row>
    <row r="312" spans="1:33" hidden="1" x14ac:dyDescent="0.25">
      <c r="B312">
        <v>7</v>
      </c>
      <c r="C312" t="s">
        <v>36</v>
      </c>
      <c r="D312" t="s">
        <v>26</v>
      </c>
      <c r="E312" t="s">
        <v>69</v>
      </c>
      <c r="F312">
        <v>23890</v>
      </c>
      <c r="G312">
        <v>115796</v>
      </c>
      <c r="H312">
        <v>5</v>
      </c>
      <c r="I312">
        <v>5176</v>
      </c>
      <c r="J312">
        <v>1.945559432104736</v>
      </c>
      <c r="K312">
        <v>0</v>
      </c>
      <c r="L312">
        <v>157488</v>
      </c>
      <c r="M312">
        <v>220211</v>
      </c>
      <c r="N312">
        <v>44755</v>
      </c>
      <c r="O312" s="43">
        <v>530808.50560320006</v>
      </c>
      <c r="P312" s="14">
        <f t="shared" si="14"/>
        <v>-235892.00479679997</v>
      </c>
      <c r="Q312" s="14">
        <f t="shared" si="12"/>
        <v>-235892.00479679997</v>
      </c>
      <c r="R312" s="14">
        <f t="shared" si="12"/>
        <v>-235892.00479679997</v>
      </c>
      <c r="S312" s="14">
        <f t="shared" si="13"/>
        <v>55645037927.053497</v>
      </c>
      <c r="T312" s="14">
        <v>55645037927.053497</v>
      </c>
      <c r="U312" s="14">
        <v>-45.574189489335389</v>
      </c>
      <c r="V312">
        <v>6345</v>
      </c>
      <c r="W312">
        <v>27.995263671875001</v>
      </c>
      <c r="X312">
        <v>20.437513785813099</v>
      </c>
      <c r="Y312">
        <v>3.0073845693831802</v>
      </c>
      <c r="Z312" s="31">
        <v>1.1397525467876699</v>
      </c>
      <c r="AA312">
        <v>7.6494767748974501</v>
      </c>
      <c r="AB312">
        <v>0.08</v>
      </c>
      <c r="AC312">
        <v>669503.674823198</v>
      </c>
      <c r="AD312">
        <v>766113.05510018556</v>
      </c>
      <c r="AE312">
        <v>1</v>
      </c>
      <c r="AF312">
        <v>616530.90200364403</v>
      </c>
      <c r="AG312">
        <v>6990654.5166192111</v>
      </c>
    </row>
    <row r="313" spans="1:33" hidden="1" x14ac:dyDescent="0.25">
      <c r="B313">
        <v>7</v>
      </c>
      <c r="C313" t="s">
        <v>36</v>
      </c>
      <c r="D313" t="s">
        <v>26</v>
      </c>
      <c r="E313" t="s">
        <v>69</v>
      </c>
      <c r="F313">
        <v>26368</v>
      </c>
      <c r="G313">
        <v>115796</v>
      </c>
      <c r="H313">
        <v>6</v>
      </c>
      <c r="I313">
        <v>2931</v>
      </c>
      <c r="J313">
        <v>1.1555839579950951</v>
      </c>
      <c r="K313">
        <v>0</v>
      </c>
      <c r="L313">
        <v>157488</v>
      </c>
      <c r="M313">
        <v>220211</v>
      </c>
      <c r="N313">
        <v>44755</v>
      </c>
      <c r="O313" s="43">
        <v>4005151.92</v>
      </c>
      <c r="P313" s="14">
        <f t="shared" si="14"/>
        <v>3474343.4143968001</v>
      </c>
      <c r="Q313" s="14" t="str">
        <f t="shared" si="12"/>
        <v/>
      </c>
      <c r="R313" s="14" t="str">
        <f t="shared" si="12"/>
        <v/>
      </c>
      <c r="S313" s="14" t="str">
        <f t="shared" si="13"/>
        <v/>
      </c>
      <c r="T313" s="14" t="s">
        <v>72</v>
      </c>
      <c r="U313" s="14">
        <v>1185.3781693609008</v>
      </c>
      <c r="V313">
        <v>6345</v>
      </c>
      <c r="W313">
        <v>25.740258789062501</v>
      </c>
      <c r="X313">
        <v>17.957531103286701</v>
      </c>
      <c r="Y313">
        <v>2.71696307341043</v>
      </c>
      <c r="Z313" s="31">
        <v>2.1085720987368202</v>
      </c>
      <c r="AA313">
        <v>1.9407946813162</v>
      </c>
      <c r="AB313">
        <v>0.08</v>
      </c>
      <c r="AC313">
        <v>669503.674823198</v>
      </c>
      <c r="AD313">
        <v>766113.05510018556</v>
      </c>
      <c r="AE313">
        <v>1</v>
      </c>
      <c r="AF313">
        <v>616530.90200364403</v>
      </c>
      <c r="AG313">
        <v>6990654.5166192111</v>
      </c>
    </row>
    <row r="314" spans="1:33" hidden="1" x14ac:dyDescent="0.25">
      <c r="B314">
        <v>7</v>
      </c>
      <c r="C314" t="s">
        <v>36</v>
      </c>
      <c r="D314" t="s">
        <v>26</v>
      </c>
      <c r="E314" t="s">
        <v>69</v>
      </c>
      <c r="F314">
        <v>29245</v>
      </c>
      <c r="G314">
        <v>115796</v>
      </c>
      <c r="H314">
        <v>7</v>
      </c>
      <c r="I314">
        <v>8355</v>
      </c>
      <c r="J314">
        <v>1.341652561401085</v>
      </c>
      <c r="K314">
        <v>0</v>
      </c>
      <c r="L314">
        <v>157488</v>
      </c>
      <c r="M314">
        <v>220211</v>
      </c>
      <c r="N314">
        <v>44755</v>
      </c>
      <c r="O314" s="43">
        <v>5263913.9520000014</v>
      </c>
      <c r="P314" s="14">
        <f t="shared" si="14"/>
        <v>1258762.0320000015</v>
      </c>
      <c r="Q314" s="14" t="str">
        <f t="shared" si="12"/>
        <v/>
      </c>
      <c r="R314" s="14" t="str">
        <f t="shared" si="12"/>
        <v/>
      </c>
      <c r="S314" s="14" t="str">
        <f t="shared" si="13"/>
        <v/>
      </c>
      <c r="T314" s="14" t="s">
        <v>72</v>
      </c>
      <c r="U314" s="14">
        <v>150.65972854578098</v>
      </c>
      <c r="V314">
        <v>6345</v>
      </c>
      <c r="W314">
        <v>27.898583984375001</v>
      </c>
      <c r="X314">
        <v>13.518992718506899</v>
      </c>
      <c r="Y314">
        <v>3.2509042382781099</v>
      </c>
      <c r="Z314" s="31">
        <v>1.86294427984611</v>
      </c>
      <c r="AA314">
        <v>3.2580228927425199</v>
      </c>
      <c r="AB314">
        <v>0.08</v>
      </c>
      <c r="AC314">
        <v>669503.674823198</v>
      </c>
      <c r="AD314">
        <v>766113.05510018556</v>
      </c>
      <c r="AE314">
        <v>1</v>
      </c>
      <c r="AF314">
        <v>616530.90200364403</v>
      </c>
      <c r="AG314">
        <v>6990654.5166192111</v>
      </c>
    </row>
    <row r="315" spans="1:33" hidden="1" x14ac:dyDescent="0.25">
      <c r="B315">
        <v>7</v>
      </c>
      <c r="C315" t="s">
        <v>36</v>
      </c>
      <c r="D315" t="s">
        <v>26</v>
      </c>
      <c r="E315" t="s">
        <v>69</v>
      </c>
      <c r="F315">
        <v>33312</v>
      </c>
      <c r="G315">
        <v>115796</v>
      </c>
      <c r="H315">
        <v>8</v>
      </c>
      <c r="I315">
        <v>4172</v>
      </c>
      <c r="J315">
        <v>1.896594010155791</v>
      </c>
      <c r="K315">
        <v>0</v>
      </c>
      <c r="L315">
        <v>157488</v>
      </c>
      <c r="M315">
        <v>220211</v>
      </c>
      <c r="N315">
        <v>44755</v>
      </c>
      <c r="O315" s="43">
        <v>8582468.4000000004</v>
      </c>
      <c r="P315" s="14">
        <f t="shared" si="14"/>
        <v>3318554.4479999989</v>
      </c>
      <c r="Q315" s="14" t="str">
        <f t="shared" si="12"/>
        <v/>
      </c>
      <c r="R315" s="14" t="str">
        <f t="shared" si="12"/>
        <v/>
      </c>
      <c r="S315" s="14" t="str">
        <f t="shared" si="13"/>
        <v/>
      </c>
      <c r="T315" s="14" t="s">
        <v>72</v>
      </c>
      <c r="U315" s="14">
        <v>795.43491083413232</v>
      </c>
      <c r="V315">
        <v>6345</v>
      </c>
      <c r="W315">
        <v>28.843774414062501</v>
      </c>
      <c r="X315">
        <v>15.492838969900401</v>
      </c>
      <c r="Y315">
        <v>3.3556608239021699</v>
      </c>
      <c r="Z315" s="31">
        <v>1.6923719666899</v>
      </c>
      <c r="AA315">
        <v>5.2081707906194996</v>
      </c>
      <c r="AB315">
        <v>0.08</v>
      </c>
      <c r="AC315">
        <v>669503.674823198</v>
      </c>
      <c r="AD315">
        <v>766113.05510018556</v>
      </c>
      <c r="AE315">
        <v>1</v>
      </c>
      <c r="AF315">
        <v>616530.90200364403</v>
      </c>
      <c r="AG315">
        <v>6990654.5166192111</v>
      </c>
    </row>
    <row r="316" spans="1:33" hidden="1" x14ac:dyDescent="0.25">
      <c r="B316">
        <v>7</v>
      </c>
      <c r="C316" t="s">
        <v>36</v>
      </c>
      <c r="D316" t="s">
        <v>26</v>
      </c>
      <c r="E316" t="s">
        <v>69</v>
      </c>
      <c r="F316">
        <v>33312</v>
      </c>
      <c r="G316">
        <v>115796</v>
      </c>
      <c r="H316">
        <v>9</v>
      </c>
      <c r="I316">
        <v>2478</v>
      </c>
      <c r="J316">
        <v>0</v>
      </c>
      <c r="K316">
        <v>0</v>
      </c>
      <c r="L316">
        <v>157488</v>
      </c>
      <c r="M316">
        <v>220211</v>
      </c>
      <c r="N316">
        <v>44755</v>
      </c>
      <c r="O316" s="43">
        <v>10985559.551999999</v>
      </c>
      <c r="P316" s="14">
        <f t="shared" si="14"/>
        <v>2403091.1519999988</v>
      </c>
      <c r="Q316" s="14" t="str">
        <f t="shared" si="12"/>
        <v/>
      </c>
      <c r="R316" s="14" t="str">
        <f t="shared" si="12"/>
        <v/>
      </c>
      <c r="S316" s="14" t="str">
        <f t="shared" si="13"/>
        <v/>
      </c>
      <c r="T316" s="14" t="s">
        <v>72</v>
      </c>
      <c r="U316" s="14">
        <v>969.77044067796635</v>
      </c>
      <c r="V316">
        <v>6345</v>
      </c>
      <c r="W316">
        <v>29.678094482421901</v>
      </c>
      <c r="X316">
        <v>23.561480524923599</v>
      </c>
      <c r="Y316">
        <v>3.1842182537689001</v>
      </c>
      <c r="Z316" s="31">
        <v>2.5170355058349401</v>
      </c>
      <c r="AA316">
        <v>6.3610940025227301</v>
      </c>
      <c r="AB316">
        <v>0.08</v>
      </c>
      <c r="AC316">
        <v>669503.674823198</v>
      </c>
      <c r="AD316">
        <v>766113.05510018556</v>
      </c>
      <c r="AE316">
        <v>1</v>
      </c>
      <c r="AF316">
        <v>616530.90200364403</v>
      </c>
      <c r="AG316">
        <v>6990654.5166192111</v>
      </c>
    </row>
    <row r="317" spans="1:33" hidden="1" x14ac:dyDescent="0.25">
      <c r="B317">
        <v>7</v>
      </c>
      <c r="C317" t="s">
        <v>36</v>
      </c>
      <c r="D317" t="s">
        <v>26</v>
      </c>
      <c r="E317" t="s">
        <v>69</v>
      </c>
      <c r="F317">
        <v>41773</v>
      </c>
      <c r="G317">
        <v>115796</v>
      </c>
      <c r="H317">
        <v>10</v>
      </c>
      <c r="I317">
        <v>2877</v>
      </c>
      <c r="J317">
        <v>3.9456803343811528</v>
      </c>
      <c r="K317">
        <v>0</v>
      </c>
      <c r="L317">
        <v>157488</v>
      </c>
      <c r="M317">
        <v>220211</v>
      </c>
      <c r="N317">
        <v>44755</v>
      </c>
      <c r="O317" s="43">
        <v>14418546.912</v>
      </c>
      <c r="P317" s="14">
        <f t="shared" si="14"/>
        <v>3432987.3600000013</v>
      </c>
      <c r="Q317" s="14" t="str">
        <f t="shared" si="12"/>
        <v/>
      </c>
      <c r="R317" s="14" t="str">
        <f t="shared" si="12"/>
        <v/>
      </c>
      <c r="S317" s="14" t="str">
        <f t="shared" si="13"/>
        <v/>
      </c>
      <c r="T317" s="14" t="s">
        <v>72</v>
      </c>
      <c r="U317" s="14">
        <v>1193.252471324296</v>
      </c>
      <c r="V317">
        <v>6345</v>
      </c>
      <c r="W317">
        <v>30.390954589843702</v>
      </c>
      <c r="X317">
        <v>20.1789589891786</v>
      </c>
      <c r="Y317">
        <v>3.46396553147108</v>
      </c>
      <c r="Z317" s="31">
        <v>2.6714479268657998</v>
      </c>
      <c r="AA317">
        <v>6.2384176093250296</v>
      </c>
      <c r="AB317">
        <v>0.08</v>
      </c>
      <c r="AC317">
        <v>669503.674823198</v>
      </c>
      <c r="AD317">
        <v>766113.05510018556</v>
      </c>
      <c r="AE317">
        <v>1</v>
      </c>
      <c r="AF317">
        <v>616530.90200364403</v>
      </c>
      <c r="AG317">
        <v>6990654.5166192111</v>
      </c>
    </row>
    <row r="318" spans="1:33" hidden="1" x14ac:dyDescent="0.25">
      <c r="B318">
        <v>7</v>
      </c>
      <c r="C318" t="s">
        <v>36</v>
      </c>
      <c r="D318" t="s">
        <v>26</v>
      </c>
      <c r="E318" t="s">
        <v>69</v>
      </c>
      <c r="F318">
        <v>38299</v>
      </c>
      <c r="G318">
        <v>115796</v>
      </c>
      <c r="H318">
        <v>11</v>
      </c>
      <c r="I318">
        <v>4067</v>
      </c>
      <c r="J318">
        <v>0</v>
      </c>
      <c r="K318">
        <v>0</v>
      </c>
      <c r="L318">
        <v>157488</v>
      </c>
      <c r="M318">
        <v>220211</v>
      </c>
      <c r="N318">
        <v>44755</v>
      </c>
      <c r="O318" s="43">
        <v>14418546.912</v>
      </c>
      <c r="P318" s="14">
        <f t="shared" si="14"/>
        <v>0</v>
      </c>
      <c r="Q318" s="14" t="str">
        <f t="shared" si="12"/>
        <v/>
      </c>
      <c r="R318" s="14" t="str">
        <f t="shared" si="12"/>
        <v/>
      </c>
      <c r="S318" s="14" t="str">
        <f t="shared" si="13"/>
        <v/>
      </c>
      <c r="T318" s="14" t="s">
        <v>72</v>
      </c>
      <c r="U318" s="14">
        <v>0</v>
      </c>
      <c r="V318">
        <v>6345</v>
      </c>
      <c r="W318">
        <v>30.410363769531301</v>
      </c>
      <c r="X318">
        <v>17.745504559293298</v>
      </c>
      <c r="Y318">
        <v>3.57372177948033</v>
      </c>
      <c r="Z318" s="31">
        <v>2.6625298233982599</v>
      </c>
      <c r="AA318">
        <v>4.4864356447820004</v>
      </c>
      <c r="AB318">
        <v>0.08</v>
      </c>
      <c r="AC318">
        <v>669503.674823198</v>
      </c>
      <c r="AD318">
        <v>766113.05510018556</v>
      </c>
      <c r="AE318">
        <v>1</v>
      </c>
      <c r="AF318">
        <v>616530.90200364403</v>
      </c>
      <c r="AG318">
        <v>6990654.5166192111</v>
      </c>
    </row>
    <row r="319" spans="1:33" hidden="1" x14ac:dyDescent="0.25">
      <c r="B319">
        <v>7</v>
      </c>
      <c r="C319" t="s">
        <v>36</v>
      </c>
      <c r="D319" t="s">
        <v>26</v>
      </c>
      <c r="E319" t="s">
        <v>69</v>
      </c>
      <c r="F319">
        <v>41028</v>
      </c>
      <c r="G319">
        <v>115796</v>
      </c>
      <c r="H319">
        <v>12</v>
      </c>
      <c r="I319">
        <v>0</v>
      </c>
      <c r="J319">
        <v>1.2726346333206671</v>
      </c>
      <c r="K319">
        <v>0</v>
      </c>
      <c r="L319">
        <v>157488</v>
      </c>
      <c r="M319">
        <v>220211</v>
      </c>
      <c r="N319">
        <v>44755</v>
      </c>
      <c r="O319" s="43">
        <v>20369058.335999999</v>
      </c>
      <c r="P319" s="14">
        <f t="shared" si="14"/>
        <v>5950511.4239999987</v>
      </c>
      <c r="Q319" s="14" t="str">
        <f t="shared" si="12"/>
        <v/>
      </c>
      <c r="R319" s="14" t="str">
        <f t="shared" si="12"/>
        <v/>
      </c>
      <c r="S319" s="14" t="str">
        <f t="shared" si="13"/>
        <v/>
      </c>
      <c r="T319" s="14" t="s">
        <v>72</v>
      </c>
      <c r="U319" s="14">
        <v>0</v>
      </c>
      <c r="V319">
        <v>6345</v>
      </c>
      <c r="W319">
        <v>31.713006591796901</v>
      </c>
      <c r="X319">
        <v>11.692379277742001</v>
      </c>
      <c r="Y319">
        <v>4.1321543090096204</v>
      </c>
      <c r="Z319" s="31">
        <v>3.3726300942648502</v>
      </c>
      <c r="AA319">
        <v>2.0189854598705801</v>
      </c>
      <c r="AB319">
        <v>0.08</v>
      </c>
      <c r="AC319">
        <v>669503.674823198</v>
      </c>
      <c r="AD319">
        <v>766113.05510018556</v>
      </c>
      <c r="AE319">
        <v>1</v>
      </c>
      <c r="AF319">
        <v>616530.90200364403</v>
      </c>
      <c r="AG319">
        <v>6990654.5166192111</v>
      </c>
    </row>
    <row r="320" spans="1:33" hidden="1" x14ac:dyDescent="0.25">
      <c r="B320">
        <v>7</v>
      </c>
      <c r="C320" t="s">
        <v>36</v>
      </c>
      <c r="D320" t="s">
        <v>26</v>
      </c>
      <c r="E320" t="s">
        <v>69</v>
      </c>
      <c r="F320">
        <v>49179</v>
      </c>
      <c r="G320">
        <v>115796</v>
      </c>
      <c r="H320">
        <v>13</v>
      </c>
      <c r="I320">
        <v>8461</v>
      </c>
      <c r="J320">
        <v>3.8011157552937931</v>
      </c>
      <c r="K320">
        <v>0</v>
      </c>
      <c r="L320">
        <v>157488</v>
      </c>
      <c r="M320">
        <v>220211</v>
      </c>
      <c r="N320">
        <v>44755</v>
      </c>
      <c r="O320" s="43">
        <v>25175240.640000001</v>
      </c>
      <c r="P320" s="14">
        <f t="shared" si="14"/>
        <v>4806182.3040000014</v>
      </c>
      <c r="Q320" s="14" t="str">
        <f t="shared" si="12"/>
        <v/>
      </c>
      <c r="R320" s="14" t="str">
        <f t="shared" si="12"/>
        <v/>
      </c>
      <c r="S320" s="14" t="str">
        <f t="shared" si="13"/>
        <v/>
      </c>
      <c r="T320" s="14" t="s">
        <v>72</v>
      </c>
      <c r="U320" s="14">
        <v>568.03951116889232</v>
      </c>
      <c r="V320">
        <v>6345</v>
      </c>
      <c r="W320">
        <v>32.005639648437501</v>
      </c>
      <c r="X320">
        <v>6.51881498859641</v>
      </c>
      <c r="Y320">
        <v>4.4475080558471003</v>
      </c>
      <c r="Z320" s="31">
        <v>2.6413443188915702</v>
      </c>
      <c r="AA320">
        <v>2.9637098359377698</v>
      </c>
      <c r="AB320">
        <v>0.08</v>
      </c>
      <c r="AC320">
        <v>669503.674823198</v>
      </c>
      <c r="AD320">
        <v>766113.05510018556</v>
      </c>
      <c r="AE320">
        <v>1</v>
      </c>
      <c r="AF320">
        <v>616530.90200364403</v>
      </c>
      <c r="AG320">
        <v>6990654.5166192111</v>
      </c>
    </row>
    <row r="321" spans="2:33" hidden="1" x14ac:dyDescent="0.25">
      <c r="B321">
        <v>7</v>
      </c>
      <c r="C321" t="s">
        <v>36</v>
      </c>
      <c r="D321" t="s">
        <v>26</v>
      </c>
      <c r="E321" t="s">
        <v>69</v>
      </c>
      <c r="F321">
        <v>60148</v>
      </c>
      <c r="G321">
        <v>115796</v>
      </c>
      <c r="H321">
        <v>14</v>
      </c>
      <c r="I321">
        <v>-3474</v>
      </c>
      <c r="J321">
        <v>5.1152544129330888</v>
      </c>
      <c r="K321">
        <v>0</v>
      </c>
      <c r="L321">
        <v>157488</v>
      </c>
      <c r="M321">
        <v>220211</v>
      </c>
      <c r="N321">
        <v>44755</v>
      </c>
      <c r="O321" s="43">
        <v>25175240.640000001</v>
      </c>
      <c r="P321" s="14">
        <f t="shared" si="14"/>
        <v>0</v>
      </c>
      <c r="Q321" s="14" t="str">
        <f t="shared" si="12"/>
        <v/>
      </c>
      <c r="R321" s="14" t="str">
        <f t="shared" si="12"/>
        <v/>
      </c>
      <c r="S321" s="14" t="str">
        <f t="shared" si="13"/>
        <v/>
      </c>
      <c r="T321" s="14" t="s">
        <v>72</v>
      </c>
      <c r="U321" s="14">
        <v>7246.75896373057</v>
      </c>
      <c r="V321">
        <v>6345</v>
      </c>
      <c r="W321">
        <v>30.866113281250001</v>
      </c>
      <c r="X321">
        <v>16.8952013475072</v>
      </c>
      <c r="Y321">
        <v>3.70580519654348</v>
      </c>
      <c r="Z321" s="31">
        <v>3.7404654600803098</v>
      </c>
      <c r="AA321">
        <v>12.158713426461301</v>
      </c>
      <c r="AB321">
        <v>0.08</v>
      </c>
      <c r="AC321">
        <v>669503.674823198</v>
      </c>
      <c r="AD321">
        <v>766113.05510018556</v>
      </c>
      <c r="AE321">
        <v>1</v>
      </c>
      <c r="AF321">
        <v>616530.90200364403</v>
      </c>
      <c r="AG321">
        <v>6990654.5166192111</v>
      </c>
    </row>
    <row r="322" spans="2:33" hidden="1" x14ac:dyDescent="0.25">
      <c r="B322">
        <v>7</v>
      </c>
      <c r="C322" t="s">
        <v>36</v>
      </c>
      <c r="D322" t="s">
        <v>26</v>
      </c>
      <c r="E322" t="s">
        <v>69</v>
      </c>
      <c r="F322">
        <v>103135</v>
      </c>
      <c r="G322">
        <v>115796</v>
      </c>
      <c r="H322">
        <v>15</v>
      </c>
      <c r="I322">
        <v>2729</v>
      </c>
      <c r="J322">
        <v>20.04644374589796</v>
      </c>
      <c r="K322">
        <v>0</v>
      </c>
      <c r="L322">
        <v>157488</v>
      </c>
      <c r="M322">
        <v>220211</v>
      </c>
      <c r="N322">
        <v>44755</v>
      </c>
      <c r="O322" s="43">
        <v>33757709.039999999</v>
      </c>
      <c r="P322" s="14">
        <f t="shared" si="14"/>
        <v>8582468.3999999985</v>
      </c>
      <c r="Q322" s="14" t="str">
        <f t="shared" si="12"/>
        <v/>
      </c>
      <c r="R322" s="14" t="str">
        <f t="shared" si="12"/>
        <v/>
      </c>
      <c r="S322" s="14" t="str">
        <f t="shared" si="13"/>
        <v/>
      </c>
      <c r="T322" s="14" t="s">
        <v>72</v>
      </c>
      <c r="U322" s="14">
        <v>12369.992319530964</v>
      </c>
      <c r="V322">
        <v>6345</v>
      </c>
      <c r="W322">
        <v>29.461572265625001</v>
      </c>
      <c r="X322">
        <v>22.015028042119901</v>
      </c>
      <c r="Y322">
        <v>3.2085727509334401</v>
      </c>
      <c r="Z322" s="31">
        <v>2.5142462718530298</v>
      </c>
      <c r="AA322">
        <v>4.3680999957385502</v>
      </c>
      <c r="AB322">
        <v>0.08</v>
      </c>
      <c r="AC322">
        <v>669503.674823198</v>
      </c>
      <c r="AD322">
        <v>766113.05510018556</v>
      </c>
      <c r="AE322">
        <v>1</v>
      </c>
      <c r="AF322">
        <v>616530.90200364403</v>
      </c>
      <c r="AG322">
        <v>6990654.5166192111</v>
      </c>
    </row>
    <row r="323" spans="2:33" hidden="1" x14ac:dyDescent="0.25">
      <c r="B323">
        <v>7</v>
      </c>
      <c r="C323" t="s">
        <v>36</v>
      </c>
      <c r="D323" t="s">
        <v>26</v>
      </c>
      <c r="E323" t="s">
        <v>69</v>
      </c>
      <c r="F323">
        <v>99428</v>
      </c>
      <c r="G323">
        <v>115796</v>
      </c>
      <c r="H323">
        <v>16</v>
      </c>
      <c r="I323">
        <v>8151</v>
      </c>
      <c r="J323">
        <v>0</v>
      </c>
      <c r="K323">
        <v>0</v>
      </c>
      <c r="L323">
        <v>157488</v>
      </c>
      <c r="M323">
        <v>220211</v>
      </c>
      <c r="N323">
        <v>44755</v>
      </c>
      <c r="O323" s="43">
        <v>41768012.880000003</v>
      </c>
      <c r="P323" s="14">
        <f t="shared" si="14"/>
        <v>8010303.8400000036</v>
      </c>
      <c r="Q323" s="14" t="str">
        <f t="shared" ref="Q323:R386" si="15">IF(P323&gt;=0,"",P323)</f>
        <v/>
      </c>
      <c r="R323" s="14" t="str">
        <f t="shared" si="15"/>
        <v/>
      </c>
      <c r="S323" s="14" t="str">
        <f t="shared" ref="S323:S386" si="16">IFERROR(IF(ISNA(Q323),NA(),Q323^2),"")</f>
        <v/>
      </c>
      <c r="T323" s="14" t="s">
        <v>72</v>
      </c>
      <c r="U323" s="14">
        <v>982.7387854251017</v>
      </c>
      <c r="V323">
        <v>6345</v>
      </c>
      <c r="W323">
        <v>28.398736572265602</v>
      </c>
      <c r="X323">
        <v>27.276345133684899</v>
      </c>
      <c r="Y323">
        <v>2.8136623296257</v>
      </c>
      <c r="Z323" s="31">
        <v>2.3792708745133702</v>
      </c>
      <c r="AA323">
        <v>6.0825314288556198</v>
      </c>
      <c r="AB323">
        <v>0.08</v>
      </c>
      <c r="AC323">
        <v>669503.674823198</v>
      </c>
      <c r="AD323">
        <v>766113.05510018556</v>
      </c>
      <c r="AE323">
        <v>1</v>
      </c>
      <c r="AF323">
        <v>616530.90200364403</v>
      </c>
      <c r="AG323">
        <v>6990654.5166192111</v>
      </c>
    </row>
    <row r="324" spans="2:33" hidden="1" x14ac:dyDescent="0.25">
      <c r="B324">
        <v>7</v>
      </c>
      <c r="C324" t="s">
        <v>36</v>
      </c>
      <c r="D324" t="s">
        <v>26</v>
      </c>
      <c r="E324" t="s">
        <v>69</v>
      </c>
      <c r="F324">
        <v>105922</v>
      </c>
      <c r="G324">
        <v>115796</v>
      </c>
      <c r="H324">
        <v>17</v>
      </c>
      <c r="I324">
        <v>10969</v>
      </c>
      <c r="J324">
        <v>3.0283947632042558</v>
      </c>
      <c r="K324">
        <v>0</v>
      </c>
      <c r="L324">
        <v>157488</v>
      </c>
      <c r="M324">
        <v>220211</v>
      </c>
      <c r="N324">
        <v>44755</v>
      </c>
      <c r="O324" s="43">
        <v>46917493.920000002</v>
      </c>
      <c r="P324" s="14">
        <f t="shared" ref="P324:P387" si="17">O324-O323</f>
        <v>5149481.0399999991</v>
      </c>
      <c r="Q324" s="14" t="str">
        <f t="shared" si="15"/>
        <v/>
      </c>
      <c r="R324" s="14" t="str">
        <f t="shared" si="15"/>
        <v/>
      </c>
      <c r="S324" s="14" t="str">
        <f t="shared" si="16"/>
        <v/>
      </c>
      <c r="T324" s="14" t="s">
        <v>72</v>
      </c>
      <c r="U324" s="14">
        <v>469.45765703345785</v>
      </c>
      <c r="V324">
        <v>6345</v>
      </c>
      <c r="W324">
        <v>28.274377441406301</v>
      </c>
      <c r="X324">
        <v>26.041620583535501</v>
      </c>
      <c r="Y324">
        <v>2.8409425517251501</v>
      </c>
      <c r="Z324" s="31">
        <v>2.4944322581445002</v>
      </c>
      <c r="AA324">
        <v>4.7122164065946199</v>
      </c>
      <c r="AB324">
        <v>0.08</v>
      </c>
      <c r="AC324">
        <v>669503.674823198</v>
      </c>
      <c r="AD324">
        <v>766113.05510018556</v>
      </c>
      <c r="AE324">
        <v>1</v>
      </c>
      <c r="AF324">
        <v>616530.90200364403</v>
      </c>
      <c r="AG324">
        <v>6990654.5166192111</v>
      </c>
    </row>
    <row r="325" spans="2:33" hidden="1" x14ac:dyDescent="0.25">
      <c r="B325">
        <v>7</v>
      </c>
      <c r="C325" t="s">
        <v>36</v>
      </c>
      <c r="D325" t="s">
        <v>26</v>
      </c>
      <c r="E325" t="s">
        <v>69</v>
      </c>
      <c r="F325">
        <v>111329</v>
      </c>
      <c r="G325">
        <v>115796</v>
      </c>
      <c r="H325">
        <v>18</v>
      </c>
      <c r="I325">
        <v>42987</v>
      </c>
      <c r="J325">
        <v>2.5214860616947039</v>
      </c>
      <c r="K325">
        <v>0</v>
      </c>
      <c r="L325">
        <v>157488</v>
      </c>
      <c r="M325">
        <v>220211</v>
      </c>
      <c r="N325">
        <v>44755</v>
      </c>
      <c r="O325" s="43">
        <v>46917493.920000002</v>
      </c>
      <c r="P325" s="14">
        <f t="shared" si="17"/>
        <v>0</v>
      </c>
      <c r="Q325" s="14" t="str">
        <f t="shared" si="15"/>
        <v/>
      </c>
      <c r="R325" s="14" t="str">
        <f t="shared" si="15"/>
        <v/>
      </c>
      <c r="S325" s="14" t="str">
        <f t="shared" si="16"/>
        <v/>
      </c>
      <c r="T325" s="14" t="s">
        <v>72</v>
      </c>
      <c r="U325" s="14">
        <v>-1091.4344783306581</v>
      </c>
      <c r="V325">
        <v>6345</v>
      </c>
      <c r="W325">
        <v>28.048150634765602</v>
      </c>
      <c r="X325">
        <v>29.595828499419301</v>
      </c>
      <c r="Y325">
        <v>2.6689152759451402</v>
      </c>
      <c r="Z325" s="31">
        <v>2.76431104161124</v>
      </c>
      <c r="AA325">
        <v>1.2245933613992599</v>
      </c>
      <c r="AB325">
        <v>0.08</v>
      </c>
      <c r="AC325">
        <v>669503.674823198</v>
      </c>
      <c r="AD325">
        <v>766113.05510018556</v>
      </c>
      <c r="AE325">
        <v>1</v>
      </c>
      <c r="AF325">
        <v>616530.90200364403</v>
      </c>
      <c r="AG325">
        <v>6990654.5166192111</v>
      </c>
    </row>
    <row r="326" spans="2:33" hidden="1" x14ac:dyDescent="0.25">
      <c r="B326">
        <v>7</v>
      </c>
      <c r="C326" t="s">
        <v>36</v>
      </c>
      <c r="D326" t="s">
        <v>26</v>
      </c>
      <c r="E326" t="s">
        <v>69</v>
      </c>
      <c r="F326">
        <v>112714</v>
      </c>
      <c r="G326">
        <v>115796</v>
      </c>
      <c r="H326">
        <v>19</v>
      </c>
      <c r="I326">
        <v>-3707</v>
      </c>
      <c r="J326">
        <v>0.64587723237417527</v>
      </c>
      <c r="K326">
        <v>0</v>
      </c>
      <c r="L326">
        <v>157488</v>
      </c>
      <c r="M326">
        <v>220211</v>
      </c>
      <c r="N326">
        <v>44755</v>
      </c>
      <c r="O326" s="43">
        <v>49206152.159999996</v>
      </c>
      <c r="P326" s="14">
        <f t="shared" si="17"/>
        <v>2288658.2399999946</v>
      </c>
      <c r="Q326" s="14" t="str">
        <f t="shared" si="15"/>
        <v/>
      </c>
      <c r="R326" s="14" t="str">
        <f t="shared" si="15"/>
        <v/>
      </c>
      <c r="S326" s="14" t="str">
        <f t="shared" si="16"/>
        <v/>
      </c>
      <c r="T326" s="14" t="s">
        <v>72</v>
      </c>
      <c r="U326" s="14">
        <v>-13273.847359050445</v>
      </c>
      <c r="V326">
        <v>6345</v>
      </c>
      <c r="W326">
        <v>29.419610595703102</v>
      </c>
      <c r="X326">
        <v>25.206813044392199</v>
      </c>
      <c r="Y326">
        <v>3.0696139710208699</v>
      </c>
      <c r="Z326" s="31">
        <v>2.73694924947538</v>
      </c>
      <c r="AA326">
        <v>0.50966111592628405</v>
      </c>
      <c r="AB326">
        <v>0.08</v>
      </c>
      <c r="AC326">
        <v>669503.674823198</v>
      </c>
      <c r="AD326">
        <v>766113.05510018556</v>
      </c>
      <c r="AE326">
        <v>1</v>
      </c>
      <c r="AF326">
        <v>616530.90200364403</v>
      </c>
      <c r="AG326">
        <v>6990654.5166192111</v>
      </c>
    </row>
    <row r="327" spans="2:33" hidden="1" x14ac:dyDescent="0.25">
      <c r="B327">
        <v>7</v>
      </c>
      <c r="C327" t="s">
        <v>36</v>
      </c>
      <c r="D327" t="s">
        <v>26</v>
      </c>
      <c r="E327" t="s">
        <v>69</v>
      </c>
      <c r="F327">
        <v>113986</v>
      </c>
      <c r="G327">
        <v>115796</v>
      </c>
      <c r="H327">
        <v>20</v>
      </c>
      <c r="I327">
        <v>6494</v>
      </c>
      <c r="J327">
        <v>0.59318111161007292</v>
      </c>
      <c r="K327">
        <v>0</v>
      </c>
      <c r="L327">
        <v>157488</v>
      </c>
      <c r="M327">
        <v>220211</v>
      </c>
      <c r="N327">
        <v>44755</v>
      </c>
      <c r="O327" s="43">
        <v>51151511.663999997</v>
      </c>
      <c r="P327" s="14">
        <f t="shared" si="17"/>
        <v>1945359.5040000007</v>
      </c>
      <c r="Q327" s="14" t="str">
        <f t="shared" si="15"/>
        <v/>
      </c>
      <c r="R327" s="14" t="str">
        <f t="shared" si="15"/>
        <v/>
      </c>
      <c r="S327" s="14" t="str">
        <f t="shared" si="16"/>
        <v/>
      </c>
      <c r="T327" s="14" t="s">
        <v>72</v>
      </c>
      <c r="U327" s="14">
        <v>299.56259685863887</v>
      </c>
      <c r="V327">
        <v>6345</v>
      </c>
      <c r="W327">
        <v>28.547998046875001</v>
      </c>
      <c r="X327">
        <v>30.504573815847699</v>
      </c>
      <c r="Y327">
        <v>2.71192374563477</v>
      </c>
      <c r="Z327" s="31">
        <v>2.7078220141709202</v>
      </c>
      <c r="AA327">
        <v>2.4371493715685602</v>
      </c>
      <c r="AB327">
        <v>0.08</v>
      </c>
      <c r="AC327">
        <v>669503.674823198</v>
      </c>
      <c r="AD327">
        <v>766113.05510018556</v>
      </c>
      <c r="AE327">
        <v>1</v>
      </c>
      <c r="AF327">
        <v>616530.90200364403</v>
      </c>
      <c r="AG327">
        <v>6990654.5166192111</v>
      </c>
    </row>
    <row r="328" spans="2:33" hidden="1" x14ac:dyDescent="0.25">
      <c r="B328">
        <v>7</v>
      </c>
      <c r="C328" t="s">
        <v>36</v>
      </c>
      <c r="D328" t="s">
        <v>26</v>
      </c>
      <c r="E328" t="s">
        <v>69</v>
      </c>
      <c r="F328">
        <v>114046</v>
      </c>
      <c r="G328">
        <v>115796</v>
      </c>
      <c r="H328">
        <v>21</v>
      </c>
      <c r="I328">
        <v>5407</v>
      </c>
      <c r="J328">
        <v>2.7980241113682681E-2</v>
      </c>
      <c r="K328">
        <v>0</v>
      </c>
      <c r="L328">
        <v>157488</v>
      </c>
      <c r="M328">
        <v>220211</v>
      </c>
      <c r="N328">
        <v>44755</v>
      </c>
      <c r="O328" s="43">
        <v>51151511.663999997</v>
      </c>
      <c r="P328" s="14">
        <f t="shared" si="17"/>
        <v>0</v>
      </c>
      <c r="Q328" s="14" t="str">
        <f t="shared" si="15"/>
        <v/>
      </c>
      <c r="R328" s="14" t="str">
        <f t="shared" si="15"/>
        <v/>
      </c>
      <c r="S328" s="14" t="str">
        <f t="shared" si="16"/>
        <v/>
      </c>
      <c r="T328" s="14" t="s">
        <v>72</v>
      </c>
      <c r="U328" s="14">
        <v>-9460.2388873682266</v>
      </c>
      <c r="V328">
        <v>6345</v>
      </c>
      <c r="W328">
        <v>27.066186523437501</v>
      </c>
      <c r="X328">
        <v>37.214702092149302</v>
      </c>
      <c r="Y328">
        <v>2.2472292961836202</v>
      </c>
      <c r="Z328" s="31">
        <v>2.4443965703170498</v>
      </c>
      <c r="AA328">
        <v>2.5036227547255501</v>
      </c>
      <c r="AB328">
        <v>0.08</v>
      </c>
      <c r="AC328">
        <v>669503.674823198</v>
      </c>
      <c r="AD328">
        <v>766113.05510018556</v>
      </c>
      <c r="AE328">
        <v>1</v>
      </c>
      <c r="AF328">
        <v>616530.90200364403</v>
      </c>
      <c r="AG328">
        <v>6990654.5166192111</v>
      </c>
    </row>
    <row r="329" spans="2:33" hidden="1" x14ac:dyDescent="0.25">
      <c r="B329">
        <v>7</v>
      </c>
      <c r="C329" t="s">
        <v>36</v>
      </c>
      <c r="D329" t="s">
        <v>26</v>
      </c>
      <c r="E329" t="s">
        <v>69</v>
      </c>
      <c r="F329">
        <v>114104</v>
      </c>
      <c r="G329">
        <v>115796</v>
      </c>
      <c r="H329">
        <v>22</v>
      </c>
      <c r="I329">
        <v>1385</v>
      </c>
      <c r="J329">
        <v>2.704756640989326E-2</v>
      </c>
      <c r="K329">
        <v>0</v>
      </c>
      <c r="L329">
        <v>157488</v>
      </c>
      <c r="M329">
        <v>220211</v>
      </c>
      <c r="N329">
        <v>44755</v>
      </c>
      <c r="O329" s="43">
        <v>59276248.416000001</v>
      </c>
      <c r="P329" s="14">
        <f t="shared" si="17"/>
        <v>8124736.7520000041</v>
      </c>
      <c r="Q329" s="14" t="str">
        <f t="shared" si="15"/>
        <v/>
      </c>
      <c r="R329" s="14" t="str">
        <f t="shared" si="15"/>
        <v/>
      </c>
      <c r="S329" s="14" t="str">
        <f t="shared" si="16"/>
        <v/>
      </c>
      <c r="T329" s="14" t="s">
        <v>72</v>
      </c>
      <c r="U329" s="14">
        <v>42798.735318411556</v>
      </c>
      <c r="V329">
        <v>6345</v>
      </c>
      <c r="W329">
        <v>27.171716308593702</v>
      </c>
      <c r="X329">
        <v>43.878437411750397</v>
      </c>
      <c r="Y329">
        <v>2.0208743012618999</v>
      </c>
      <c r="Z329" s="31">
        <v>2.4005398737370101</v>
      </c>
      <c r="AA329">
        <v>4.9907390915928804</v>
      </c>
      <c r="AB329">
        <v>0.08</v>
      </c>
      <c r="AC329">
        <v>669503.674823198</v>
      </c>
      <c r="AD329">
        <v>766113.05510018556</v>
      </c>
      <c r="AE329">
        <v>1</v>
      </c>
      <c r="AF329">
        <v>616530.90200364403</v>
      </c>
      <c r="AG329">
        <v>6990654.5166192111</v>
      </c>
    </row>
    <row r="330" spans="2:33" hidden="1" x14ac:dyDescent="0.25">
      <c r="B330">
        <v>7</v>
      </c>
      <c r="C330" t="s">
        <v>36</v>
      </c>
      <c r="D330" t="s">
        <v>26</v>
      </c>
      <c r="E330" t="s">
        <v>69</v>
      </c>
      <c r="F330">
        <v>114118</v>
      </c>
      <c r="G330">
        <v>115796</v>
      </c>
      <c r="H330">
        <v>23</v>
      </c>
      <c r="I330">
        <v>1272</v>
      </c>
      <c r="J330">
        <v>6.5287229265259591E-3</v>
      </c>
      <c r="K330">
        <v>0</v>
      </c>
      <c r="L330">
        <v>157488</v>
      </c>
      <c r="M330">
        <v>220211</v>
      </c>
      <c r="N330">
        <v>44755</v>
      </c>
      <c r="O330" s="43">
        <v>61793772.479999997</v>
      </c>
      <c r="P330" s="14">
        <f t="shared" si="17"/>
        <v>2517524.0639999956</v>
      </c>
      <c r="Q330" s="14" t="str">
        <f t="shared" si="15"/>
        <v/>
      </c>
      <c r="R330" s="14" t="str">
        <f t="shared" si="15"/>
        <v/>
      </c>
      <c r="S330" s="14" t="str">
        <f t="shared" si="16"/>
        <v/>
      </c>
      <c r="T330" s="14" t="s">
        <v>72</v>
      </c>
      <c r="U330" s="14">
        <v>1979.1855849056628</v>
      </c>
      <c r="V330">
        <v>6345</v>
      </c>
      <c r="W330">
        <v>29.298181152343702</v>
      </c>
      <c r="X330">
        <v>31.0933199918274</v>
      </c>
      <c r="Y330">
        <v>2.8079430451627898</v>
      </c>
      <c r="Z330" s="31">
        <v>0.90997859815799997</v>
      </c>
      <c r="AA330">
        <v>7.4001206149818604</v>
      </c>
      <c r="AB330">
        <v>0.08</v>
      </c>
      <c r="AC330">
        <v>669503.674823198</v>
      </c>
      <c r="AD330">
        <v>766113.05510018556</v>
      </c>
      <c r="AE330">
        <v>1</v>
      </c>
      <c r="AF330">
        <v>616530.90200364403</v>
      </c>
      <c r="AG330">
        <v>6990654.5166192111</v>
      </c>
    </row>
    <row r="331" spans="2:33" hidden="1" x14ac:dyDescent="0.25">
      <c r="B331">
        <v>7</v>
      </c>
      <c r="C331" t="s">
        <v>36</v>
      </c>
      <c r="D331" t="s">
        <v>26</v>
      </c>
      <c r="E331" t="s">
        <v>69</v>
      </c>
      <c r="F331">
        <v>114285</v>
      </c>
      <c r="G331">
        <v>115796</v>
      </c>
      <c r="H331">
        <v>24</v>
      </c>
      <c r="I331">
        <v>60</v>
      </c>
      <c r="J331">
        <v>7.7878337766416797E-2</v>
      </c>
      <c r="K331">
        <v>0</v>
      </c>
      <c r="L331">
        <v>157488</v>
      </c>
      <c r="M331">
        <v>220211</v>
      </c>
      <c r="N331">
        <v>44755</v>
      </c>
      <c r="O331" s="43">
        <v>64082430.720000014</v>
      </c>
      <c r="P331" s="14">
        <f t="shared" si="17"/>
        <v>2288658.240000017</v>
      </c>
      <c r="Q331" s="14" t="str">
        <f t="shared" si="15"/>
        <v/>
      </c>
      <c r="R331" s="14" t="str">
        <f t="shared" si="15"/>
        <v/>
      </c>
      <c r="S331" s="14" t="str">
        <f t="shared" si="16"/>
        <v/>
      </c>
      <c r="T331" s="14" t="s">
        <v>72</v>
      </c>
      <c r="U331" s="14">
        <v>38144.304000000033</v>
      </c>
      <c r="V331">
        <v>6345</v>
      </c>
      <c r="W331">
        <v>31.515740966796901</v>
      </c>
      <c r="X331">
        <v>24.4155835717849</v>
      </c>
      <c r="Y331">
        <v>3.4964732606161499</v>
      </c>
      <c r="Z331" s="31">
        <v>0.62452520612419604</v>
      </c>
      <c r="AA331">
        <v>4.7575597265763001</v>
      </c>
      <c r="AB331">
        <v>0.08</v>
      </c>
      <c r="AC331">
        <v>669503.674823198</v>
      </c>
      <c r="AD331">
        <v>766113.05510018556</v>
      </c>
      <c r="AE331">
        <v>1</v>
      </c>
      <c r="AF331">
        <v>616530.90200364403</v>
      </c>
      <c r="AG331">
        <v>6990654.5166192111</v>
      </c>
    </row>
    <row r="332" spans="2:33" hidden="1" x14ac:dyDescent="0.25">
      <c r="B332">
        <v>7</v>
      </c>
      <c r="C332" t="s">
        <v>36</v>
      </c>
      <c r="D332" t="s">
        <v>26</v>
      </c>
      <c r="E332" t="s">
        <v>69</v>
      </c>
      <c r="F332">
        <v>114317</v>
      </c>
      <c r="G332">
        <v>115796</v>
      </c>
      <c r="H332">
        <v>25</v>
      </c>
      <c r="I332">
        <v>58</v>
      </c>
      <c r="J332">
        <v>1.4922795260630759E-2</v>
      </c>
      <c r="K332">
        <v>0</v>
      </c>
      <c r="L332">
        <v>157488</v>
      </c>
      <c r="M332">
        <v>220211</v>
      </c>
      <c r="N332">
        <v>44755</v>
      </c>
      <c r="O332" s="43">
        <v>67515418.079999998</v>
      </c>
      <c r="P332" s="14">
        <f t="shared" si="17"/>
        <v>3432987.3599999845</v>
      </c>
      <c r="Q332" s="14" t="str">
        <f t="shared" si="15"/>
        <v/>
      </c>
      <c r="R332" s="14" t="str">
        <f t="shared" si="15"/>
        <v/>
      </c>
      <c r="S332" s="14" t="str">
        <f t="shared" si="16"/>
        <v/>
      </c>
      <c r="T332" s="14" t="s">
        <v>72</v>
      </c>
      <c r="U332" s="14">
        <v>59189.437241379172</v>
      </c>
      <c r="V332">
        <v>6345</v>
      </c>
      <c r="W332">
        <v>34.520043945312501</v>
      </c>
      <c r="X332">
        <v>7.5471421879868101</v>
      </c>
      <c r="Y332">
        <v>5.0630013195262498</v>
      </c>
      <c r="Z332" s="31">
        <v>1.32874897803984</v>
      </c>
      <c r="AA332">
        <v>4.1232521245984497</v>
      </c>
      <c r="AB332">
        <v>0.08</v>
      </c>
      <c r="AC332">
        <v>669503.674823198</v>
      </c>
      <c r="AD332">
        <v>766113.05510018556</v>
      </c>
      <c r="AE332">
        <v>1</v>
      </c>
      <c r="AF332">
        <v>616530.90200364403</v>
      </c>
      <c r="AG332">
        <v>6990654.5166192111</v>
      </c>
    </row>
    <row r="333" spans="2:33" hidden="1" x14ac:dyDescent="0.25">
      <c r="B333">
        <v>7</v>
      </c>
      <c r="C333" t="s">
        <v>36</v>
      </c>
      <c r="D333" t="s">
        <v>26</v>
      </c>
      <c r="E333" t="s">
        <v>69</v>
      </c>
      <c r="F333">
        <v>114792</v>
      </c>
      <c r="G333">
        <v>115796</v>
      </c>
      <c r="H333">
        <v>26</v>
      </c>
      <c r="I333">
        <v>14</v>
      </c>
      <c r="J333">
        <v>0.22151024214998791</v>
      </c>
      <c r="K333">
        <v>0</v>
      </c>
      <c r="L333">
        <v>157488</v>
      </c>
      <c r="M333">
        <v>220211</v>
      </c>
      <c r="N333">
        <v>44755</v>
      </c>
      <c r="O333" s="43">
        <v>68659747.200000003</v>
      </c>
      <c r="P333" s="14">
        <f t="shared" si="17"/>
        <v>1144329.1200000048</v>
      </c>
      <c r="Q333" s="14" t="str">
        <f t="shared" si="15"/>
        <v/>
      </c>
      <c r="R333" s="14" t="str">
        <f t="shared" si="15"/>
        <v/>
      </c>
      <c r="S333" s="14" t="str">
        <f t="shared" si="16"/>
        <v/>
      </c>
      <c r="T333" s="14" t="s">
        <v>72</v>
      </c>
      <c r="U333" s="14">
        <v>81737.794285714626</v>
      </c>
      <c r="V333">
        <v>6345</v>
      </c>
      <c r="W333">
        <v>35.462609863281301</v>
      </c>
      <c r="X333">
        <v>6.3638160567875097</v>
      </c>
      <c r="Y333">
        <v>5.4019953932873097</v>
      </c>
      <c r="Z333" s="31">
        <v>0.91284425872364705</v>
      </c>
      <c r="AA333">
        <v>4.4450221304176996</v>
      </c>
      <c r="AB333">
        <v>0.08</v>
      </c>
      <c r="AC333">
        <v>669503.674823198</v>
      </c>
      <c r="AD333">
        <v>766113.05510018556</v>
      </c>
      <c r="AE333">
        <v>1</v>
      </c>
      <c r="AF333">
        <v>616530.90200364403</v>
      </c>
      <c r="AG333">
        <v>6990654.5166192111</v>
      </c>
    </row>
    <row r="334" spans="2:33" hidden="1" x14ac:dyDescent="0.25">
      <c r="B334">
        <v>7</v>
      </c>
      <c r="C334" t="s">
        <v>36</v>
      </c>
      <c r="D334" t="s">
        <v>26</v>
      </c>
      <c r="E334" t="s">
        <v>69</v>
      </c>
      <c r="F334">
        <v>114853</v>
      </c>
      <c r="G334">
        <v>115796</v>
      </c>
      <c r="H334">
        <v>27</v>
      </c>
      <c r="I334">
        <v>167</v>
      </c>
      <c r="J334">
        <v>2.84465784655774E-2</v>
      </c>
      <c r="K334">
        <v>0</v>
      </c>
      <c r="L334">
        <v>157488</v>
      </c>
      <c r="M334">
        <v>220211</v>
      </c>
      <c r="N334">
        <v>44755</v>
      </c>
      <c r="O334" s="43">
        <v>70719539.616000012</v>
      </c>
      <c r="P334" s="14">
        <f t="shared" si="17"/>
        <v>2059792.4160000086</v>
      </c>
      <c r="Q334" s="14" t="str">
        <f t="shared" si="15"/>
        <v/>
      </c>
      <c r="R334" s="14" t="str">
        <f t="shared" si="15"/>
        <v/>
      </c>
      <c r="S334" s="14" t="str">
        <f t="shared" si="16"/>
        <v/>
      </c>
      <c r="T334" s="14" t="s">
        <v>72</v>
      </c>
      <c r="U334" s="14">
        <v>12334.086323353346</v>
      </c>
      <c r="V334">
        <v>6345</v>
      </c>
      <c r="W334">
        <v>34.654443359375001</v>
      </c>
      <c r="X334">
        <v>8.5407963928383701</v>
      </c>
      <c r="Y334">
        <v>5.0459267035971704</v>
      </c>
      <c r="Z334" s="31">
        <v>1.06278958060255</v>
      </c>
      <c r="AA334">
        <v>5.9553639410624397</v>
      </c>
      <c r="AB334">
        <v>0.08</v>
      </c>
      <c r="AC334">
        <v>669503.674823198</v>
      </c>
      <c r="AD334">
        <v>766113.05510018556</v>
      </c>
      <c r="AE334">
        <v>1</v>
      </c>
      <c r="AF334">
        <v>616530.90200364403</v>
      </c>
      <c r="AG334">
        <v>6990654.5166192111</v>
      </c>
    </row>
    <row r="335" spans="2:33" hidden="1" x14ac:dyDescent="0.25">
      <c r="B335">
        <v>7</v>
      </c>
      <c r="C335" t="s">
        <v>36</v>
      </c>
      <c r="D335" t="s">
        <v>26</v>
      </c>
      <c r="E335" t="s">
        <v>69</v>
      </c>
      <c r="F335">
        <v>114695</v>
      </c>
      <c r="G335">
        <v>115796</v>
      </c>
      <c r="H335">
        <v>28</v>
      </c>
      <c r="I335">
        <v>32</v>
      </c>
      <c r="J335">
        <v>0</v>
      </c>
      <c r="K335">
        <v>0</v>
      </c>
      <c r="L335">
        <v>157488</v>
      </c>
      <c r="M335">
        <v>220211</v>
      </c>
      <c r="N335">
        <v>44755</v>
      </c>
      <c r="O335" s="43">
        <v>70719539.616000012</v>
      </c>
      <c r="P335" s="14">
        <f t="shared" si="17"/>
        <v>0</v>
      </c>
      <c r="Q335" s="14" t="str">
        <f t="shared" si="15"/>
        <v/>
      </c>
      <c r="R335" s="14" t="str">
        <f t="shared" si="15"/>
        <v/>
      </c>
      <c r="S335" s="14" t="str">
        <f t="shared" si="16"/>
        <v/>
      </c>
      <c r="T335" s="14" t="s">
        <v>72</v>
      </c>
      <c r="U335" s="14">
        <v>-2209985.6130000004</v>
      </c>
      <c r="V335">
        <v>6345</v>
      </c>
      <c r="W335">
        <v>34.360223388671898</v>
      </c>
      <c r="X335">
        <v>12.4207871610426</v>
      </c>
      <c r="Y335">
        <v>4.7532654495827602</v>
      </c>
      <c r="Z335" s="31">
        <v>1.2548839750915399</v>
      </c>
      <c r="AA335">
        <v>5.0128398877573099</v>
      </c>
      <c r="AB335">
        <v>0.08</v>
      </c>
      <c r="AC335">
        <v>669503.674823198</v>
      </c>
      <c r="AD335">
        <v>766113.05510018556</v>
      </c>
      <c r="AE335">
        <v>1</v>
      </c>
      <c r="AF335">
        <v>616530.90200364403</v>
      </c>
      <c r="AG335">
        <v>6990654.5166192111</v>
      </c>
    </row>
    <row r="336" spans="2:33" hidden="1" x14ac:dyDescent="0.25">
      <c r="B336">
        <v>7</v>
      </c>
      <c r="C336" t="s">
        <v>36</v>
      </c>
      <c r="D336" t="s">
        <v>26</v>
      </c>
      <c r="E336" t="s">
        <v>69</v>
      </c>
      <c r="F336">
        <v>115004</v>
      </c>
      <c r="G336">
        <v>115796</v>
      </c>
      <c r="H336">
        <v>29</v>
      </c>
      <c r="I336">
        <v>475</v>
      </c>
      <c r="J336">
        <v>0.14409824173546579</v>
      </c>
      <c r="K336">
        <v>0</v>
      </c>
      <c r="L336">
        <v>157488</v>
      </c>
      <c r="M336">
        <v>220211</v>
      </c>
      <c r="N336">
        <v>44755</v>
      </c>
      <c r="O336" s="43">
        <v>73122630.768000007</v>
      </c>
      <c r="P336" s="14">
        <f t="shared" si="17"/>
        <v>2403091.1519999951</v>
      </c>
      <c r="Q336" s="14" t="str">
        <f t="shared" si="15"/>
        <v/>
      </c>
      <c r="R336" s="14" t="str">
        <f t="shared" si="15"/>
        <v/>
      </c>
      <c r="S336" s="14" t="str">
        <f t="shared" si="16"/>
        <v/>
      </c>
      <c r="T336" s="14" t="s">
        <v>72</v>
      </c>
      <c r="U336" s="14">
        <v>153942.38056421053</v>
      </c>
      <c r="V336">
        <v>6345</v>
      </c>
      <c r="W336">
        <v>32.457238769531301</v>
      </c>
      <c r="X336">
        <v>15.1818184798783</v>
      </c>
      <c r="Y336">
        <v>4.1387792801637602</v>
      </c>
      <c r="Z336" s="31">
        <v>1.6244889983826201</v>
      </c>
      <c r="AA336">
        <v>3.73064359425564</v>
      </c>
      <c r="AB336">
        <v>0.08</v>
      </c>
      <c r="AC336">
        <v>669503.674823198</v>
      </c>
      <c r="AD336">
        <v>766113.05510018556</v>
      </c>
      <c r="AE336">
        <v>1</v>
      </c>
      <c r="AF336">
        <v>616530.90200364403</v>
      </c>
      <c r="AG336">
        <v>6990654.5166192111</v>
      </c>
    </row>
    <row r="337" spans="2:33" hidden="1" x14ac:dyDescent="0.25">
      <c r="B337">
        <v>7</v>
      </c>
      <c r="C337" t="s">
        <v>36</v>
      </c>
      <c r="D337" t="s">
        <v>26</v>
      </c>
      <c r="E337" t="s">
        <v>69</v>
      </c>
      <c r="F337">
        <v>115702</v>
      </c>
      <c r="G337">
        <v>115796</v>
      </c>
      <c r="H337">
        <v>30</v>
      </c>
      <c r="I337">
        <v>61</v>
      </c>
      <c r="J337">
        <v>0.32550347162250848</v>
      </c>
      <c r="K337">
        <v>0</v>
      </c>
      <c r="L337">
        <v>157488</v>
      </c>
      <c r="M337">
        <v>220211</v>
      </c>
      <c r="N337">
        <v>44755</v>
      </c>
      <c r="O337" s="43">
        <v>74839124.447999999</v>
      </c>
      <c r="P337" s="14">
        <f t="shared" si="17"/>
        <v>1716493.6799999923</v>
      </c>
      <c r="Q337" s="14" t="str">
        <f t="shared" si="15"/>
        <v/>
      </c>
      <c r="R337" s="14" t="str">
        <f t="shared" si="15"/>
        <v/>
      </c>
      <c r="S337" s="14" t="str">
        <f t="shared" si="16"/>
        <v/>
      </c>
      <c r="T337" s="14" t="s">
        <v>72</v>
      </c>
      <c r="U337" s="14">
        <v>28139.240655737576</v>
      </c>
      <c r="V337">
        <v>6345</v>
      </c>
      <c r="W337">
        <v>30.823510742187501</v>
      </c>
      <c r="X337">
        <v>15.007887315427</v>
      </c>
      <c r="Y337">
        <v>3.7809317230729498</v>
      </c>
      <c r="Z337" s="31">
        <v>2.54728484458002</v>
      </c>
      <c r="AA337">
        <v>3.25930866215693</v>
      </c>
      <c r="AB337">
        <v>0.08</v>
      </c>
      <c r="AC337">
        <v>669503.674823198</v>
      </c>
      <c r="AD337">
        <v>766113.05510018556</v>
      </c>
      <c r="AE337">
        <v>1</v>
      </c>
      <c r="AF337">
        <v>616530.90200364403</v>
      </c>
      <c r="AG337">
        <v>6990654.5166192111</v>
      </c>
    </row>
    <row r="338" spans="2:33" hidden="1" x14ac:dyDescent="0.25">
      <c r="B338">
        <v>7</v>
      </c>
      <c r="C338" t="s">
        <v>36</v>
      </c>
      <c r="D338" t="s">
        <v>26</v>
      </c>
      <c r="E338" t="s">
        <v>69</v>
      </c>
      <c r="F338">
        <v>115740</v>
      </c>
      <c r="G338">
        <v>115796</v>
      </c>
      <c r="H338">
        <v>31</v>
      </c>
      <c r="I338">
        <v>-158</v>
      </c>
      <c r="J338">
        <v>1.7720819371999031E-2</v>
      </c>
      <c r="K338">
        <v>0</v>
      </c>
      <c r="L338">
        <v>157488</v>
      </c>
      <c r="M338">
        <v>220211</v>
      </c>
      <c r="N338">
        <v>44755</v>
      </c>
      <c r="O338" s="43">
        <v>75184711.842240006</v>
      </c>
      <c r="P338" s="14">
        <f t="shared" si="17"/>
        <v>345587.3942400068</v>
      </c>
      <c r="Q338" s="14" t="str">
        <f t="shared" si="15"/>
        <v/>
      </c>
      <c r="R338" s="14" t="str">
        <f t="shared" si="15"/>
        <v/>
      </c>
      <c r="S338" s="14" t="str">
        <f t="shared" si="16"/>
        <v/>
      </c>
      <c r="T338" s="14" t="s">
        <v>72</v>
      </c>
      <c r="U338" s="14">
        <v>-2187.2619888608024</v>
      </c>
      <c r="V338">
        <v>6345</v>
      </c>
      <c r="W338">
        <v>29.759606933593702</v>
      </c>
      <c r="X338">
        <v>16.857673195890499</v>
      </c>
      <c r="Y338">
        <v>3.48022478773064</v>
      </c>
      <c r="Z338" s="31">
        <v>2.8035633423832902</v>
      </c>
      <c r="AA338">
        <v>3.5920092060088802</v>
      </c>
      <c r="AB338">
        <v>0.08</v>
      </c>
      <c r="AC338">
        <v>669503.674823198</v>
      </c>
      <c r="AD338">
        <v>766113.05510018556</v>
      </c>
      <c r="AE338">
        <v>1</v>
      </c>
      <c r="AF338">
        <v>616530.90200364403</v>
      </c>
      <c r="AG338">
        <v>6990654.5166192111</v>
      </c>
    </row>
    <row r="339" spans="2:33" hidden="1" x14ac:dyDescent="0.25">
      <c r="B339">
        <v>7</v>
      </c>
      <c r="C339" t="s">
        <v>36</v>
      </c>
      <c r="D339" t="s">
        <v>26</v>
      </c>
      <c r="E339" t="s">
        <v>69</v>
      </c>
      <c r="F339">
        <v>115748</v>
      </c>
      <c r="G339">
        <v>115796</v>
      </c>
      <c r="H339">
        <v>32</v>
      </c>
      <c r="I339">
        <v>309</v>
      </c>
      <c r="J339">
        <v>3.7306988151576911E-3</v>
      </c>
      <c r="K339">
        <v>0</v>
      </c>
      <c r="L339">
        <v>157488</v>
      </c>
      <c r="M339">
        <v>220211</v>
      </c>
      <c r="N339">
        <v>44755</v>
      </c>
      <c r="O339" s="43">
        <v>75527134.022134081</v>
      </c>
      <c r="P339" s="14">
        <f t="shared" si="17"/>
        <v>342422.1798940748</v>
      </c>
      <c r="Q339" s="14" t="str">
        <f t="shared" si="15"/>
        <v/>
      </c>
      <c r="R339" s="14" t="str">
        <f t="shared" si="15"/>
        <v/>
      </c>
      <c r="S339" s="14" t="str">
        <f t="shared" si="16"/>
        <v/>
      </c>
      <c r="T339" s="14" t="s">
        <v>72</v>
      </c>
      <c r="U339" s="14">
        <v>1108.1623944792066</v>
      </c>
      <c r="V339">
        <v>6345</v>
      </c>
      <c r="W339">
        <v>28.764825439453102</v>
      </c>
      <c r="X339">
        <v>20.093700243853601</v>
      </c>
      <c r="Y339">
        <v>3.1582556562990498</v>
      </c>
      <c r="Z339" s="31">
        <v>2.7725979385927899</v>
      </c>
      <c r="AA339">
        <v>4.69115910350079</v>
      </c>
      <c r="AB339">
        <v>0.08</v>
      </c>
      <c r="AC339">
        <v>669503.674823198</v>
      </c>
      <c r="AD339">
        <v>766113.05510018556</v>
      </c>
      <c r="AE339">
        <v>1</v>
      </c>
      <c r="AF339">
        <v>616530.90200364403</v>
      </c>
      <c r="AG339">
        <v>6990654.5166192111</v>
      </c>
    </row>
    <row r="340" spans="2:33" hidden="1" x14ac:dyDescent="0.25">
      <c r="B340">
        <v>7</v>
      </c>
      <c r="C340" t="s">
        <v>36</v>
      </c>
      <c r="D340" t="s">
        <v>26</v>
      </c>
      <c r="E340" t="s">
        <v>69</v>
      </c>
      <c r="F340">
        <v>115751</v>
      </c>
      <c r="G340">
        <v>115796</v>
      </c>
      <c r="H340">
        <v>33</v>
      </c>
      <c r="I340">
        <v>698</v>
      </c>
      <c r="J340">
        <v>1.399012055684134E-3</v>
      </c>
      <c r="K340">
        <v>0</v>
      </c>
      <c r="L340">
        <v>157488</v>
      </c>
      <c r="M340">
        <v>220211</v>
      </c>
      <c r="N340">
        <v>44755</v>
      </c>
      <c r="O340" s="43">
        <v>75866548.905100808</v>
      </c>
      <c r="P340" s="14">
        <f t="shared" si="17"/>
        <v>339414.88296672702</v>
      </c>
      <c r="Q340" s="14" t="str">
        <f t="shared" si="15"/>
        <v/>
      </c>
      <c r="R340" s="14" t="str">
        <f t="shared" si="15"/>
        <v/>
      </c>
      <c r="S340" s="14" t="str">
        <f t="shared" si="16"/>
        <v/>
      </c>
      <c r="T340" s="14" t="s">
        <v>72</v>
      </c>
      <c r="U340" s="14">
        <v>486.26774064001006</v>
      </c>
      <c r="V340">
        <v>6345</v>
      </c>
      <c r="W340">
        <v>25.646722412109401</v>
      </c>
      <c r="X340">
        <v>37.9429206504104</v>
      </c>
      <c r="Y340">
        <v>2.0431009237006799</v>
      </c>
      <c r="Z340" s="31">
        <v>2.3729120861831001</v>
      </c>
      <c r="AA340">
        <v>7.65460802355281</v>
      </c>
      <c r="AB340">
        <v>0.08</v>
      </c>
      <c r="AC340">
        <v>669503.674823198</v>
      </c>
      <c r="AD340">
        <v>766113.05510018556</v>
      </c>
      <c r="AE340">
        <v>1</v>
      </c>
      <c r="AF340">
        <v>616530.90200364403</v>
      </c>
      <c r="AG340">
        <v>6990654.5166192111</v>
      </c>
    </row>
    <row r="341" spans="2:33" hidden="1" x14ac:dyDescent="0.25">
      <c r="B341">
        <v>7</v>
      </c>
      <c r="C341" t="s">
        <v>36</v>
      </c>
      <c r="D341" t="s">
        <v>26</v>
      </c>
      <c r="E341" t="s">
        <v>69</v>
      </c>
      <c r="F341">
        <v>115796</v>
      </c>
      <c r="G341">
        <v>115796</v>
      </c>
      <c r="H341">
        <v>34</v>
      </c>
      <c r="I341">
        <v>38</v>
      </c>
      <c r="J341">
        <v>2.0985180835262011E-2</v>
      </c>
      <c r="K341">
        <v>0</v>
      </c>
      <c r="L341">
        <v>157488</v>
      </c>
      <c r="M341">
        <v>220211</v>
      </c>
      <c r="N341">
        <v>44755</v>
      </c>
      <c r="O341" s="43">
        <v>76197645.659694239</v>
      </c>
      <c r="P341" s="14">
        <f t="shared" si="17"/>
        <v>331096.75459343195</v>
      </c>
      <c r="Q341" s="14" t="str">
        <f t="shared" si="15"/>
        <v/>
      </c>
      <c r="R341" s="14" t="str">
        <f t="shared" si="15"/>
        <v/>
      </c>
      <c r="S341" s="14" t="str">
        <f t="shared" si="16"/>
        <v/>
      </c>
      <c r="T341" s="14" t="s">
        <v>72</v>
      </c>
      <c r="U341" s="14">
        <v>8713.072489300841</v>
      </c>
      <c r="V341">
        <v>6345</v>
      </c>
      <c r="W341">
        <v>22.763391113281301</v>
      </c>
      <c r="X341">
        <v>46.617483616919003</v>
      </c>
      <c r="Y341">
        <v>1.47882435629449</v>
      </c>
      <c r="Z341" s="31">
        <v>2.5004053413090301</v>
      </c>
      <c r="AA341">
        <v>2.31566927164863</v>
      </c>
      <c r="AB341">
        <v>0.08</v>
      </c>
      <c r="AC341">
        <v>669503.674823198</v>
      </c>
      <c r="AD341">
        <v>766113.05510018556</v>
      </c>
      <c r="AE341">
        <v>1</v>
      </c>
      <c r="AF341">
        <v>616530.90200364403</v>
      </c>
      <c r="AG341">
        <v>6990654.5166192111</v>
      </c>
    </row>
    <row r="342" spans="2:33" hidden="1" x14ac:dyDescent="0.25">
      <c r="B342">
        <v>7</v>
      </c>
      <c r="C342" t="s">
        <v>36</v>
      </c>
      <c r="D342" t="s">
        <v>26</v>
      </c>
      <c r="E342" t="s">
        <v>69</v>
      </c>
      <c r="F342">
        <v>115796</v>
      </c>
      <c r="G342">
        <v>115796</v>
      </c>
      <c r="H342">
        <v>35</v>
      </c>
      <c r="I342">
        <v>8</v>
      </c>
      <c r="J342">
        <v>0</v>
      </c>
      <c r="K342">
        <v>0</v>
      </c>
      <c r="L342">
        <v>157488</v>
      </c>
      <c r="M342">
        <v>220211</v>
      </c>
      <c r="N342">
        <v>44755</v>
      </c>
      <c r="O342" s="43">
        <v>76528742.414287686</v>
      </c>
      <c r="P342" s="14">
        <f t="shared" si="17"/>
        <v>331096.75459344685</v>
      </c>
      <c r="Q342" s="14" t="str">
        <f t="shared" si="15"/>
        <v/>
      </c>
      <c r="R342" s="14" t="str">
        <f t="shared" si="15"/>
        <v/>
      </c>
      <c r="S342" s="14" t="str">
        <f t="shared" si="16"/>
        <v/>
      </c>
      <c r="T342" s="14" t="s">
        <v>72</v>
      </c>
      <c r="U342" s="14">
        <v>41387.094324180856</v>
      </c>
      <c r="V342">
        <v>6345</v>
      </c>
      <c r="W342">
        <v>22.032128906250001</v>
      </c>
      <c r="X342">
        <v>54.7347663544436</v>
      </c>
      <c r="Y342">
        <v>1.1994045904425099</v>
      </c>
      <c r="Z342" s="31">
        <v>2.3584523623779798</v>
      </c>
      <c r="AA342">
        <v>2.0472221724480399</v>
      </c>
      <c r="AB342">
        <v>0.08</v>
      </c>
      <c r="AC342">
        <v>669503.674823198</v>
      </c>
      <c r="AD342">
        <v>766113.05510018556</v>
      </c>
      <c r="AE342">
        <v>1</v>
      </c>
      <c r="AF342">
        <v>616530.90200364403</v>
      </c>
      <c r="AG342">
        <v>6990654.5166192111</v>
      </c>
    </row>
    <row r="343" spans="2:33" hidden="1" x14ac:dyDescent="0.25">
      <c r="B343">
        <v>7</v>
      </c>
      <c r="C343" t="s">
        <v>36</v>
      </c>
      <c r="D343" t="s">
        <v>26</v>
      </c>
      <c r="E343" t="s">
        <v>69</v>
      </c>
      <c r="F343">
        <v>115796</v>
      </c>
      <c r="G343">
        <v>115796</v>
      </c>
      <c r="H343">
        <v>36</v>
      </c>
      <c r="I343">
        <v>3</v>
      </c>
      <c r="J343">
        <v>0</v>
      </c>
      <c r="K343">
        <v>0</v>
      </c>
      <c r="L343">
        <v>157488</v>
      </c>
      <c r="M343">
        <v>220211</v>
      </c>
      <c r="N343">
        <v>44755</v>
      </c>
      <c r="O343" s="43">
        <v>76780494.820687681</v>
      </c>
      <c r="P343" s="14">
        <f t="shared" si="17"/>
        <v>251752.40639999509</v>
      </c>
      <c r="Q343" s="14" t="str">
        <f t="shared" si="15"/>
        <v/>
      </c>
      <c r="R343" s="14" t="str">
        <f t="shared" si="15"/>
        <v/>
      </c>
      <c r="S343" s="14" t="str">
        <f t="shared" si="16"/>
        <v/>
      </c>
      <c r="T343" s="14" t="s">
        <v>72</v>
      </c>
      <c r="U343" s="14">
        <v>83917.468799998358</v>
      </c>
      <c r="V343">
        <v>6345</v>
      </c>
      <c r="W343">
        <v>21.672143554687501</v>
      </c>
      <c r="X343">
        <v>53.025357972570298</v>
      </c>
      <c r="Y343">
        <v>1.21774022670744</v>
      </c>
      <c r="Z343" s="31">
        <v>2.7062674545961101</v>
      </c>
      <c r="AA343">
        <v>4.5147377667923001</v>
      </c>
      <c r="AB343">
        <v>0.08</v>
      </c>
      <c r="AC343">
        <v>669503.674823198</v>
      </c>
      <c r="AD343">
        <v>766113.05510018556</v>
      </c>
      <c r="AE343">
        <v>1</v>
      </c>
      <c r="AF343">
        <v>616530.90200364403</v>
      </c>
      <c r="AG343">
        <v>6990654.5166192111</v>
      </c>
    </row>
    <row r="344" spans="2:33" hidden="1" x14ac:dyDescent="0.25">
      <c r="B344">
        <v>7</v>
      </c>
      <c r="C344" t="s">
        <v>36</v>
      </c>
      <c r="D344" t="s">
        <v>26</v>
      </c>
      <c r="E344" t="s">
        <v>69</v>
      </c>
      <c r="F344">
        <v>115796</v>
      </c>
      <c r="G344">
        <v>115796</v>
      </c>
      <c r="H344">
        <v>37</v>
      </c>
      <c r="I344">
        <v>45</v>
      </c>
      <c r="J344">
        <v>0</v>
      </c>
      <c r="K344">
        <v>0</v>
      </c>
      <c r="L344">
        <v>157488</v>
      </c>
      <c r="M344">
        <v>220211</v>
      </c>
      <c r="N344">
        <v>44755</v>
      </c>
      <c r="O344" s="43">
        <v>77004283.256382242</v>
      </c>
      <c r="P344" s="14">
        <f t="shared" si="17"/>
        <v>223788.43569456041</v>
      </c>
      <c r="Q344" s="14" t="str">
        <f t="shared" si="15"/>
        <v/>
      </c>
      <c r="R344" s="14" t="str">
        <f t="shared" si="15"/>
        <v/>
      </c>
      <c r="S344" s="14" t="str">
        <f t="shared" si="16"/>
        <v/>
      </c>
      <c r="T344" s="14" t="s">
        <v>72</v>
      </c>
      <c r="U344" s="14">
        <v>4973.0763487680088</v>
      </c>
      <c r="V344">
        <v>6345</v>
      </c>
      <c r="W344">
        <v>25.809625244140602</v>
      </c>
      <c r="X344">
        <v>37.639760684215297</v>
      </c>
      <c r="Y344">
        <v>2.0729689305102301</v>
      </c>
      <c r="Z344" s="31">
        <v>1.0792904715437801</v>
      </c>
      <c r="AA344">
        <v>6.4506732057768303</v>
      </c>
      <c r="AB344">
        <v>0.08</v>
      </c>
      <c r="AC344">
        <v>669503.674823198</v>
      </c>
      <c r="AD344">
        <v>766113.05510018556</v>
      </c>
      <c r="AE344">
        <v>1</v>
      </c>
      <c r="AF344">
        <v>616530.90200364403</v>
      </c>
      <c r="AG344">
        <v>6990654.5166192111</v>
      </c>
    </row>
    <row r="345" spans="2:33" hidden="1" x14ac:dyDescent="0.25">
      <c r="B345">
        <v>7</v>
      </c>
      <c r="C345" t="s">
        <v>36</v>
      </c>
      <c r="D345" t="s">
        <v>26</v>
      </c>
      <c r="E345" t="s">
        <v>69</v>
      </c>
      <c r="F345">
        <v>115796</v>
      </c>
      <c r="G345">
        <v>115796</v>
      </c>
      <c r="H345">
        <v>38</v>
      </c>
      <c r="I345">
        <v>0</v>
      </c>
      <c r="J345">
        <v>0</v>
      </c>
      <c r="K345">
        <v>0</v>
      </c>
      <c r="L345">
        <v>157488</v>
      </c>
      <c r="M345">
        <v>220211</v>
      </c>
      <c r="N345">
        <v>44755</v>
      </c>
      <c r="O345" s="43">
        <v>77225052.951858252</v>
      </c>
      <c r="P345" s="14">
        <f t="shared" si="17"/>
        <v>220769.69547601044</v>
      </c>
      <c r="Q345" s="14" t="str">
        <f t="shared" si="15"/>
        <v/>
      </c>
      <c r="R345" s="14" t="str">
        <f t="shared" si="15"/>
        <v/>
      </c>
      <c r="S345" s="14" t="str">
        <f t="shared" si="16"/>
        <v/>
      </c>
      <c r="T345" s="14" t="s">
        <v>72</v>
      </c>
      <c r="U345" s="14">
        <v>0</v>
      </c>
      <c r="V345">
        <v>6345</v>
      </c>
      <c r="W345">
        <v>31.318566894531301</v>
      </c>
      <c r="X345">
        <v>15.421003414099101</v>
      </c>
      <c r="Y345">
        <v>3.8699141924596501</v>
      </c>
      <c r="Z345" s="31">
        <v>2.1468297168695401</v>
      </c>
      <c r="AA345">
        <v>3.13695354372696</v>
      </c>
      <c r="AB345">
        <v>0.08</v>
      </c>
      <c r="AC345">
        <v>669503.674823198</v>
      </c>
      <c r="AD345">
        <v>766113.05510018556</v>
      </c>
      <c r="AE345">
        <v>1</v>
      </c>
      <c r="AF345">
        <v>616530.90200364403</v>
      </c>
      <c r="AG345">
        <v>6990654.5166192111</v>
      </c>
    </row>
    <row r="346" spans="2:33" hidden="1" x14ac:dyDescent="0.25">
      <c r="B346">
        <v>7</v>
      </c>
      <c r="C346" t="s">
        <v>36</v>
      </c>
      <c r="D346" t="s">
        <v>26</v>
      </c>
      <c r="E346" t="s">
        <v>69</v>
      </c>
      <c r="F346">
        <v>115796</v>
      </c>
      <c r="G346">
        <v>115796</v>
      </c>
      <c r="H346">
        <v>39</v>
      </c>
      <c r="I346">
        <v>0</v>
      </c>
      <c r="J346">
        <v>0</v>
      </c>
      <c r="K346">
        <v>0</v>
      </c>
      <c r="L346">
        <v>157488</v>
      </c>
      <c r="M346">
        <v>220211</v>
      </c>
      <c r="N346">
        <v>44755</v>
      </c>
      <c r="O346" s="43">
        <v>77431126.028446093</v>
      </c>
      <c r="P346" s="14">
        <f t="shared" si="17"/>
        <v>206073.07658784091</v>
      </c>
      <c r="Q346" s="14" t="str">
        <f t="shared" si="15"/>
        <v/>
      </c>
      <c r="R346" s="14" t="str">
        <f t="shared" si="15"/>
        <v/>
      </c>
      <c r="S346" s="14" t="str">
        <f t="shared" si="16"/>
        <v/>
      </c>
      <c r="T346" s="14" t="s">
        <v>72</v>
      </c>
      <c r="U346" s="14">
        <v>0</v>
      </c>
      <c r="V346">
        <v>6345</v>
      </c>
      <c r="W346">
        <v>31.775109863281301</v>
      </c>
      <c r="X346">
        <v>14.1331459050426</v>
      </c>
      <c r="Y346">
        <v>4.0318867144114003</v>
      </c>
      <c r="Z346" s="31">
        <v>2.3016068276931199</v>
      </c>
      <c r="AA346">
        <v>1.8935307412209701</v>
      </c>
      <c r="AB346">
        <v>0.08</v>
      </c>
      <c r="AC346">
        <v>669503.674823198</v>
      </c>
      <c r="AD346">
        <v>766113.05510018556</v>
      </c>
      <c r="AE346">
        <v>1</v>
      </c>
      <c r="AF346">
        <v>616530.90200364403</v>
      </c>
      <c r="AG346">
        <v>6990654.5166192111</v>
      </c>
    </row>
    <row r="347" spans="2:33" hidden="1" x14ac:dyDescent="0.25">
      <c r="B347">
        <v>7</v>
      </c>
      <c r="C347" t="s">
        <v>36</v>
      </c>
      <c r="D347" t="s">
        <v>26</v>
      </c>
      <c r="E347" t="s">
        <v>69</v>
      </c>
      <c r="F347">
        <v>115796</v>
      </c>
      <c r="G347">
        <v>115796</v>
      </c>
      <c r="H347">
        <v>40</v>
      </c>
      <c r="I347">
        <v>0</v>
      </c>
      <c r="J347">
        <v>0</v>
      </c>
      <c r="K347">
        <v>0</v>
      </c>
      <c r="L347">
        <v>157488</v>
      </c>
      <c r="M347">
        <v>220211</v>
      </c>
      <c r="N347">
        <v>44755</v>
      </c>
      <c r="O347" s="43">
        <v>77636747.09503153</v>
      </c>
      <c r="P347" s="14">
        <f t="shared" si="17"/>
        <v>205621.06658543646</v>
      </c>
      <c r="Q347" s="14" t="str">
        <f t="shared" si="15"/>
        <v/>
      </c>
      <c r="R347" s="14" t="str">
        <f t="shared" si="15"/>
        <v/>
      </c>
      <c r="S347" s="14" t="str">
        <f t="shared" si="16"/>
        <v/>
      </c>
      <c r="T347" s="14" t="s">
        <v>72</v>
      </c>
      <c r="U347" s="14">
        <v>0</v>
      </c>
      <c r="V347">
        <v>6345</v>
      </c>
      <c r="W347">
        <v>31.948571777343702</v>
      </c>
      <c r="X347">
        <v>14.3325437776183</v>
      </c>
      <c r="Y347">
        <v>4.0621350277303101</v>
      </c>
      <c r="Z347" s="31">
        <v>1.1754784210901099</v>
      </c>
      <c r="AA347">
        <v>2.6720723841215599</v>
      </c>
      <c r="AB347">
        <v>0.08</v>
      </c>
      <c r="AC347">
        <v>669503.674823198</v>
      </c>
      <c r="AD347">
        <v>766113.05510018556</v>
      </c>
      <c r="AE347">
        <v>1</v>
      </c>
      <c r="AF347">
        <v>616530.90200364403</v>
      </c>
      <c r="AG347">
        <v>6990654.5166192111</v>
      </c>
    </row>
    <row r="348" spans="2:33" hidden="1" x14ac:dyDescent="0.25">
      <c r="B348">
        <v>7</v>
      </c>
      <c r="C348" t="s">
        <v>36</v>
      </c>
      <c r="D348" t="s">
        <v>26</v>
      </c>
      <c r="E348" t="s">
        <v>69</v>
      </c>
      <c r="F348">
        <v>115796</v>
      </c>
      <c r="G348">
        <v>115796</v>
      </c>
      <c r="H348">
        <v>41</v>
      </c>
      <c r="I348">
        <v>0</v>
      </c>
      <c r="J348">
        <v>0</v>
      </c>
      <c r="K348">
        <v>0</v>
      </c>
      <c r="L348">
        <v>157488</v>
      </c>
      <c r="M348">
        <v>220211</v>
      </c>
      <c r="N348">
        <v>44755</v>
      </c>
      <c r="O348" s="43">
        <v>77788877.641231686</v>
      </c>
      <c r="P348" s="14">
        <f t="shared" si="17"/>
        <v>152130.54620015621</v>
      </c>
      <c r="Q348" s="14" t="str">
        <f t="shared" si="15"/>
        <v/>
      </c>
      <c r="R348" s="14" t="str">
        <f t="shared" si="15"/>
        <v/>
      </c>
      <c r="S348" s="14" t="str">
        <f t="shared" si="16"/>
        <v/>
      </c>
      <c r="T348" s="14" t="s">
        <v>72</v>
      </c>
      <c r="U348" s="14">
        <v>0</v>
      </c>
      <c r="V348">
        <v>6345</v>
      </c>
      <c r="W348">
        <v>31.799340820312501</v>
      </c>
      <c r="X348">
        <v>12.566873794056701</v>
      </c>
      <c r="Y348">
        <v>4.1111942397706898</v>
      </c>
      <c r="Z348" s="31">
        <v>1.1365277833104901</v>
      </c>
      <c r="AA348">
        <v>2.8214712784337199</v>
      </c>
      <c r="AB348">
        <v>0.08</v>
      </c>
      <c r="AC348">
        <v>669503.674823198</v>
      </c>
      <c r="AD348">
        <v>766113.05510018556</v>
      </c>
      <c r="AE348">
        <v>1</v>
      </c>
      <c r="AF348">
        <v>616530.90200364403</v>
      </c>
      <c r="AG348">
        <v>6990654.5166192111</v>
      </c>
    </row>
    <row r="349" spans="2:33" hidden="1" x14ac:dyDescent="0.25">
      <c r="B349">
        <v>7</v>
      </c>
      <c r="C349" t="s">
        <v>36</v>
      </c>
      <c r="D349" t="s">
        <v>26</v>
      </c>
      <c r="E349" t="s">
        <v>69</v>
      </c>
      <c r="F349">
        <v>115796</v>
      </c>
      <c r="G349">
        <v>115796</v>
      </c>
      <c r="H349">
        <v>42</v>
      </c>
      <c r="I349">
        <v>0</v>
      </c>
      <c r="J349">
        <v>0</v>
      </c>
      <c r="K349">
        <v>0</v>
      </c>
      <c r="L349">
        <v>157488</v>
      </c>
      <c r="M349">
        <v>220211</v>
      </c>
      <c r="N349">
        <v>44755</v>
      </c>
      <c r="O349" s="43">
        <v>77941008.187431842</v>
      </c>
      <c r="P349" s="14">
        <f t="shared" si="17"/>
        <v>152130.54620015621</v>
      </c>
      <c r="Q349" s="14" t="str">
        <f t="shared" si="15"/>
        <v/>
      </c>
      <c r="R349" s="14" t="str">
        <f t="shared" si="15"/>
        <v/>
      </c>
      <c r="S349" s="14" t="str">
        <f t="shared" si="16"/>
        <v/>
      </c>
      <c r="T349" s="14" t="s">
        <v>72</v>
      </c>
      <c r="U349" s="14">
        <v>0</v>
      </c>
      <c r="V349">
        <v>6345</v>
      </c>
      <c r="W349">
        <v>31.897729492187501</v>
      </c>
      <c r="X349">
        <v>10.463362288576599</v>
      </c>
      <c r="Y349">
        <v>4.2337488704831099</v>
      </c>
      <c r="Z349" s="31">
        <v>0.74122416191717899</v>
      </c>
      <c r="AA349">
        <v>4.9896797594463003</v>
      </c>
      <c r="AB349">
        <v>0.08</v>
      </c>
      <c r="AC349">
        <v>669503.674823198</v>
      </c>
      <c r="AD349">
        <v>766113.05510018556</v>
      </c>
      <c r="AE349">
        <v>1</v>
      </c>
      <c r="AF349">
        <v>616530.90200364403</v>
      </c>
      <c r="AG349">
        <v>6990654.5166192111</v>
      </c>
    </row>
    <row r="350" spans="2:33" hidden="1" x14ac:dyDescent="0.25">
      <c r="B350">
        <v>7</v>
      </c>
      <c r="C350" t="s">
        <v>36</v>
      </c>
      <c r="D350" t="s">
        <v>26</v>
      </c>
      <c r="E350" t="s">
        <v>69</v>
      </c>
      <c r="F350">
        <v>115796</v>
      </c>
      <c r="G350">
        <v>115796</v>
      </c>
      <c r="H350">
        <v>43</v>
      </c>
      <c r="I350">
        <v>0</v>
      </c>
      <c r="J350">
        <v>0</v>
      </c>
      <c r="K350">
        <v>0</v>
      </c>
      <c r="L350">
        <v>157488</v>
      </c>
      <c r="M350">
        <v>220211</v>
      </c>
      <c r="N350">
        <v>44755</v>
      </c>
      <c r="O350" s="43">
        <v>78093138.733632013</v>
      </c>
      <c r="P350" s="14">
        <f t="shared" si="17"/>
        <v>152130.54620017111</v>
      </c>
      <c r="Q350" s="14" t="str">
        <f t="shared" si="15"/>
        <v/>
      </c>
      <c r="R350" s="14" t="str">
        <f t="shared" si="15"/>
        <v/>
      </c>
      <c r="S350" s="14" t="str">
        <f t="shared" si="16"/>
        <v/>
      </c>
      <c r="T350" s="14" t="s">
        <v>72</v>
      </c>
      <c r="U350" s="14">
        <v>0</v>
      </c>
      <c r="V350">
        <v>6345</v>
      </c>
      <c r="W350">
        <v>28.099938964843702</v>
      </c>
      <c r="X350">
        <v>31.053105461872999</v>
      </c>
      <c r="Y350">
        <v>2.62146719468437</v>
      </c>
      <c r="Z350" s="31">
        <v>2.41209944947899</v>
      </c>
      <c r="AA350">
        <v>4.8448673022926698</v>
      </c>
      <c r="AB350">
        <v>0.08</v>
      </c>
      <c r="AC350">
        <v>669503.674823198</v>
      </c>
      <c r="AD350">
        <v>766113.05510018556</v>
      </c>
      <c r="AE350">
        <v>1</v>
      </c>
      <c r="AF350">
        <v>616530.90200364403</v>
      </c>
      <c r="AG350">
        <v>6990654.5166192111</v>
      </c>
    </row>
    <row r="351" spans="2:33" hidden="1" x14ac:dyDescent="0.25">
      <c r="B351">
        <v>7</v>
      </c>
      <c r="C351" t="s">
        <v>36</v>
      </c>
      <c r="D351" t="s">
        <v>26</v>
      </c>
      <c r="E351" t="s">
        <v>69</v>
      </c>
      <c r="F351">
        <v>115796</v>
      </c>
      <c r="G351">
        <v>115796</v>
      </c>
      <c r="H351">
        <v>44</v>
      </c>
      <c r="I351">
        <v>0</v>
      </c>
      <c r="J351">
        <v>0</v>
      </c>
      <c r="K351">
        <v>0</v>
      </c>
      <c r="L351">
        <v>157488</v>
      </c>
      <c r="M351">
        <v>220211</v>
      </c>
      <c r="N351">
        <v>44755</v>
      </c>
      <c r="O351" s="43">
        <v>80103038.400000006</v>
      </c>
      <c r="P351" s="14">
        <f t="shared" si="17"/>
        <v>2009899.6663679928</v>
      </c>
      <c r="Q351" s="14" t="str">
        <f t="shared" si="15"/>
        <v/>
      </c>
      <c r="R351" s="14" t="str">
        <f t="shared" si="15"/>
        <v/>
      </c>
      <c r="S351" s="14" t="str">
        <f t="shared" si="16"/>
        <v/>
      </c>
      <c r="T351" s="14" t="s">
        <v>72</v>
      </c>
      <c r="U351" s="14">
        <v>0</v>
      </c>
      <c r="V351">
        <v>6345</v>
      </c>
      <c r="W351">
        <v>26.010705566406301</v>
      </c>
      <c r="X351">
        <v>41.246625773092099</v>
      </c>
      <c r="Y351">
        <v>1.97626182309641</v>
      </c>
      <c r="Z351" s="31">
        <v>2.2020537439041599</v>
      </c>
      <c r="AA351">
        <v>6.4713333607125101</v>
      </c>
      <c r="AB351">
        <v>0.08</v>
      </c>
      <c r="AC351">
        <v>669503.674823198</v>
      </c>
      <c r="AD351">
        <v>766113.05510018556</v>
      </c>
      <c r="AE351">
        <v>1</v>
      </c>
      <c r="AF351">
        <v>616530.90200364403</v>
      </c>
      <c r="AG351">
        <v>6990654.5166192111</v>
      </c>
    </row>
    <row r="352" spans="2:33" hidden="1" x14ac:dyDescent="0.25">
      <c r="B352">
        <v>7</v>
      </c>
      <c r="C352" t="s">
        <v>36</v>
      </c>
      <c r="D352" t="s">
        <v>26</v>
      </c>
      <c r="E352" t="s">
        <v>69</v>
      </c>
      <c r="F352">
        <v>115796</v>
      </c>
      <c r="G352">
        <v>115796</v>
      </c>
      <c r="H352">
        <v>45</v>
      </c>
      <c r="I352">
        <v>0</v>
      </c>
      <c r="J352">
        <v>0</v>
      </c>
      <c r="K352">
        <v>0</v>
      </c>
      <c r="L352">
        <v>157488</v>
      </c>
      <c r="M352">
        <v>220211</v>
      </c>
      <c r="N352">
        <v>44755</v>
      </c>
      <c r="O352" s="43">
        <v>80103038.400000006</v>
      </c>
      <c r="P352" s="14">
        <f>O352-O351</f>
        <v>0</v>
      </c>
      <c r="Q352" s="14" t="str">
        <f t="shared" si="15"/>
        <v/>
      </c>
      <c r="R352" s="14" t="str">
        <f t="shared" si="15"/>
        <v/>
      </c>
      <c r="S352" s="14" t="str">
        <f t="shared" si="16"/>
        <v/>
      </c>
      <c r="T352" s="14" t="s">
        <v>72</v>
      </c>
      <c r="U352" s="14">
        <v>0</v>
      </c>
      <c r="V352">
        <v>6345</v>
      </c>
      <c r="W352">
        <v>26.052453613281301</v>
      </c>
      <c r="X352">
        <v>37.7784143223463</v>
      </c>
      <c r="Y352">
        <v>2.0982255520585</v>
      </c>
      <c r="Z352" s="31">
        <v>2.1976703360622598</v>
      </c>
      <c r="AA352">
        <v>8.1398991815754105</v>
      </c>
      <c r="AB352">
        <v>0.08</v>
      </c>
      <c r="AC352">
        <v>669503.674823198</v>
      </c>
      <c r="AD352">
        <v>766113.05510018556</v>
      </c>
      <c r="AE352">
        <v>1</v>
      </c>
      <c r="AF352">
        <v>616530.90200364403</v>
      </c>
      <c r="AG352">
        <v>6990654.5166192111</v>
      </c>
    </row>
    <row r="353" spans="2:33" hidden="1" x14ac:dyDescent="0.25">
      <c r="B353">
        <v>7</v>
      </c>
      <c r="C353" t="s">
        <v>36</v>
      </c>
      <c r="D353" t="s">
        <v>26</v>
      </c>
      <c r="E353" t="s">
        <v>69</v>
      </c>
      <c r="F353">
        <v>115796</v>
      </c>
      <c r="G353">
        <v>115796</v>
      </c>
      <c r="H353">
        <v>46</v>
      </c>
      <c r="I353">
        <v>0</v>
      </c>
      <c r="J353">
        <v>0</v>
      </c>
      <c r="K353">
        <v>0</v>
      </c>
      <c r="L353">
        <v>157488</v>
      </c>
      <c r="M353">
        <v>220211</v>
      </c>
      <c r="N353">
        <v>44755</v>
      </c>
      <c r="O353" s="43">
        <v>80103038.400000006</v>
      </c>
      <c r="P353" s="14">
        <f>O353-O352</f>
        <v>0</v>
      </c>
      <c r="Q353" s="14" t="str">
        <f t="shared" si="15"/>
        <v/>
      </c>
      <c r="R353" s="14" t="str">
        <f t="shared" si="15"/>
        <v/>
      </c>
      <c r="S353" s="14" t="str">
        <f t="shared" si="16"/>
        <v/>
      </c>
      <c r="T353" s="14" t="s">
        <v>72</v>
      </c>
      <c r="U353" s="14">
        <v>0</v>
      </c>
      <c r="V353">
        <v>6345</v>
      </c>
      <c r="W353">
        <v>26.160180664062501</v>
      </c>
      <c r="X353">
        <v>30.2350525101903</v>
      </c>
      <c r="Y353">
        <v>2.36793629862211</v>
      </c>
      <c r="Z353" s="31">
        <v>1.9926609720185999</v>
      </c>
      <c r="AA353">
        <v>2.1404424212289599</v>
      </c>
      <c r="AB353">
        <v>0.08</v>
      </c>
      <c r="AC353">
        <v>669503.674823198</v>
      </c>
      <c r="AD353">
        <v>766113.05510018556</v>
      </c>
      <c r="AE353">
        <v>1</v>
      </c>
      <c r="AF353">
        <v>616530.90200364403</v>
      </c>
      <c r="AG353">
        <v>6990654.5166192111</v>
      </c>
    </row>
    <row r="354" spans="2:33" hidden="1" x14ac:dyDescent="0.25">
      <c r="B354">
        <v>7</v>
      </c>
      <c r="C354" t="s">
        <v>36</v>
      </c>
      <c r="D354" t="s">
        <v>26</v>
      </c>
      <c r="E354" t="s">
        <v>69</v>
      </c>
      <c r="F354">
        <v>115796</v>
      </c>
      <c r="G354">
        <v>115796</v>
      </c>
      <c r="H354">
        <v>47</v>
      </c>
      <c r="I354">
        <v>0</v>
      </c>
      <c r="J354">
        <v>0</v>
      </c>
      <c r="K354">
        <v>0</v>
      </c>
      <c r="L354">
        <v>157488</v>
      </c>
      <c r="M354">
        <v>220211</v>
      </c>
      <c r="N354">
        <v>44755</v>
      </c>
      <c r="O354" s="43">
        <v>80103038.400000006</v>
      </c>
      <c r="P354" s="14">
        <f>O354-O353</f>
        <v>0</v>
      </c>
      <c r="Q354" s="14" t="str">
        <f t="shared" si="15"/>
        <v/>
      </c>
      <c r="R354" s="14" t="str">
        <f t="shared" si="15"/>
        <v/>
      </c>
      <c r="S354" s="14" t="str">
        <f t="shared" si="16"/>
        <v/>
      </c>
      <c r="T354" s="14" t="s">
        <v>72</v>
      </c>
      <c r="U354" s="14">
        <v>0</v>
      </c>
      <c r="V354">
        <v>6345</v>
      </c>
      <c r="W354">
        <v>24.139245605468801</v>
      </c>
      <c r="X354">
        <v>39.6067026568712</v>
      </c>
      <c r="Y354">
        <v>1.8176470072962101</v>
      </c>
      <c r="Z354" s="31">
        <v>2.1332146686584901</v>
      </c>
      <c r="AA354">
        <v>3.9092664741454501</v>
      </c>
      <c r="AB354">
        <v>0.08</v>
      </c>
      <c r="AC354">
        <v>669503.674823198</v>
      </c>
      <c r="AD354">
        <v>766113.05510018556</v>
      </c>
      <c r="AE354">
        <v>1</v>
      </c>
      <c r="AF354">
        <v>616530.90200364403</v>
      </c>
      <c r="AG354">
        <v>6990654.5166192111</v>
      </c>
    </row>
    <row r="355" spans="2:33" hidden="1" x14ac:dyDescent="0.25">
      <c r="B355">
        <v>7</v>
      </c>
      <c r="C355" t="s">
        <v>36</v>
      </c>
      <c r="D355" t="s">
        <v>26</v>
      </c>
      <c r="E355" t="s">
        <v>69</v>
      </c>
      <c r="F355">
        <v>115796</v>
      </c>
      <c r="G355">
        <v>115796</v>
      </c>
      <c r="H355">
        <v>48</v>
      </c>
      <c r="I355">
        <v>0</v>
      </c>
      <c r="J355">
        <v>0</v>
      </c>
      <c r="K355">
        <v>0</v>
      </c>
      <c r="L355">
        <v>157488</v>
      </c>
      <c r="M355">
        <v>220211</v>
      </c>
      <c r="N355">
        <v>44755</v>
      </c>
      <c r="O355" s="43">
        <v>91546329.600000009</v>
      </c>
      <c r="P355" s="14">
        <f>O355-O354</f>
        <v>11443291.200000003</v>
      </c>
      <c r="Q355" s="14" t="str">
        <f t="shared" si="15"/>
        <v/>
      </c>
      <c r="R355" s="14" t="str">
        <f t="shared" si="15"/>
        <v/>
      </c>
      <c r="S355" s="14" t="str">
        <f t="shared" si="16"/>
        <v/>
      </c>
      <c r="T355" s="14" t="s">
        <v>72</v>
      </c>
      <c r="U355" s="14">
        <v>0</v>
      </c>
      <c r="V355">
        <v>6345</v>
      </c>
      <c r="W355">
        <v>21.312646484375001</v>
      </c>
      <c r="X355">
        <v>53.315092105343602</v>
      </c>
      <c r="Y355">
        <v>1.18394356042716</v>
      </c>
      <c r="Z355" s="31">
        <v>2.3491640731746801</v>
      </c>
      <c r="AA355">
        <v>5.8334459942219503</v>
      </c>
      <c r="AB355">
        <v>0.08</v>
      </c>
      <c r="AC355">
        <v>669503.674823198</v>
      </c>
      <c r="AD355">
        <v>766113.05510018556</v>
      </c>
      <c r="AE355">
        <v>1</v>
      </c>
      <c r="AF355">
        <v>616530.90200364403</v>
      </c>
      <c r="AG355">
        <v>6990654.5166192111</v>
      </c>
    </row>
    <row r="356" spans="2:33" hidden="1" x14ac:dyDescent="0.25">
      <c r="B356">
        <v>7</v>
      </c>
      <c r="C356" t="s">
        <v>36</v>
      </c>
      <c r="D356" t="s">
        <v>26</v>
      </c>
      <c r="E356" t="s">
        <v>69</v>
      </c>
      <c r="F356">
        <v>115796</v>
      </c>
      <c r="G356">
        <v>115796</v>
      </c>
      <c r="H356">
        <v>49</v>
      </c>
      <c r="I356">
        <v>0</v>
      </c>
      <c r="J356">
        <v>0</v>
      </c>
      <c r="K356">
        <v>0</v>
      </c>
      <c r="L356">
        <v>157488</v>
      </c>
      <c r="M356">
        <v>220211</v>
      </c>
      <c r="N356">
        <v>44755</v>
      </c>
      <c r="O356" s="43">
        <v>91546329.600000009</v>
      </c>
      <c r="P356" s="14">
        <f t="shared" si="17"/>
        <v>0</v>
      </c>
      <c r="Q356" s="14" t="str">
        <f t="shared" si="15"/>
        <v/>
      </c>
      <c r="R356" s="14" t="str">
        <f t="shared" si="15"/>
        <v/>
      </c>
      <c r="S356" s="14" t="str">
        <f t="shared" si="16"/>
        <v/>
      </c>
      <c r="T356" s="14" t="s">
        <v>72</v>
      </c>
      <c r="U356" s="14">
        <v>0</v>
      </c>
      <c r="V356">
        <v>6345</v>
      </c>
      <c r="W356">
        <v>20.247277832031301</v>
      </c>
      <c r="X356">
        <v>51.830612200956203</v>
      </c>
      <c r="Y356">
        <v>1.1442514715714001</v>
      </c>
      <c r="Z356" s="31">
        <v>2.1526612311705402</v>
      </c>
      <c r="AA356">
        <v>7.1515418986341199</v>
      </c>
      <c r="AB356">
        <v>0.08</v>
      </c>
      <c r="AC356">
        <v>669503.674823198</v>
      </c>
      <c r="AD356">
        <v>766113.05510018556</v>
      </c>
      <c r="AE356">
        <v>1</v>
      </c>
      <c r="AF356">
        <v>616530.90200364403</v>
      </c>
      <c r="AG356">
        <v>6990654.5166192111</v>
      </c>
    </row>
    <row r="357" spans="2:33" hidden="1" x14ac:dyDescent="0.25">
      <c r="B357">
        <v>7</v>
      </c>
      <c r="C357" t="s">
        <v>36</v>
      </c>
      <c r="D357" t="s">
        <v>26</v>
      </c>
      <c r="E357" t="s">
        <v>69</v>
      </c>
      <c r="F357">
        <v>115796</v>
      </c>
      <c r="G357">
        <v>115796</v>
      </c>
      <c r="H357">
        <v>50</v>
      </c>
      <c r="I357">
        <v>0</v>
      </c>
      <c r="J357">
        <v>0</v>
      </c>
      <c r="K357">
        <v>0</v>
      </c>
      <c r="L357">
        <v>157488</v>
      </c>
      <c r="M357">
        <v>220211</v>
      </c>
      <c r="N357">
        <v>44755</v>
      </c>
      <c r="O357" s="43">
        <v>91546329.600000009</v>
      </c>
      <c r="P357" s="14">
        <f t="shared" si="17"/>
        <v>0</v>
      </c>
      <c r="Q357" s="14" t="str">
        <f t="shared" si="15"/>
        <v/>
      </c>
      <c r="R357" s="14" t="str">
        <f t="shared" si="15"/>
        <v/>
      </c>
      <c r="S357" s="14" t="str">
        <f t="shared" si="16"/>
        <v/>
      </c>
      <c r="T357" s="14" t="s">
        <v>72</v>
      </c>
      <c r="U357" s="14">
        <v>0</v>
      </c>
      <c r="V357">
        <v>6345</v>
      </c>
      <c r="W357">
        <v>18.848046875000001</v>
      </c>
      <c r="X357">
        <v>52.590708567492499</v>
      </c>
      <c r="Y357">
        <v>1.0326028528643301</v>
      </c>
      <c r="Z357" s="31">
        <v>2.4555786037312801</v>
      </c>
      <c r="AA357">
        <v>12.034125910776</v>
      </c>
      <c r="AB357">
        <v>0.08</v>
      </c>
      <c r="AC357">
        <v>669503.674823198</v>
      </c>
      <c r="AD357">
        <v>766113.05510018556</v>
      </c>
      <c r="AE357">
        <v>1</v>
      </c>
      <c r="AF357">
        <v>616530.90200364403</v>
      </c>
      <c r="AG357">
        <v>6990654.5166192111</v>
      </c>
    </row>
    <row r="358" spans="2:33" hidden="1" x14ac:dyDescent="0.25">
      <c r="B358">
        <v>7</v>
      </c>
      <c r="C358" t="s">
        <v>36</v>
      </c>
      <c r="D358" t="s">
        <v>26</v>
      </c>
      <c r="E358" t="s">
        <v>69</v>
      </c>
      <c r="F358">
        <v>115796</v>
      </c>
      <c r="G358">
        <v>115796</v>
      </c>
      <c r="H358">
        <v>51</v>
      </c>
      <c r="I358">
        <v>0</v>
      </c>
      <c r="J358">
        <v>0</v>
      </c>
      <c r="K358">
        <v>0</v>
      </c>
      <c r="L358">
        <v>157488</v>
      </c>
      <c r="M358">
        <v>220211</v>
      </c>
      <c r="N358">
        <v>44755</v>
      </c>
      <c r="O358" s="43">
        <v>91546329.600000009</v>
      </c>
      <c r="P358" s="14">
        <f t="shared" si="17"/>
        <v>0</v>
      </c>
      <c r="Q358" s="14" t="str">
        <f t="shared" si="15"/>
        <v/>
      </c>
      <c r="R358" s="14" t="str">
        <f t="shared" si="15"/>
        <v/>
      </c>
      <c r="S358" s="14" t="str">
        <f t="shared" si="16"/>
        <v/>
      </c>
      <c r="T358" s="14" t="s">
        <v>72</v>
      </c>
      <c r="U358" s="14">
        <v>0</v>
      </c>
      <c r="V358">
        <v>6345</v>
      </c>
      <c r="W358">
        <v>14.4259582519531</v>
      </c>
      <c r="X358">
        <v>65.561212840949395</v>
      </c>
      <c r="Y358">
        <v>0.56657323136444004</v>
      </c>
      <c r="Z358" s="31">
        <v>2.5865460699655798</v>
      </c>
      <c r="AA358">
        <v>15.8458313528579</v>
      </c>
      <c r="AB358">
        <v>0.08</v>
      </c>
      <c r="AC358">
        <v>669503.674823198</v>
      </c>
      <c r="AD358">
        <v>766113.05510018556</v>
      </c>
      <c r="AE358">
        <v>1</v>
      </c>
      <c r="AF358">
        <v>616530.90200364403</v>
      </c>
      <c r="AG358">
        <v>6990654.5166192111</v>
      </c>
    </row>
    <row r="359" spans="2:33" hidden="1" x14ac:dyDescent="0.25">
      <c r="B359">
        <v>7</v>
      </c>
      <c r="C359" t="s">
        <v>36</v>
      </c>
      <c r="D359" t="s">
        <v>26</v>
      </c>
      <c r="E359" t="s">
        <v>69</v>
      </c>
      <c r="F359">
        <v>115796</v>
      </c>
      <c r="G359">
        <v>115796</v>
      </c>
      <c r="H359">
        <v>52</v>
      </c>
      <c r="I359">
        <v>0</v>
      </c>
      <c r="J359">
        <v>0</v>
      </c>
      <c r="K359">
        <v>0</v>
      </c>
      <c r="L359">
        <v>157488</v>
      </c>
      <c r="M359">
        <v>220211</v>
      </c>
      <c r="N359">
        <v>44755</v>
      </c>
      <c r="O359" s="43">
        <v>91546329.600000009</v>
      </c>
      <c r="P359" s="14">
        <f t="shared" si="17"/>
        <v>0</v>
      </c>
      <c r="Q359" s="14" t="str">
        <f t="shared" si="15"/>
        <v/>
      </c>
      <c r="R359" s="14" t="str">
        <f t="shared" si="15"/>
        <v/>
      </c>
      <c r="S359" s="14" t="str">
        <f t="shared" si="16"/>
        <v/>
      </c>
      <c r="T359" s="14" t="s">
        <v>72</v>
      </c>
      <c r="U359" s="14">
        <v>0</v>
      </c>
      <c r="V359">
        <v>6345</v>
      </c>
      <c r="W359">
        <v>16.001123046875001</v>
      </c>
      <c r="X359">
        <v>4.5286680717286201</v>
      </c>
      <c r="Y359">
        <v>1.7372316623334501</v>
      </c>
      <c r="Z359" s="31">
        <v>3.0158976999976601</v>
      </c>
      <c r="AA359">
        <v>22.7420357196645</v>
      </c>
      <c r="AB359">
        <v>0.08</v>
      </c>
      <c r="AC359">
        <v>669503.674823198</v>
      </c>
      <c r="AD359">
        <v>766113.05510018556</v>
      </c>
      <c r="AE359">
        <v>1</v>
      </c>
      <c r="AF359">
        <v>616530.90200364403</v>
      </c>
      <c r="AG359">
        <v>6990654.5166192111</v>
      </c>
    </row>
    <row r="360" spans="2:33" hidden="1" x14ac:dyDescent="0.25">
      <c r="B360">
        <v>7</v>
      </c>
      <c r="C360" t="s">
        <v>36</v>
      </c>
      <c r="D360" t="s">
        <v>26</v>
      </c>
      <c r="E360" t="s">
        <v>69</v>
      </c>
      <c r="F360">
        <v>115796</v>
      </c>
      <c r="G360">
        <v>115796</v>
      </c>
      <c r="H360">
        <v>53</v>
      </c>
      <c r="I360">
        <v>0</v>
      </c>
      <c r="J360">
        <v>0</v>
      </c>
      <c r="K360">
        <v>0</v>
      </c>
      <c r="L360">
        <v>157488</v>
      </c>
      <c r="M360">
        <v>220211</v>
      </c>
      <c r="N360">
        <v>44755</v>
      </c>
      <c r="O360" s="43">
        <v>91546329.600000009</v>
      </c>
      <c r="P360" s="14">
        <f t="shared" si="17"/>
        <v>0</v>
      </c>
      <c r="Q360" s="14" t="str">
        <f t="shared" si="15"/>
        <v/>
      </c>
      <c r="R360" s="14" t="str">
        <f t="shared" si="15"/>
        <v/>
      </c>
      <c r="S360" s="14" t="str">
        <f t="shared" si="16"/>
        <v/>
      </c>
      <c r="T360" s="14" t="s">
        <v>72</v>
      </c>
      <c r="U360" s="14">
        <v>0</v>
      </c>
      <c r="V360">
        <v>6345</v>
      </c>
      <c r="W360">
        <v>21.237939453125001</v>
      </c>
      <c r="X360">
        <v>8.7811066551196095</v>
      </c>
      <c r="Y360">
        <v>2.3035298989980002</v>
      </c>
      <c r="Z360" s="31">
        <v>0.43749250491781</v>
      </c>
      <c r="AA360">
        <v>18.992590648421</v>
      </c>
      <c r="AB360">
        <v>0.08</v>
      </c>
      <c r="AC360">
        <v>669503.674823198</v>
      </c>
      <c r="AD360">
        <v>766113.05510018556</v>
      </c>
      <c r="AE360">
        <v>1</v>
      </c>
      <c r="AF360">
        <v>616530.90200364403</v>
      </c>
      <c r="AG360">
        <v>6990654.5166192111</v>
      </c>
    </row>
    <row r="361" spans="2:33" hidden="1" x14ac:dyDescent="0.25">
      <c r="B361">
        <v>7</v>
      </c>
      <c r="C361" t="s">
        <v>36</v>
      </c>
      <c r="D361" t="s">
        <v>26</v>
      </c>
      <c r="E361" t="s">
        <v>69</v>
      </c>
      <c r="F361">
        <v>115796</v>
      </c>
      <c r="G361">
        <v>115796</v>
      </c>
      <c r="H361">
        <v>54</v>
      </c>
      <c r="I361">
        <v>0</v>
      </c>
      <c r="J361">
        <v>0</v>
      </c>
      <c r="K361">
        <v>0</v>
      </c>
      <c r="L361">
        <v>157488</v>
      </c>
      <c r="M361">
        <v>220211</v>
      </c>
      <c r="N361">
        <v>44755</v>
      </c>
      <c r="O361" s="43">
        <v>114432912</v>
      </c>
      <c r="P361" s="14">
        <f t="shared" si="17"/>
        <v>22886582.399999991</v>
      </c>
      <c r="Q361" s="14" t="str">
        <f t="shared" si="15"/>
        <v/>
      </c>
      <c r="R361" s="14" t="str">
        <f t="shared" si="15"/>
        <v/>
      </c>
      <c r="S361" s="14" t="str">
        <f t="shared" si="16"/>
        <v/>
      </c>
      <c r="T361" s="14" t="s">
        <v>72</v>
      </c>
      <c r="U361" s="14">
        <v>0</v>
      </c>
      <c r="V361">
        <v>6345</v>
      </c>
      <c r="W361">
        <v>23.063653564453102</v>
      </c>
      <c r="X361">
        <v>9.7066245186713793</v>
      </c>
      <c r="Y361">
        <v>2.5480700067885298</v>
      </c>
      <c r="Z361" s="31">
        <v>0.84696184792159901</v>
      </c>
      <c r="AA361">
        <v>15.415036213084299</v>
      </c>
      <c r="AB361">
        <v>0.08</v>
      </c>
      <c r="AC361">
        <v>669503.674823198</v>
      </c>
      <c r="AD361">
        <v>766113.05510018556</v>
      </c>
      <c r="AE361">
        <v>1</v>
      </c>
      <c r="AF361">
        <v>616530.90200364403</v>
      </c>
      <c r="AG361">
        <v>6990654.5166192111</v>
      </c>
    </row>
    <row r="362" spans="2:33" hidden="1" x14ac:dyDescent="0.25">
      <c r="B362">
        <v>8</v>
      </c>
      <c r="C362" t="s">
        <v>37</v>
      </c>
      <c r="D362" t="s">
        <v>28</v>
      </c>
      <c r="E362" t="s">
        <v>67</v>
      </c>
      <c r="F362">
        <v>7185</v>
      </c>
      <c r="G362">
        <v>412157</v>
      </c>
      <c r="H362">
        <v>1</v>
      </c>
      <c r="I362">
        <v>0</v>
      </c>
      <c r="J362">
        <v>0.6973070941413102</v>
      </c>
      <c r="K362">
        <v>31977</v>
      </c>
      <c r="L362">
        <v>1303216</v>
      </c>
      <c r="M362">
        <v>41631</v>
      </c>
      <c r="N362">
        <v>257528</v>
      </c>
      <c r="O362" s="43">
        <v>0</v>
      </c>
      <c r="P362" s="14">
        <v>0</v>
      </c>
      <c r="Q362" s="14" t="str">
        <f t="shared" si="15"/>
        <v/>
      </c>
      <c r="R362" s="14" t="str">
        <f t="shared" si="15"/>
        <v/>
      </c>
      <c r="S362" s="14" t="str">
        <f t="shared" si="16"/>
        <v/>
      </c>
      <c r="T362" s="14" t="s">
        <v>72</v>
      </c>
      <c r="U362" s="14">
        <v>0</v>
      </c>
      <c r="V362">
        <v>5305</v>
      </c>
      <c r="W362">
        <v>32.499597167968801</v>
      </c>
      <c r="X362">
        <v>12.9583487104324</v>
      </c>
      <c r="Y362">
        <v>4.2576278049925298</v>
      </c>
      <c r="Z362" s="31">
        <v>2.4234744744005901</v>
      </c>
      <c r="AA362">
        <v>5.1509222394411598</v>
      </c>
      <c r="AB362">
        <v>7.0000000000000007E-2</v>
      </c>
      <c r="AC362">
        <v>247701.46467762801</v>
      </c>
      <c r="AD362">
        <v>280100.81625746179</v>
      </c>
      <c r="AE362">
        <v>1</v>
      </c>
      <c r="AF362">
        <v>1130.9078054001179</v>
      </c>
      <c r="AG362">
        <v>3970.877729550717</v>
      </c>
    </row>
    <row r="363" spans="2:33" hidden="1" x14ac:dyDescent="0.25">
      <c r="B363">
        <v>8</v>
      </c>
      <c r="C363" t="s">
        <v>37</v>
      </c>
      <c r="D363" t="s">
        <v>28</v>
      </c>
      <c r="E363" t="s">
        <v>67</v>
      </c>
      <c r="F363">
        <v>16814</v>
      </c>
      <c r="G363">
        <v>412157</v>
      </c>
      <c r="H363">
        <v>2</v>
      </c>
      <c r="I363">
        <v>0</v>
      </c>
      <c r="J363">
        <v>0.93449826158478444</v>
      </c>
      <c r="K363">
        <v>31977</v>
      </c>
      <c r="L363">
        <v>1303216</v>
      </c>
      <c r="M363">
        <v>41631</v>
      </c>
      <c r="N363">
        <v>257528</v>
      </c>
      <c r="O363" s="43">
        <v>848070</v>
      </c>
      <c r="P363" s="14">
        <f t="shared" si="17"/>
        <v>848070</v>
      </c>
      <c r="Q363" s="14" t="str">
        <f t="shared" si="15"/>
        <v/>
      </c>
      <c r="R363" s="14" t="str">
        <f t="shared" si="15"/>
        <v/>
      </c>
      <c r="S363" s="14" t="str">
        <f t="shared" si="16"/>
        <v/>
      </c>
      <c r="T363" s="14" t="s">
        <v>72</v>
      </c>
      <c r="U363" s="14">
        <v>0</v>
      </c>
      <c r="V363">
        <v>5305</v>
      </c>
      <c r="W363">
        <v>33.334863281250001</v>
      </c>
      <c r="X363">
        <v>15.7818249722968</v>
      </c>
      <c r="Y363">
        <v>4.3167626621826303</v>
      </c>
      <c r="Z363" s="31">
        <v>2.6127780297404199</v>
      </c>
      <c r="AA363">
        <v>4.88030634043254</v>
      </c>
      <c r="AB363">
        <v>7.0000000000000007E-2</v>
      </c>
      <c r="AC363">
        <v>247701.46467762801</v>
      </c>
      <c r="AD363">
        <v>280100.81625746179</v>
      </c>
      <c r="AE363">
        <v>1</v>
      </c>
      <c r="AF363">
        <v>1130.9078054001179</v>
      </c>
      <c r="AG363">
        <v>3970.877729550717</v>
      </c>
    </row>
    <row r="364" spans="2:33" hidden="1" x14ac:dyDescent="0.25">
      <c r="B364">
        <v>8</v>
      </c>
      <c r="C364" t="s">
        <v>37</v>
      </c>
      <c r="D364" t="s">
        <v>28</v>
      </c>
      <c r="E364" t="s">
        <v>67</v>
      </c>
      <c r="F364">
        <v>47554</v>
      </c>
      <c r="G364">
        <v>412157</v>
      </c>
      <c r="H364">
        <v>3</v>
      </c>
      <c r="I364">
        <v>0</v>
      </c>
      <c r="J364">
        <v>2.983329168253845</v>
      </c>
      <c r="K364">
        <v>31977</v>
      </c>
      <c r="L364">
        <v>1303216</v>
      </c>
      <c r="M364">
        <v>41631</v>
      </c>
      <c r="N364">
        <v>257528</v>
      </c>
      <c r="O364" s="43">
        <v>565380</v>
      </c>
      <c r="P364" s="14">
        <f t="shared" si="17"/>
        <v>-282690</v>
      </c>
      <c r="Q364" s="14">
        <f t="shared" si="15"/>
        <v>-282690</v>
      </c>
      <c r="R364" s="14">
        <f t="shared" si="15"/>
        <v>-282690</v>
      </c>
      <c r="S364" s="14">
        <f t="shared" si="16"/>
        <v>79913636100</v>
      </c>
      <c r="T364" s="14">
        <v>79913636100</v>
      </c>
      <c r="U364" s="14">
        <v>0</v>
      </c>
      <c r="V364">
        <v>5305</v>
      </c>
      <c r="W364">
        <v>27.091119384765602</v>
      </c>
      <c r="X364">
        <v>35.676610344501903</v>
      </c>
      <c r="Y364">
        <v>2.30571804003683</v>
      </c>
      <c r="Z364" s="31">
        <v>1.31439393864651</v>
      </c>
      <c r="AA364">
        <v>3.7496194679311401</v>
      </c>
      <c r="AB364">
        <v>7.0000000000000007E-2</v>
      </c>
      <c r="AC364">
        <v>247701.46467762801</v>
      </c>
      <c r="AD364">
        <v>280100.81625746179</v>
      </c>
      <c r="AE364">
        <v>1</v>
      </c>
      <c r="AF364">
        <v>1130.9078054001179</v>
      </c>
      <c r="AG364">
        <v>3970.877729550717</v>
      </c>
    </row>
    <row r="365" spans="2:33" hidden="1" x14ac:dyDescent="0.25">
      <c r="B365">
        <v>8</v>
      </c>
      <c r="C365" t="s">
        <v>37</v>
      </c>
      <c r="D365" t="s">
        <v>28</v>
      </c>
      <c r="E365" t="s">
        <v>67</v>
      </c>
      <c r="F365">
        <v>76908</v>
      </c>
      <c r="G365">
        <v>412157</v>
      </c>
      <c r="H365">
        <v>4</v>
      </c>
      <c r="I365">
        <v>7185</v>
      </c>
      <c r="J365">
        <v>2.848817319613643</v>
      </c>
      <c r="K365">
        <v>31977</v>
      </c>
      <c r="L365">
        <v>1303216</v>
      </c>
      <c r="M365">
        <v>41631</v>
      </c>
      <c r="N365">
        <v>257528</v>
      </c>
      <c r="O365" s="43">
        <v>1130760</v>
      </c>
      <c r="P365" s="14">
        <f t="shared" si="17"/>
        <v>565380</v>
      </c>
      <c r="Q365" s="14" t="str">
        <f t="shared" si="15"/>
        <v/>
      </c>
      <c r="R365" s="14" t="str">
        <f t="shared" si="15"/>
        <v/>
      </c>
      <c r="S365" s="14" t="str">
        <f t="shared" si="16"/>
        <v/>
      </c>
      <c r="T365" s="14" t="s">
        <v>72</v>
      </c>
      <c r="U365" s="14">
        <v>78.688935281837161</v>
      </c>
      <c r="V365">
        <v>5305</v>
      </c>
      <c r="W365">
        <v>16.507073974609401</v>
      </c>
      <c r="X365">
        <v>90.396951268307106</v>
      </c>
      <c r="Y365">
        <v>0.18044718832915199</v>
      </c>
      <c r="Z365" s="31">
        <v>1.6424784225392399</v>
      </c>
      <c r="AA365">
        <v>11.530399601371199</v>
      </c>
      <c r="AB365">
        <v>7.0000000000000007E-2</v>
      </c>
      <c r="AC365">
        <v>247701.46467762801</v>
      </c>
      <c r="AD365">
        <v>280100.81625746179</v>
      </c>
      <c r="AE365">
        <v>1</v>
      </c>
      <c r="AF365">
        <v>1130.9078054001179</v>
      </c>
      <c r="AG365">
        <v>3970.877729550717</v>
      </c>
    </row>
    <row r="366" spans="2:33" hidden="1" x14ac:dyDescent="0.25">
      <c r="B366">
        <v>8</v>
      </c>
      <c r="C366" t="s">
        <v>37</v>
      </c>
      <c r="D366" t="s">
        <v>28</v>
      </c>
      <c r="E366" t="s">
        <v>67</v>
      </c>
      <c r="F366">
        <v>143590</v>
      </c>
      <c r="G366">
        <v>412157</v>
      </c>
      <c r="H366">
        <v>5</v>
      </c>
      <c r="I366">
        <v>9629</v>
      </c>
      <c r="J366">
        <v>6.4715144956897497</v>
      </c>
      <c r="K366">
        <v>31977</v>
      </c>
      <c r="L366">
        <v>1303216</v>
      </c>
      <c r="M366">
        <v>41631</v>
      </c>
      <c r="N366">
        <v>257528</v>
      </c>
      <c r="O366" s="43">
        <v>3618432</v>
      </c>
      <c r="P366" s="14">
        <f t="shared" si="17"/>
        <v>2487672</v>
      </c>
      <c r="Q366" s="14" t="str">
        <f t="shared" si="15"/>
        <v/>
      </c>
      <c r="R366" s="14" t="str">
        <f t="shared" si="15"/>
        <v/>
      </c>
      <c r="S366" s="14" t="str">
        <f t="shared" si="16"/>
        <v/>
      </c>
      <c r="T366" s="14" t="s">
        <v>72</v>
      </c>
      <c r="U366" s="14">
        <v>258.35206148094301</v>
      </c>
      <c r="V366">
        <v>5305</v>
      </c>
      <c r="W366">
        <v>28.681115722656301</v>
      </c>
      <c r="X366">
        <v>22.047433071754501</v>
      </c>
      <c r="Y366">
        <v>3.0660337088857399</v>
      </c>
      <c r="Z366" s="31">
        <v>3.1774662662104798</v>
      </c>
      <c r="AA366">
        <v>6.4860364206139298</v>
      </c>
      <c r="AB366">
        <v>7.0000000000000007E-2</v>
      </c>
      <c r="AC366">
        <v>247701.46467762801</v>
      </c>
      <c r="AD366">
        <v>280100.81625746179</v>
      </c>
      <c r="AE366">
        <v>1</v>
      </c>
      <c r="AF366">
        <v>1130.9078054001179</v>
      </c>
      <c r="AG366">
        <v>3970.877729550717</v>
      </c>
    </row>
    <row r="367" spans="2:33" hidden="1" x14ac:dyDescent="0.25">
      <c r="B367">
        <v>8</v>
      </c>
      <c r="C367" t="s">
        <v>37</v>
      </c>
      <c r="D367" t="s">
        <v>28</v>
      </c>
      <c r="E367" t="s">
        <v>67</v>
      </c>
      <c r="F367">
        <v>153479</v>
      </c>
      <c r="G367">
        <v>412157</v>
      </c>
      <c r="H367">
        <v>6</v>
      </c>
      <c r="I367" s="2">
        <v>30740</v>
      </c>
      <c r="J367">
        <v>0.95973136450430296</v>
      </c>
      <c r="K367">
        <v>31977</v>
      </c>
      <c r="L367">
        <v>1303216</v>
      </c>
      <c r="M367">
        <v>41631</v>
      </c>
      <c r="N367">
        <v>257528</v>
      </c>
      <c r="O367" s="43">
        <v>5088420</v>
      </c>
      <c r="P367" s="14">
        <f t="shared" si="17"/>
        <v>1469988</v>
      </c>
      <c r="Q367" s="14" t="str">
        <f t="shared" si="15"/>
        <v/>
      </c>
      <c r="R367" s="14" t="str">
        <f t="shared" si="15"/>
        <v/>
      </c>
      <c r="S367" s="14" t="str">
        <f t="shared" si="16"/>
        <v/>
      </c>
      <c r="T367" s="14" t="s">
        <v>72</v>
      </c>
      <c r="U367" s="14">
        <v>47.82003903708523</v>
      </c>
      <c r="V367">
        <v>5305</v>
      </c>
      <c r="W367">
        <v>32.183343505859398</v>
      </c>
      <c r="X367">
        <v>18.646763920839199</v>
      </c>
      <c r="Y367">
        <v>3.9086018631683599</v>
      </c>
      <c r="Z367" s="31">
        <v>1.79956531051784</v>
      </c>
      <c r="AA367">
        <v>4.1050596848344201</v>
      </c>
      <c r="AB367">
        <v>7.0000000000000007E-2</v>
      </c>
      <c r="AC367">
        <v>247701.46467762801</v>
      </c>
      <c r="AD367">
        <v>280100.81625746179</v>
      </c>
      <c r="AE367">
        <v>1</v>
      </c>
      <c r="AF367">
        <v>1130.9078054001179</v>
      </c>
      <c r="AG367">
        <v>3970.877729550717</v>
      </c>
    </row>
    <row r="368" spans="2:33" hidden="1" x14ac:dyDescent="0.25">
      <c r="B368">
        <v>8</v>
      </c>
      <c r="C368" t="s">
        <v>37</v>
      </c>
      <c r="D368" t="s">
        <v>28</v>
      </c>
      <c r="E368" t="s">
        <v>67</v>
      </c>
      <c r="F368">
        <v>201700</v>
      </c>
      <c r="G368">
        <v>412157</v>
      </c>
      <c r="H368">
        <v>7</v>
      </c>
      <c r="I368" s="2">
        <v>29354</v>
      </c>
      <c r="J368">
        <v>4.6798671380080892</v>
      </c>
      <c r="K368">
        <v>31977</v>
      </c>
      <c r="L368">
        <v>1303216</v>
      </c>
      <c r="M368">
        <v>41631</v>
      </c>
      <c r="N368">
        <v>257528</v>
      </c>
      <c r="O368" s="43">
        <v>6570846.3600000003</v>
      </c>
      <c r="P368" s="14">
        <f t="shared" si="17"/>
        <v>1482426.3600000003</v>
      </c>
      <c r="Q368" s="14" t="str">
        <f t="shared" si="15"/>
        <v/>
      </c>
      <c r="R368" s="14" t="str">
        <f t="shared" si="15"/>
        <v/>
      </c>
      <c r="S368" s="14" t="str">
        <f t="shared" si="16"/>
        <v/>
      </c>
      <c r="T368" s="14" t="s">
        <v>72</v>
      </c>
      <c r="U368" s="14">
        <v>50.501681542549576</v>
      </c>
      <c r="V368">
        <v>5305</v>
      </c>
      <c r="W368">
        <v>27.094079589843702</v>
      </c>
      <c r="X368">
        <v>26.8396822088785</v>
      </c>
      <c r="Y368">
        <v>2.6234045358653799</v>
      </c>
      <c r="Z368" s="31">
        <v>1.0211724635688599</v>
      </c>
      <c r="AA368">
        <v>1.47635367612892</v>
      </c>
      <c r="AB368">
        <v>7.0000000000000007E-2</v>
      </c>
      <c r="AC368">
        <v>247701.46467762801</v>
      </c>
      <c r="AD368">
        <v>280100.81625746179</v>
      </c>
      <c r="AE368">
        <v>1</v>
      </c>
      <c r="AF368">
        <v>1130.9078054001179</v>
      </c>
      <c r="AG368">
        <v>3970.877729550717</v>
      </c>
    </row>
    <row r="369" spans="2:33" hidden="1" x14ac:dyDescent="0.25">
      <c r="B369">
        <v>8</v>
      </c>
      <c r="C369" t="s">
        <v>37</v>
      </c>
      <c r="D369" t="s">
        <v>28</v>
      </c>
      <c r="E369" t="s">
        <v>67</v>
      </c>
      <c r="F369">
        <v>212758</v>
      </c>
      <c r="G369">
        <v>412157</v>
      </c>
      <c r="H369">
        <v>8</v>
      </c>
      <c r="I369" s="2">
        <v>66682</v>
      </c>
      <c r="J369">
        <v>1.0731832772462919</v>
      </c>
      <c r="K369">
        <v>31977</v>
      </c>
      <c r="L369">
        <v>1303216</v>
      </c>
      <c r="M369">
        <v>41631</v>
      </c>
      <c r="N369">
        <v>257528</v>
      </c>
      <c r="O369" s="43">
        <v>8141472</v>
      </c>
      <c r="P369" s="14">
        <f t="shared" si="17"/>
        <v>1570625.6399999997</v>
      </c>
      <c r="Q369" s="14" t="str">
        <f t="shared" si="15"/>
        <v/>
      </c>
      <c r="R369" s="14" t="str">
        <f t="shared" si="15"/>
        <v/>
      </c>
      <c r="S369" s="14" t="str">
        <f t="shared" si="16"/>
        <v/>
      </c>
      <c r="T369" s="14" t="s">
        <v>72</v>
      </c>
      <c r="U369" s="14">
        <v>23.55396718754686</v>
      </c>
      <c r="V369">
        <v>5305</v>
      </c>
      <c r="W369">
        <v>25.898522949218801</v>
      </c>
      <c r="X369">
        <v>39.191146990175298</v>
      </c>
      <c r="Y369">
        <v>2.0319819555952199</v>
      </c>
      <c r="Z369" s="31">
        <v>0.45684469039518399</v>
      </c>
      <c r="AA369">
        <v>6.3423120774665396</v>
      </c>
      <c r="AB369">
        <v>7.0000000000000007E-2</v>
      </c>
      <c r="AC369">
        <v>247701.46467762801</v>
      </c>
      <c r="AD369">
        <v>280100.81625746179</v>
      </c>
      <c r="AE369">
        <v>1</v>
      </c>
      <c r="AF369">
        <v>1130.9078054001179</v>
      </c>
      <c r="AG369">
        <v>3970.877729550717</v>
      </c>
    </row>
    <row r="370" spans="2:33" hidden="1" x14ac:dyDescent="0.25">
      <c r="B370">
        <v>8</v>
      </c>
      <c r="C370" t="s">
        <v>37</v>
      </c>
      <c r="D370" t="s">
        <v>28</v>
      </c>
      <c r="E370" t="s">
        <v>67</v>
      </c>
      <c r="F370">
        <v>232763</v>
      </c>
      <c r="G370">
        <v>412157</v>
      </c>
      <c r="H370">
        <v>9</v>
      </c>
      <c r="I370" s="2">
        <v>9889</v>
      </c>
      <c r="J370">
        <v>1.941493168865263</v>
      </c>
      <c r="K370">
        <v>31977</v>
      </c>
      <c r="L370">
        <v>1303216</v>
      </c>
      <c r="M370">
        <v>41631</v>
      </c>
      <c r="N370">
        <v>257528</v>
      </c>
      <c r="O370" s="43">
        <v>11420676</v>
      </c>
      <c r="P370" s="14">
        <f t="shared" si="17"/>
        <v>3279204</v>
      </c>
      <c r="Q370" s="14" t="str">
        <f t="shared" si="15"/>
        <v/>
      </c>
      <c r="R370" s="14" t="str">
        <f t="shared" si="15"/>
        <v/>
      </c>
      <c r="S370" s="14" t="str">
        <f t="shared" si="16"/>
        <v/>
      </c>
      <c r="T370" s="14" t="s">
        <v>72</v>
      </c>
      <c r="U370" s="14">
        <v>331.60117302052788</v>
      </c>
      <c r="V370">
        <v>5305</v>
      </c>
      <c r="W370">
        <v>28.663964843750001</v>
      </c>
      <c r="X370">
        <v>25.331094248010899</v>
      </c>
      <c r="Y370">
        <v>2.9337664747328098</v>
      </c>
      <c r="Z370" s="31">
        <v>0.79131766207212695</v>
      </c>
      <c r="AA370">
        <v>1.7994991016287201</v>
      </c>
      <c r="AB370">
        <v>7.0000000000000007E-2</v>
      </c>
      <c r="AC370">
        <v>247701.46467762801</v>
      </c>
      <c r="AD370">
        <v>280100.81625746179</v>
      </c>
      <c r="AE370">
        <v>1</v>
      </c>
      <c r="AF370">
        <v>1130.9078054001179</v>
      </c>
      <c r="AG370">
        <v>3970.877729550717</v>
      </c>
    </row>
    <row r="371" spans="2:33" hidden="1" x14ac:dyDescent="0.25">
      <c r="B371">
        <v>8</v>
      </c>
      <c r="C371" t="s">
        <v>37</v>
      </c>
      <c r="D371" t="s">
        <v>28</v>
      </c>
      <c r="E371" t="s">
        <v>67</v>
      </c>
      <c r="F371">
        <v>244021</v>
      </c>
      <c r="G371">
        <v>412157</v>
      </c>
      <c r="H371">
        <v>10</v>
      </c>
      <c r="I371" s="2">
        <v>48221</v>
      </c>
      <c r="J371">
        <v>1.092593356415152</v>
      </c>
      <c r="K371">
        <v>31977</v>
      </c>
      <c r="L371">
        <v>1303216</v>
      </c>
      <c r="M371">
        <v>41631</v>
      </c>
      <c r="N371">
        <v>257528</v>
      </c>
      <c r="O371" s="43">
        <v>15378336</v>
      </c>
      <c r="P371" s="14">
        <f t="shared" si="17"/>
        <v>3957660</v>
      </c>
      <c r="Q371" s="14" t="str">
        <f t="shared" si="15"/>
        <v/>
      </c>
      <c r="R371" s="14" t="str">
        <f t="shared" si="15"/>
        <v/>
      </c>
      <c r="S371" s="14" t="str">
        <f t="shared" si="16"/>
        <v/>
      </c>
      <c r="T371" s="14" t="s">
        <v>72</v>
      </c>
      <c r="U371" s="14">
        <v>82.073370523216028</v>
      </c>
      <c r="V371">
        <v>5305</v>
      </c>
      <c r="W371">
        <v>31.253137207031301</v>
      </c>
      <c r="X371">
        <v>15.1336311888605</v>
      </c>
      <c r="Y371">
        <v>3.86869345126828</v>
      </c>
      <c r="Z371" s="31">
        <v>3.7626619854819201</v>
      </c>
      <c r="AA371">
        <v>6.6132719243837803</v>
      </c>
      <c r="AB371">
        <v>7.0000000000000007E-2</v>
      </c>
      <c r="AC371">
        <v>247701.46467762801</v>
      </c>
      <c r="AD371">
        <v>280100.81625746179</v>
      </c>
      <c r="AE371">
        <v>1</v>
      </c>
      <c r="AF371">
        <v>1130.9078054001179</v>
      </c>
      <c r="AG371">
        <v>3970.877729550717</v>
      </c>
    </row>
    <row r="372" spans="2:33" hidden="1" x14ac:dyDescent="0.25">
      <c r="B372">
        <v>8</v>
      </c>
      <c r="C372" t="s">
        <v>37</v>
      </c>
      <c r="D372" t="s">
        <v>28</v>
      </c>
      <c r="E372" t="s">
        <v>67</v>
      </c>
      <c r="F372">
        <v>296381</v>
      </c>
      <c r="G372">
        <v>412157</v>
      </c>
      <c r="H372">
        <v>11</v>
      </c>
      <c r="I372" s="2">
        <v>11058</v>
      </c>
      <c r="J372">
        <v>5.0815587264076552</v>
      </c>
      <c r="K372">
        <v>31977</v>
      </c>
      <c r="L372">
        <v>1303216</v>
      </c>
      <c r="M372">
        <v>41631</v>
      </c>
      <c r="N372">
        <v>257528</v>
      </c>
      <c r="O372" s="43">
        <v>17866008</v>
      </c>
      <c r="P372" s="14">
        <f t="shared" si="17"/>
        <v>2487672</v>
      </c>
      <c r="Q372" s="14" t="str">
        <f t="shared" si="15"/>
        <v/>
      </c>
      <c r="R372" s="14" t="str">
        <f t="shared" si="15"/>
        <v/>
      </c>
      <c r="S372" s="14" t="str">
        <f t="shared" si="16"/>
        <v/>
      </c>
      <c r="T372" s="14" t="s">
        <v>72</v>
      </c>
      <c r="U372" s="14">
        <v>224.96581660336409</v>
      </c>
      <c r="V372">
        <v>5305</v>
      </c>
      <c r="W372">
        <v>30.952630615234401</v>
      </c>
      <c r="X372">
        <v>11.9987083667815</v>
      </c>
      <c r="Y372">
        <v>3.9439022869953</v>
      </c>
      <c r="Z372" s="31">
        <v>3.7329971579335899</v>
      </c>
      <c r="AA372">
        <v>6.5314372758397301</v>
      </c>
      <c r="AB372">
        <v>7.0000000000000007E-2</v>
      </c>
      <c r="AC372">
        <v>247701.46467762801</v>
      </c>
      <c r="AD372">
        <v>280100.81625746179</v>
      </c>
      <c r="AE372">
        <v>1</v>
      </c>
      <c r="AF372">
        <v>1130.9078054001179</v>
      </c>
      <c r="AG372">
        <v>3970.877729550717</v>
      </c>
    </row>
    <row r="373" spans="2:33" hidden="1" x14ac:dyDescent="0.25">
      <c r="B373">
        <v>8</v>
      </c>
      <c r="C373" t="s">
        <v>37</v>
      </c>
      <c r="D373" t="s">
        <v>28</v>
      </c>
      <c r="E373" t="s">
        <v>67</v>
      </c>
      <c r="F373">
        <v>303461</v>
      </c>
      <c r="G373">
        <v>412157</v>
      </c>
      <c r="H373">
        <v>12</v>
      </c>
      <c r="I373" s="2">
        <v>20005</v>
      </c>
      <c r="J373">
        <v>0.6871168025776585</v>
      </c>
      <c r="K373">
        <v>31977</v>
      </c>
      <c r="L373">
        <v>1303216</v>
      </c>
      <c r="M373">
        <v>41631</v>
      </c>
      <c r="N373">
        <v>257528</v>
      </c>
      <c r="O373" s="43">
        <v>24198264</v>
      </c>
      <c r="P373" s="14">
        <f t="shared" si="17"/>
        <v>6332256</v>
      </c>
      <c r="Q373" s="14" t="str">
        <f t="shared" si="15"/>
        <v/>
      </c>
      <c r="R373" s="14" t="str">
        <f t="shared" si="15"/>
        <v/>
      </c>
      <c r="S373" s="14" t="str">
        <f t="shared" si="16"/>
        <v/>
      </c>
      <c r="T373" s="14" t="s">
        <v>72</v>
      </c>
      <c r="U373" s="14">
        <v>316.53366658335415</v>
      </c>
      <c r="V373">
        <v>5305</v>
      </c>
      <c r="W373">
        <v>31.685693359375001</v>
      </c>
      <c r="X373">
        <v>11.7125641912333</v>
      </c>
      <c r="Y373">
        <v>4.1248276396853498</v>
      </c>
      <c r="Z373" s="31">
        <v>4.9781966529068402</v>
      </c>
      <c r="AA373">
        <v>8.8241855729738692</v>
      </c>
      <c r="AB373">
        <v>7.0000000000000007E-2</v>
      </c>
      <c r="AC373">
        <v>247701.46467762801</v>
      </c>
      <c r="AD373">
        <v>280100.81625746179</v>
      </c>
      <c r="AE373">
        <v>1</v>
      </c>
      <c r="AF373">
        <v>1130.9078054001179</v>
      </c>
      <c r="AG373">
        <v>3970.877729550717</v>
      </c>
    </row>
    <row r="374" spans="2:33" hidden="1" x14ac:dyDescent="0.25">
      <c r="B374">
        <v>8</v>
      </c>
      <c r="C374" t="s">
        <v>37</v>
      </c>
      <c r="D374" t="s">
        <v>28</v>
      </c>
      <c r="E374" t="s">
        <v>67</v>
      </c>
      <c r="F374">
        <v>352106</v>
      </c>
      <c r="G374">
        <v>412157</v>
      </c>
      <c r="H374">
        <v>13</v>
      </c>
      <c r="I374" s="2">
        <v>11258</v>
      </c>
      <c r="J374">
        <v>4.7210165058460731</v>
      </c>
      <c r="K374">
        <v>31977</v>
      </c>
      <c r="L374">
        <v>1303216</v>
      </c>
      <c r="M374">
        <v>41631</v>
      </c>
      <c r="N374">
        <v>257528</v>
      </c>
      <c r="O374" s="43">
        <v>31208976</v>
      </c>
      <c r="P374" s="14">
        <f t="shared" si="17"/>
        <v>7010712</v>
      </c>
      <c r="Q374" s="14" t="str">
        <f t="shared" si="15"/>
        <v/>
      </c>
      <c r="R374" s="14" t="str">
        <f t="shared" si="15"/>
        <v/>
      </c>
      <c r="S374" s="14" t="str">
        <f t="shared" si="16"/>
        <v/>
      </c>
      <c r="T374" s="14" t="s">
        <v>72</v>
      </c>
      <c r="U374" s="14">
        <v>622.73156866228464</v>
      </c>
      <c r="V374">
        <v>5305</v>
      </c>
      <c r="W374">
        <v>21.131646728515602</v>
      </c>
      <c r="X374">
        <v>36.998043304658601</v>
      </c>
      <c r="Y374">
        <v>1.58049398299355</v>
      </c>
      <c r="Z374" s="31">
        <v>3.6624488968816502</v>
      </c>
      <c r="AA374">
        <v>8.8685183283931508</v>
      </c>
      <c r="AB374">
        <v>7.0000000000000007E-2</v>
      </c>
      <c r="AC374">
        <v>247701.46467762801</v>
      </c>
      <c r="AD374">
        <v>280100.81625746179</v>
      </c>
      <c r="AE374">
        <v>1</v>
      </c>
      <c r="AF374">
        <v>1130.9078054001179</v>
      </c>
      <c r="AG374">
        <v>3970.877729550717</v>
      </c>
    </row>
    <row r="375" spans="2:33" hidden="1" x14ac:dyDescent="0.25">
      <c r="B375">
        <v>8</v>
      </c>
      <c r="C375" t="s">
        <v>37</v>
      </c>
      <c r="D375" t="s">
        <v>28</v>
      </c>
      <c r="E375" t="s">
        <v>67</v>
      </c>
      <c r="F375">
        <v>387862</v>
      </c>
      <c r="G375">
        <v>412157</v>
      </c>
      <c r="H375">
        <v>14</v>
      </c>
      <c r="I375" s="2">
        <v>52360</v>
      </c>
      <c r="J375">
        <v>3.470133953808864</v>
      </c>
      <c r="K375">
        <v>31977</v>
      </c>
      <c r="L375">
        <v>1303216</v>
      </c>
      <c r="M375">
        <v>41631</v>
      </c>
      <c r="N375">
        <v>257528</v>
      </c>
      <c r="O375" s="43">
        <v>36636624</v>
      </c>
      <c r="P375" s="14">
        <f t="shared" si="17"/>
        <v>5427648</v>
      </c>
      <c r="Q375" s="14" t="str">
        <f t="shared" si="15"/>
        <v/>
      </c>
      <c r="R375" s="14" t="str">
        <f t="shared" si="15"/>
        <v/>
      </c>
      <c r="S375" s="14" t="str">
        <f t="shared" si="16"/>
        <v/>
      </c>
      <c r="T375" s="14" t="s">
        <v>72</v>
      </c>
      <c r="U375" s="14">
        <v>103.66019862490451</v>
      </c>
      <c r="V375">
        <v>5305</v>
      </c>
      <c r="W375">
        <v>27.853967285156301</v>
      </c>
      <c r="X375">
        <v>19.491912974308001</v>
      </c>
      <c r="Y375">
        <v>3.0182577268604498</v>
      </c>
      <c r="Z375" s="31">
        <v>2.3200088072042901</v>
      </c>
      <c r="AA375">
        <v>3.8257371638234901</v>
      </c>
      <c r="AB375">
        <v>7.0000000000000007E-2</v>
      </c>
      <c r="AC375">
        <v>247701.46467762801</v>
      </c>
      <c r="AD375">
        <v>280100.81625746179</v>
      </c>
      <c r="AE375">
        <v>1</v>
      </c>
      <c r="AF375">
        <v>1130.9078054001179</v>
      </c>
      <c r="AG375">
        <v>3970.877729550717</v>
      </c>
    </row>
    <row r="376" spans="2:33" hidden="1" x14ac:dyDescent="0.25">
      <c r="B376">
        <v>8</v>
      </c>
      <c r="C376" t="s">
        <v>37</v>
      </c>
      <c r="D376" t="s">
        <v>28</v>
      </c>
      <c r="E376" t="s">
        <v>67</v>
      </c>
      <c r="F376">
        <v>394407</v>
      </c>
      <c r="G376">
        <v>412157</v>
      </c>
      <c r="H376">
        <v>15</v>
      </c>
      <c r="I376" s="2">
        <v>7080</v>
      </c>
      <c r="J376">
        <v>0.63519484080095689</v>
      </c>
      <c r="K376">
        <v>31977</v>
      </c>
      <c r="L376">
        <v>1303216</v>
      </c>
      <c r="M376">
        <v>41631</v>
      </c>
      <c r="N376">
        <v>257528</v>
      </c>
      <c r="O376" s="43">
        <v>41385816</v>
      </c>
      <c r="P376" s="14">
        <f t="shared" si="17"/>
        <v>4749192</v>
      </c>
      <c r="Q376" s="14" t="str">
        <f t="shared" si="15"/>
        <v/>
      </c>
      <c r="R376" s="14" t="str">
        <f t="shared" si="15"/>
        <v/>
      </c>
      <c r="S376" s="14" t="str">
        <f t="shared" si="16"/>
        <v/>
      </c>
      <c r="T376" s="14" t="s">
        <v>72</v>
      </c>
      <c r="U376" s="14">
        <v>670.78983050847455</v>
      </c>
      <c r="V376">
        <v>5305</v>
      </c>
      <c r="W376">
        <v>30.658380126953102</v>
      </c>
      <c r="X376">
        <v>18.612279512155901</v>
      </c>
      <c r="Y376">
        <v>3.5864007006474998</v>
      </c>
      <c r="Z376" s="31">
        <v>4.5432288024140304</v>
      </c>
      <c r="AA376">
        <v>7.4718243500547601</v>
      </c>
      <c r="AB376">
        <v>7.0000000000000007E-2</v>
      </c>
      <c r="AC376">
        <v>247701.46467762801</v>
      </c>
      <c r="AD376">
        <v>280100.81625746179</v>
      </c>
      <c r="AE376">
        <v>1</v>
      </c>
      <c r="AF376">
        <v>1130.9078054001179</v>
      </c>
      <c r="AG376">
        <v>3970.877729550717</v>
      </c>
    </row>
    <row r="377" spans="2:33" hidden="1" x14ac:dyDescent="0.25">
      <c r="B377">
        <v>8</v>
      </c>
      <c r="C377" t="s">
        <v>37</v>
      </c>
      <c r="D377" t="s">
        <v>28</v>
      </c>
      <c r="E377" t="s">
        <v>67</v>
      </c>
      <c r="F377">
        <v>398270</v>
      </c>
      <c r="G377">
        <v>412157</v>
      </c>
      <c r="H377">
        <v>16</v>
      </c>
      <c r="I377" s="2">
        <v>48645</v>
      </c>
      <c r="J377">
        <v>0.37490567914653877</v>
      </c>
      <c r="K377">
        <v>31977</v>
      </c>
      <c r="L377">
        <v>1303216</v>
      </c>
      <c r="M377">
        <v>41631</v>
      </c>
      <c r="N377">
        <v>257528</v>
      </c>
      <c r="O377" s="43">
        <v>41385816</v>
      </c>
      <c r="P377" s="14">
        <f t="shared" si="17"/>
        <v>0</v>
      </c>
      <c r="Q377" s="14" t="str">
        <f t="shared" si="15"/>
        <v/>
      </c>
      <c r="R377" s="14" t="str">
        <f t="shared" si="15"/>
        <v/>
      </c>
      <c r="S377" s="14" t="str">
        <f t="shared" si="16"/>
        <v/>
      </c>
      <c r="T377" s="14" t="s">
        <v>72</v>
      </c>
      <c r="U377" s="14">
        <v>-850.77224791859385</v>
      </c>
      <c r="V377">
        <v>5305</v>
      </c>
      <c r="W377">
        <v>27.080895996093702</v>
      </c>
      <c r="X377">
        <v>13.624748744489899</v>
      </c>
      <c r="Y377">
        <v>3.0955177133224199</v>
      </c>
      <c r="Z377" s="31">
        <v>3.70021334760398</v>
      </c>
      <c r="AA377">
        <v>5.4888396422383803</v>
      </c>
      <c r="AB377">
        <v>7.0000000000000007E-2</v>
      </c>
      <c r="AC377">
        <v>247701.46467762801</v>
      </c>
      <c r="AD377">
        <v>280100.81625746179</v>
      </c>
      <c r="AE377">
        <v>1</v>
      </c>
      <c r="AF377">
        <v>1130.9078054001179</v>
      </c>
      <c r="AG377">
        <v>3970.877729550717</v>
      </c>
    </row>
    <row r="378" spans="2:33" hidden="1" x14ac:dyDescent="0.25">
      <c r="B378">
        <v>8</v>
      </c>
      <c r="C378" t="s">
        <v>37</v>
      </c>
      <c r="D378" t="s">
        <v>28</v>
      </c>
      <c r="E378" t="s">
        <v>67</v>
      </c>
      <c r="F378">
        <v>400482</v>
      </c>
      <c r="G378">
        <v>412157</v>
      </c>
      <c r="H378">
        <v>17</v>
      </c>
      <c r="I378" s="2">
        <v>35756</v>
      </c>
      <c r="J378">
        <v>0.21467547560759609</v>
      </c>
      <c r="K378">
        <v>31977</v>
      </c>
      <c r="L378">
        <v>1303216</v>
      </c>
      <c r="M378">
        <v>41631</v>
      </c>
      <c r="N378">
        <v>257528</v>
      </c>
      <c r="O378" s="43">
        <v>50205744</v>
      </c>
      <c r="P378" s="14">
        <f t="shared" si="17"/>
        <v>8819928</v>
      </c>
      <c r="Q378" s="14" t="str">
        <f t="shared" si="15"/>
        <v/>
      </c>
      <c r="R378" s="14" t="str">
        <f t="shared" si="15"/>
        <v/>
      </c>
      <c r="S378" s="14" t="str">
        <f t="shared" si="16"/>
        <v/>
      </c>
      <c r="T378" s="14" t="s">
        <v>72</v>
      </c>
      <c r="U378" s="14">
        <v>1404.120818883544</v>
      </c>
      <c r="V378">
        <v>5305</v>
      </c>
      <c r="W378">
        <v>29.171960449218801</v>
      </c>
      <c r="X378">
        <v>13.025693724230599</v>
      </c>
      <c r="Y378">
        <v>3.5198219475212298</v>
      </c>
      <c r="Z378" s="31">
        <v>2.2217663650581798</v>
      </c>
      <c r="AA378">
        <v>1.86748950353431</v>
      </c>
      <c r="AB378">
        <v>7.0000000000000007E-2</v>
      </c>
      <c r="AC378">
        <v>247701.46467762801</v>
      </c>
      <c r="AD378">
        <v>280100.81625746179</v>
      </c>
      <c r="AE378">
        <v>1</v>
      </c>
      <c r="AF378">
        <v>1130.9078054001179</v>
      </c>
      <c r="AG378">
        <v>3970.877729550717</v>
      </c>
    </row>
    <row r="379" spans="2:33" hidden="1" x14ac:dyDescent="0.25">
      <c r="B379">
        <v>8</v>
      </c>
      <c r="C379" t="s">
        <v>37</v>
      </c>
      <c r="D379" t="s">
        <v>28</v>
      </c>
      <c r="E379" t="s">
        <v>67</v>
      </c>
      <c r="F379">
        <v>401320</v>
      </c>
      <c r="G379">
        <v>412157</v>
      </c>
      <c r="H379">
        <v>18</v>
      </c>
      <c r="I379" s="2">
        <v>6545</v>
      </c>
      <c r="J379">
        <v>8.1328231717525123E-2</v>
      </c>
      <c r="K379">
        <v>31977</v>
      </c>
      <c r="L379">
        <v>1303216</v>
      </c>
      <c r="M379">
        <v>41631</v>
      </c>
      <c r="N379">
        <v>257528</v>
      </c>
      <c r="O379" s="43">
        <v>55068012</v>
      </c>
      <c r="P379" s="14">
        <f t="shared" si="17"/>
        <v>4862268</v>
      </c>
      <c r="Q379" s="14" t="str">
        <f t="shared" si="15"/>
        <v/>
      </c>
      <c r="R379" s="14" t="str">
        <f t="shared" si="15"/>
        <v/>
      </c>
      <c r="S379" s="14" t="str">
        <f t="shared" si="16"/>
        <v/>
      </c>
      <c r="T379" s="14" t="s">
        <v>72</v>
      </c>
      <c r="U379" s="14">
        <v>742.89809014514901</v>
      </c>
      <c r="V379">
        <v>5305</v>
      </c>
      <c r="W379">
        <v>32.753900146484398</v>
      </c>
      <c r="X379">
        <v>10.1052795832463</v>
      </c>
      <c r="Y379">
        <v>4.4607439312029102</v>
      </c>
      <c r="Z379" s="31">
        <v>1.9373954267170199</v>
      </c>
      <c r="AA379">
        <v>3.2081309504296902</v>
      </c>
      <c r="AB379">
        <v>7.0000000000000007E-2</v>
      </c>
      <c r="AC379">
        <v>247701.46467762801</v>
      </c>
      <c r="AD379">
        <v>280100.81625746179</v>
      </c>
      <c r="AE379">
        <v>1</v>
      </c>
      <c r="AF379">
        <v>1130.9078054001179</v>
      </c>
      <c r="AG379">
        <v>3970.877729550717</v>
      </c>
    </row>
    <row r="380" spans="2:33" hidden="1" x14ac:dyDescent="0.25">
      <c r="B380">
        <v>8</v>
      </c>
      <c r="C380" t="s">
        <v>37</v>
      </c>
      <c r="D380" t="s">
        <v>28</v>
      </c>
      <c r="E380" t="s">
        <v>67</v>
      </c>
      <c r="F380">
        <v>401320</v>
      </c>
      <c r="G380">
        <v>412157</v>
      </c>
      <c r="H380">
        <v>19</v>
      </c>
      <c r="I380" s="2">
        <v>3863</v>
      </c>
      <c r="J380">
        <v>0</v>
      </c>
      <c r="K380">
        <v>31977</v>
      </c>
      <c r="L380">
        <v>1303216</v>
      </c>
      <c r="M380">
        <v>41631</v>
      </c>
      <c r="N380">
        <v>257528</v>
      </c>
      <c r="O380" s="43">
        <v>57668760</v>
      </c>
      <c r="P380" s="14">
        <f t="shared" si="17"/>
        <v>2600748</v>
      </c>
      <c r="Q380" s="14" t="str">
        <f t="shared" si="15"/>
        <v/>
      </c>
      <c r="R380" s="14" t="str">
        <f t="shared" si="15"/>
        <v/>
      </c>
      <c r="S380" s="14" t="str">
        <f t="shared" si="16"/>
        <v/>
      </c>
      <c r="T380" s="14" t="s">
        <v>72</v>
      </c>
      <c r="U380" s="14">
        <v>673.24566399171624</v>
      </c>
      <c r="V380">
        <v>5305</v>
      </c>
      <c r="W380">
        <v>33.859429931640598</v>
      </c>
      <c r="X380">
        <v>12.062550067731401</v>
      </c>
      <c r="Y380">
        <v>4.6417166061671802</v>
      </c>
      <c r="Z380" s="31">
        <v>1.9998196573178699</v>
      </c>
      <c r="AA380">
        <v>3.22917061486711</v>
      </c>
      <c r="AB380">
        <v>7.0000000000000007E-2</v>
      </c>
      <c r="AC380">
        <v>247701.46467762801</v>
      </c>
      <c r="AD380">
        <v>280100.81625746179</v>
      </c>
      <c r="AE380">
        <v>1</v>
      </c>
      <c r="AF380">
        <v>1130.9078054001179</v>
      </c>
      <c r="AG380">
        <v>3970.877729550717</v>
      </c>
    </row>
    <row r="381" spans="2:33" hidden="1" x14ac:dyDescent="0.25">
      <c r="B381">
        <v>8</v>
      </c>
      <c r="C381" t="s">
        <v>37</v>
      </c>
      <c r="D381" t="s">
        <v>28</v>
      </c>
      <c r="E381" t="s">
        <v>67</v>
      </c>
      <c r="F381">
        <v>410729</v>
      </c>
      <c r="G381">
        <v>412157</v>
      </c>
      <c r="H381">
        <v>20</v>
      </c>
      <c r="I381" s="2">
        <v>2212</v>
      </c>
      <c r="J381">
        <v>0.91314717449903804</v>
      </c>
      <c r="K381">
        <v>31977</v>
      </c>
      <c r="L381">
        <v>1303216</v>
      </c>
      <c r="M381">
        <v>41631</v>
      </c>
      <c r="N381">
        <v>257528</v>
      </c>
      <c r="O381" s="43">
        <v>62531028</v>
      </c>
      <c r="P381" s="14">
        <f t="shared" si="17"/>
        <v>4862268</v>
      </c>
      <c r="Q381" s="14" t="str">
        <f t="shared" si="15"/>
        <v/>
      </c>
      <c r="R381" s="14" t="str">
        <f t="shared" si="15"/>
        <v/>
      </c>
      <c r="S381" s="14" t="str">
        <f t="shared" si="16"/>
        <v/>
      </c>
      <c r="T381" s="14" t="s">
        <v>72</v>
      </c>
      <c r="U381" s="14">
        <v>2198.1320072332733</v>
      </c>
      <c r="V381">
        <v>5305</v>
      </c>
      <c r="W381">
        <v>32.420159912109398</v>
      </c>
      <c r="X381">
        <v>19.010231052025599</v>
      </c>
      <c r="Y381">
        <v>3.9433500918347102</v>
      </c>
      <c r="Z381" s="31">
        <v>1.50783114610147</v>
      </c>
      <c r="AA381">
        <v>1.8569046062004499</v>
      </c>
      <c r="AB381">
        <v>7.0000000000000007E-2</v>
      </c>
      <c r="AC381">
        <v>247701.46467762801</v>
      </c>
      <c r="AD381">
        <v>280100.81625746179</v>
      </c>
      <c r="AE381">
        <v>1</v>
      </c>
      <c r="AF381">
        <v>1130.9078054001179</v>
      </c>
      <c r="AG381">
        <v>3970.877729550717</v>
      </c>
    </row>
    <row r="382" spans="2:33" hidden="1" x14ac:dyDescent="0.25">
      <c r="B382">
        <v>8</v>
      </c>
      <c r="C382" t="s">
        <v>37</v>
      </c>
      <c r="D382" t="s">
        <v>28</v>
      </c>
      <c r="E382" t="s">
        <v>67</v>
      </c>
      <c r="F382">
        <v>412157</v>
      </c>
      <c r="G382">
        <v>412157</v>
      </c>
      <c r="H382">
        <v>21</v>
      </c>
      <c r="I382" s="2">
        <v>838</v>
      </c>
      <c r="J382">
        <v>0.1385879652656633</v>
      </c>
      <c r="K382">
        <v>31977</v>
      </c>
      <c r="L382">
        <v>1303216</v>
      </c>
      <c r="M382">
        <v>41631</v>
      </c>
      <c r="N382">
        <v>257528</v>
      </c>
      <c r="O382" s="43">
        <v>64792548</v>
      </c>
      <c r="P382" s="14">
        <f t="shared" si="17"/>
        <v>2261520</v>
      </c>
      <c r="Q382" s="14" t="str">
        <f t="shared" si="15"/>
        <v/>
      </c>
      <c r="R382" s="14" t="str">
        <f t="shared" si="15"/>
        <v/>
      </c>
      <c r="S382" s="14" t="str">
        <f t="shared" si="16"/>
        <v/>
      </c>
      <c r="T382" s="14" t="s">
        <v>72</v>
      </c>
      <c r="U382" s="14">
        <v>2698.7112171837707</v>
      </c>
      <c r="V382">
        <v>5305</v>
      </c>
      <c r="W382">
        <v>29.920678710937501</v>
      </c>
      <c r="X382">
        <v>24.933729801347798</v>
      </c>
      <c r="Y382">
        <v>3.1707789741843899</v>
      </c>
      <c r="Z382" s="31">
        <v>1.38003556505502</v>
      </c>
      <c r="AA382">
        <v>1.0246901795735599</v>
      </c>
      <c r="AB382">
        <v>7.0000000000000007E-2</v>
      </c>
      <c r="AC382">
        <v>247701.46467762801</v>
      </c>
      <c r="AD382">
        <v>280100.81625746179</v>
      </c>
      <c r="AE382">
        <v>1</v>
      </c>
      <c r="AF382">
        <v>1130.9078054001179</v>
      </c>
      <c r="AG382">
        <v>3970.877729550717</v>
      </c>
    </row>
    <row r="383" spans="2:33" hidden="1" x14ac:dyDescent="0.25">
      <c r="B383">
        <v>8</v>
      </c>
      <c r="C383" t="s">
        <v>37</v>
      </c>
      <c r="D383" t="s">
        <v>28</v>
      </c>
      <c r="E383" t="s">
        <v>67</v>
      </c>
      <c r="F383">
        <v>412157</v>
      </c>
      <c r="G383">
        <v>412157</v>
      </c>
      <c r="H383">
        <v>22</v>
      </c>
      <c r="I383" s="2">
        <v>0</v>
      </c>
      <c r="J383">
        <v>0</v>
      </c>
      <c r="K383">
        <v>31977</v>
      </c>
      <c r="L383">
        <v>1303216</v>
      </c>
      <c r="M383">
        <v>41631</v>
      </c>
      <c r="N383">
        <v>257528</v>
      </c>
      <c r="O383" s="43">
        <v>69541740</v>
      </c>
      <c r="P383" s="14">
        <f t="shared" si="17"/>
        <v>4749192</v>
      </c>
      <c r="Q383" s="14" t="str">
        <f t="shared" si="15"/>
        <v/>
      </c>
      <c r="R383" s="14" t="str">
        <f t="shared" si="15"/>
        <v/>
      </c>
      <c r="S383" s="14" t="str">
        <f t="shared" si="16"/>
        <v/>
      </c>
      <c r="T383" s="14" t="s">
        <v>72</v>
      </c>
      <c r="U383" s="14">
        <v>0</v>
      </c>
      <c r="V383">
        <v>5305</v>
      </c>
      <c r="W383">
        <v>32.657952880859398</v>
      </c>
      <c r="X383">
        <v>19.881860600145501</v>
      </c>
      <c r="Y383">
        <v>3.9533214796098002</v>
      </c>
      <c r="Z383" s="31">
        <v>1.3129066962043301</v>
      </c>
      <c r="AA383">
        <v>1.87444445655064</v>
      </c>
      <c r="AB383">
        <v>7.0000000000000007E-2</v>
      </c>
      <c r="AC383">
        <v>247701.46467762801</v>
      </c>
      <c r="AD383">
        <v>280100.81625746179</v>
      </c>
      <c r="AE383">
        <v>1</v>
      </c>
      <c r="AF383">
        <v>1130.9078054001179</v>
      </c>
      <c r="AG383">
        <v>3970.877729550717</v>
      </c>
    </row>
    <row r="384" spans="2:33" hidden="1" x14ac:dyDescent="0.25">
      <c r="B384">
        <v>8</v>
      </c>
      <c r="C384" t="s">
        <v>37</v>
      </c>
      <c r="D384" t="s">
        <v>28</v>
      </c>
      <c r="E384" t="s">
        <v>67</v>
      </c>
      <c r="F384">
        <v>412157</v>
      </c>
      <c r="G384">
        <v>412157</v>
      </c>
      <c r="H384">
        <v>23</v>
      </c>
      <c r="I384" s="2">
        <v>9409</v>
      </c>
      <c r="J384">
        <v>0</v>
      </c>
      <c r="K384">
        <v>31977</v>
      </c>
      <c r="L384">
        <v>1303216</v>
      </c>
      <c r="M384">
        <v>41631</v>
      </c>
      <c r="N384">
        <v>257528</v>
      </c>
      <c r="O384" s="43">
        <v>73160172</v>
      </c>
      <c r="P384" s="14">
        <f t="shared" si="17"/>
        <v>3618432</v>
      </c>
      <c r="Q384" s="14" t="str">
        <f t="shared" si="15"/>
        <v/>
      </c>
      <c r="R384" s="14" t="str">
        <f t="shared" si="15"/>
        <v/>
      </c>
      <c r="S384" s="14" t="str">
        <f t="shared" si="16"/>
        <v/>
      </c>
      <c r="T384" s="14" t="s">
        <v>72</v>
      </c>
      <c r="U384" s="14">
        <v>384.57136783930281</v>
      </c>
      <c r="V384">
        <v>5305</v>
      </c>
      <c r="W384">
        <v>33.905389404296898</v>
      </c>
      <c r="X384">
        <v>15.209382144913301</v>
      </c>
      <c r="Y384">
        <v>4.48671491959478</v>
      </c>
      <c r="Z384" s="31">
        <v>3.7232341400681999</v>
      </c>
      <c r="AA384">
        <v>5.8524818749007199</v>
      </c>
      <c r="AB384">
        <v>7.0000000000000007E-2</v>
      </c>
      <c r="AC384">
        <v>247701.46467762801</v>
      </c>
      <c r="AD384">
        <v>280100.81625746179</v>
      </c>
      <c r="AE384">
        <v>1</v>
      </c>
      <c r="AF384">
        <v>1130.9078054001179</v>
      </c>
      <c r="AG384">
        <v>3970.877729550717</v>
      </c>
    </row>
    <row r="385" spans="1:33" hidden="1" x14ac:dyDescent="0.25">
      <c r="B385">
        <v>8</v>
      </c>
      <c r="C385" t="s">
        <v>37</v>
      </c>
      <c r="D385" t="s">
        <v>28</v>
      </c>
      <c r="E385" t="s">
        <v>67</v>
      </c>
      <c r="F385">
        <v>412157</v>
      </c>
      <c r="G385">
        <v>412157</v>
      </c>
      <c r="H385">
        <v>24</v>
      </c>
      <c r="I385" s="2">
        <v>1428</v>
      </c>
      <c r="J385">
        <v>0</v>
      </c>
      <c r="K385">
        <v>31977</v>
      </c>
      <c r="L385">
        <v>1303216</v>
      </c>
      <c r="M385">
        <v>41631</v>
      </c>
      <c r="N385">
        <v>257528</v>
      </c>
      <c r="O385" s="43">
        <v>76213224</v>
      </c>
      <c r="P385" s="14">
        <f t="shared" si="17"/>
        <v>3053052</v>
      </c>
      <c r="Q385" s="14" t="str">
        <f t="shared" si="15"/>
        <v/>
      </c>
      <c r="R385" s="14" t="str">
        <f t="shared" si="15"/>
        <v/>
      </c>
      <c r="S385" s="14" t="str">
        <f t="shared" si="16"/>
        <v/>
      </c>
      <c r="T385" s="14" t="s">
        <v>72</v>
      </c>
      <c r="U385" s="14">
        <v>2137.9915966386557</v>
      </c>
      <c r="V385">
        <v>5305</v>
      </c>
      <c r="W385">
        <v>32.386376953125001</v>
      </c>
      <c r="X385">
        <v>15.3588438771905</v>
      </c>
      <c r="Y385">
        <v>4.1136850265055598</v>
      </c>
      <c r="Z385" s="31">
        <v>4.3724554514048597</v>
      </c>
      <c r="AA385">
        <v>7.0657022069883899</v>
      </c>
      <c r="AB385">
        <v>7.0000000000000007E-2</v>
      </c>
      <c r="AC385">
        <v>247701.46467762801</v>
      </c>
      <c r="AD385">
        <v>280100.81625746179</v>
      </c>
      <c r="AE385">
        <v>1</v>
      </c>
      <c r="AF385">
        <v>1130.9078054001179</v>
      </c>
      <c r="AG385">
        <v>3970.877729550717</v>
      </c>
    </row>
    <row r="386" spans="1:33" hidden="1" x14ac:dyDescent="0.25">
      <c r="B386">
        <v>8</v>
      </c>
      <c r="C386" t="s">
        <v>37</v>
      </c>
      <c r="D386" t="s">
        <v>28</v>
      </c>
      <c r="E386" t="s">
        <v>67</v>
      </c>
      <c r="F386">
        <v>412157</v>
      </c>
      <c r="G386">
        <v>412157</v>
      </c>
      <c r="H386">
        <v>25</v>
      </c>
      <c r="I386" s="2">
        <v>0</v>
      </c>
      <c r="J386">
        <v>0</v>
      </c>
      <c r="K386">
        <v>31977</v>
      </c>
      <c r="L386">
        <v>1303216</v>
      </c>
      <c r="M386">
        <v>41631</v>
      </c>
      <c r="N386">
        <v>257528</v>
      </c>
      <c r="O386" s="43">
        <v>79831656</v>
      </c>
      <c r="P386" s="14">
        <f t="shared" si="17"/>
        <v>3618432</v>
      </c>
      <c r="Q386" s="14" t="str">
        <f t="shared" si="15"/>
        <v/>
      </c>
      <c r="R386" s="14" t="str">
        <f t="shared" si="15"/>
        <v/>
      </c>
      <c r="S386" s="14" t="str">
        <f t="shared" si="16"/>
        <v/>
      </c>
      <c r="T386" s="14" t="s">
        <v>72</v>
      </c>
      <c r="U386" s="14">
        <v>0</v>
      </c>
      <c r="V386">
        <v>5305</v>
      </c>
      <c r="W386">
        <v>21.150659179687501</v>
      </c>
      <c r="X386">
        <v>14.004132349085699</v>
      </c>
      <c r="Y386">
        <v>2.1601664886741001</v>
      </c>
      <c r="Z386" s="31">
        <v>5.30693444911733</v>
      </c>
      <c r="AA386">
        <v>8.3765626091117404</v>
      </c>
      <c r="AB386">
        <v>7.0000000000000007E-2</v>
      </c>
      <c r="AC386">
        <v>247701.46467762801</v>
      </c>
      <c r="AD386">
        <v>280100.81625746179</v>
      </c>
      <c r="AE386">
        <v>1</v>
      </c>
      <c r="AF386">
        <v>1130.9078054001179</v>
      </c>
      <c r="AG386">
        <v>3970.877729550717</v>
      </c>
    </row>
    <row r="387" spans="1:33" hidden="1" x14ac:dyDescent="0.25">
      <c r="B387">
        <v>8</v>
      </c>
      <c r="C387" t="s">
        <v>37</v>
      </c>
      <c r="D387" t="s">
        <v>28</v>
      </c>
      <c r="E387" t="s">
        <v>67</v>
      </c>
      <c r="F387">
        <v>412157</v>
      </c>
      <c r="G387">
        <v>412157</v>
      </c>
      <c r="H387">
        <v>26</v>
      </c>
      <c r="I387" s="2">
        <v>0</v>
      </c>
      <c r="J387">
        <v>0</v>
      </c>
      <c r="K387">
        <v>31977</v>
      </c>
      <c r="L387">
        <v>1303216</v>
      </c>
      <c r="M387">
        <v>41631</v>
      </c>
      <c r="N387">
        <v>257528</v>
      </c>
      <c r="O387" s="43">
        <v>82432404</v>
      </c>
      <c r="P387" s="14">
        <f t="shared" si="17"/>
        <v>2600748</v>
      </c>
      <c r="Q387" s="14" t="str">
        <f t="shared" ref="Q387:R450" si="18">IF(P387&gt;=0,"",P387)</f>
        <v/>
      </c>
      <c r="R387" s="14" t="str">
        <f t="shared" si="18"/>
        <v/>
      </c>
      <c r="S387" s="14" t="str">
        <f t="shared" ref="S387:S450" si="19">IFERROR(IF(ISNA(Q387),NA(),Q387^2),"")</f>
        <v/>
      </c>
      <c r="T387" s="14" t="s">
        <v>72</v>
      </c>
      <c r="U387" s="14">
        <v>0</v>
      </c>
      <c r="V387">
        <v>5305</v>
      </c>
      <c r="W387">
        <v>19.470300292968801</v>
      </c>
      <c r="X387">
        <v>31.124068771771601</v>
      </c>
      <c r="Y387">
        <v>1.5596936659329601</v>
      </c>
      <c r="Z387" s="31">
        <v>5.4142667085425797</v>
      </c>
      <c r="AA387">
        <v>10.655072140361201</v>
      </c>
      <c r="AB387">
        <v>7.0000000000000007E-2</v>
      </c>
      <c r="AC387">
        <v>247701.46467762801</v>
      </c>
      <c r="AD387">
        <v>280100.81625746179</v>
      </c>
      <c r="AE387">
        <v>1</v>
      </c>
      <c r="AF387">
        <v>1130.9078054001179</v>
      </c>
      <c r="AG387">
        <v>3970.877729550717</v>
      </c>
    </row>
    <row r="388" spans="1:33" hidden="1" x14ac:dyDescent="0.25">
      <c r="B388">
        <v>8</v>
      </c>
      <c r="C388" t="s">
        <v>37</v>
      </c>
      <c r="D388" t="s">
        <v>28</v>
      </c>
      <c r="E388" t="s">
        <v>67</v>
      </c>
      <c r="F388">
        <v>412157</v>
      </c>
      <c r="G388">
        <v>412157</v>
      </c>
      <c r="H388">
        <v>27</v>
      </c>
      <c r="I388" s="2">
        <v>0</v>
      </c>
      <c r="J388">
        <v>0</v>
      </c>
      <c r="K388">
        <v>31977</v>
      </c>
      <c r="L388">
        <v>1303216</v>
      </c>
      <c r="M388">
        <v>41631</v>
      </c>
      <c r="N388">
        <v>257528</v>
      </c>
      <c r="O388" s="43">
        <v>85485456</v>
      </c>
      <c r="P388" s="14">
        <f t="shared" ref="P388:P451" si="20">O388-O387</f>
        <v>3053052</v>
      </c>
      <c r="Q388" s="14" t="str">
        <f t="shared" si="18"/>
        <v/>
      </c>
      <c r="R388" s="14" t="str">
        <f t="shared" si="18"/>
        <v/>
      </c>
      <c r="S388" s="14" t="str">
        <f t="shared" si="19"/>
        <v/>
      </c>
      <c r="T388" s="14" t="s">
        <v>72</v>
      </c>
      <c r="U388" s="14">
        <v>0</v>
      </c>
      <c r="V388">
        <v>5305</v>
      </c>
      <c r="W388">
        <v>24.120141601562501</v>
      </c>
      <c r="X388">
        <v>25.327521551082601</v>
      </c>
      <c r="Y388">
        <v>2.2453311871570301</v>
      </c>
      <c r="Z388" s="31">
        <v>3.8407345566595201</v>
      </c>
      <c r="AA388">
        <v>6.9532914590633403</v>
      </c>
      <c r="AB388">
        <v>7.0000000000000007E-2</v>
      </c>
      <c r="AC388">
        <v>247701.46467762801</v>
      </c>
      <c r="AD388">
        <v>280100.81625746179</v>
      </c>
      <c r="AE388">
        <v>1</v>
      </c>
      <c r="AF388">
        <v>1130.9078054001179</v>
      </c>
      <c r="AG388">
        <v>3970.877729550717</v>
      </c>
    </row>
    <row r="389" spans="1:33" hidden="1" x14ac:dyDescent="0.25">
      <c r="B389">
        <v>8</v>
      </c>
      <c r="C389" t="s">
        <v>37</v>
      </c>
      <c r="D389" t="s">
        <v>28</v>
      </c>
      <c r="E389" t="s">
        <v>67</v>
      </c>
      <c r="F389">
        <v>412157</v>
      </c>
      <c r="G389">
        <v>412157</v>
      </c>
      <c r="H389">
        <v>28</v>
      </c>
      <c r="I389" s="2">
        <v>0</v>
      </c>
      <c r="J389">
        <v>0</v>
      </c>
      <c r="K389">
        <v>31977</v>
      </c>
      <c r="L389">
        <v>1303216</v>
      </c>
      <c r="M389">
        <v>41631</v>
      </c>
      <c r="N389">
        <v>257528</v>
      </c>
      <c r="O389" s="43">
        <v>88651584</v>
      </c>
      <c r="P389" s="14">
        <f t="shared" si="20"/>
        <v>3166128</v>
      </c>
      <c r="Q389" s="14" t="str">
        <f t="shared" si="18"/>
        <v/>
      </c>
      <c r="R389" s="14" t="str">
        <f t="shared" si="18"/>
        <v/>
      </c>
      <c r="S389" s="14" t="str">
        <f t="shared" si="19"/>
        <v/>
      </c>
      <c r="T389" s="14" t="s">
        <v>72</v>
      </c>
      <c r="U389" s="14">
        <v>0</v>
      </c>
      <c r="V389">
        <v>5305</v>
      </c>
      <c r="W389">
        <v>26.162011718750001</v>
      </c>
      <c r="X389">
        <v>14.3591422457382</v>
      </c>
      <c r="Y389">
        <v>2.9077912140384199</v>
      </c>
      <c r="Z389" s="31">
        <v>3.47943819380458</v>
      </c>
      <c r="AA389">
        <v>5.4635816423205901</v>
      </c>
      <c r="AB389">
        <v>7.0000000000000007E-2</v>
      </c>
      <c r="AC389">
        <v>247701.46467762801</v>
      </c>
      <c r="AD389">
        <v>280100.81625746179</v>
      </c>
      <c r="AE389">
        <v>1</v>
      </c>
      <c r="AF389">
        <v>1130.9078054001179</v>
      </c>
      <c r="AG389">
        <v>3970.877729550717</v>
      </c>
    </row>
    <row r="390" spans="1:33" hidden="1" x14ac:dyDescent="0.25">
      <c r="B390">
        <v>8</v>
      </c>
      <c r="C390" t="s">
        <v>37</v>
      </c>
      <c r="D390" t="s">
        <v>28</v>
      </c>
      <c r="E390" t="s">
        <v>67</v>
      </c>
      <c r="F390">
        <v>412157</v>
      </c>
      <c r="G390">
        <v>412157</v>
      </c>
      <c r="H390">
        <v>29</v>
      </c>
      <c r="I390" s="2">
        <v>0</v>
      </c>
      <c r="J390">
        <v>0</v>
      </c>
      <c r="K390">
        <v>31977</v>
      </c>
      <c r="L390">
        <v>1303216</v>
      </c>
      <c r="M390">
        <v>41631</v>
      </c>
      <c r="N390">
        <v>257528</v>
      </c>
      <c r="O390" s="43">
        <v>92156940</v>
      </c>
      <c r="P390" s="14">
        <f t="shared" si="20"/>
        <v>3505356</v>
      </c>
      <c r="Q390" s="14" t="str">
        <f t="shared" si="18"/>
        <v/>
      </c>
      <c r="R390" s="14" t="str">
        <f t="shared" si="18"/>
        <v/>
      </c>
      <c r="S390" s="14" t="str">
        <f t="shared" si="19"/>
        <v/>
      </c>
      <c r="T390" s="14" t="s">
        <v>72</v>
      </c>
      <c r="U390" s="14">
        <v>0</v>
      </c>
      <c r="V390">
        <v>5305</v>
      </c>
      <c r="W390">
        <v>21.856958007812501</v>
      </c>
      <c r="X390">
        <v>18.9875971006227</v>
      </c>
      <c r="Y390">
        <v>2.1247625943337498</v>
      </c>
      <c r="Z390" s="31">
        <v>3.2227962070476002</v>
      </c>
      <c r="AA390">
        <v>5.7225129712529004</v>
      </c>
      <c r="AB390">
        <v>7.0000000000000007E-2</v>
      </c>
      <c r="AC390">
        <v>247701.46467762801</v>
      </c>
      <c r="AD390">
        <v>280100.81625746179</v>
      </c>
      <c r="AE390">
        <v>1</v>
      </c>
      <c r="AF390">
        <v>1130.9078054001179</v>
      </c>
      <c r="AG390">
        <v>3970.877729550717</v>
      </c>
    </row>
    <row r="391" spans="1:33" hidden="1" x14ac:dyDescent="0.25">
      <c r="B391">
        <v>8</v>
      </c>
      <c r="C391" t="s">
        <v>37</v>
      </c>
      <c r="D391" t="s">
        <v>28</v>
      </c>
      <c r="E391" t="s">
        <v>67</v>
      </c>
      <c r="F391">
        <v>412157</v>
      </c>
      <c r="G391">
        <v>412157</v>
      </c>
      <c r="H391">
        <v>30</v>
      </c>
      <c r="I391" s="2">
        <v>0</v>
      </c>
      <c r="J391">
        <v>0</v>
      </c>
      <c r="K391">
        <v>31977</v>
      </c>
      <c r="L391">
        <v>1303216</v>
      </c>
      <c r="M391">
        <v>41631</v>
      </c>
      <c r="N391">
        <v>257528</v>
      </c>
      <c r="O391" s="43">
        <v>95096916</v>
      </c>
      <c r="P391" s="14">
        <f t="shared" si="20"/>
        <v>2939976</v>
      </c>
      <c r="Q391" s="14" t="str">
        <f t="shared" si="18"/>
        <v/>
      </c>
      <c r="R391" s="14" t="str">
        <f t="shared" si="18"/>
        <v/>
      </c>
      <c r="S391" s="14" t="str">
        <f t="shared" si="19"/>
        <v/>
      </c>
      <c r="T391" s="14" t="s">
        <v>72</v>
      </c>
      <c r="U391" s="14">
        <v>0</v>
      </c>
      <c r="V391">
        <v>5305</v>
      </c>
      <c r="W391">
        <v>25.677301025390602</v>
      </c>
      <c r="X391">
        <v>13.1423367356496</v>
      </c>
      <c r="Y391">
        <v>2.86584984393168</v>
      </c>
      <c r="Z391" s="31">
        <v>4.2219571843972403</v>
      </c>
      <c r="AA391">
        <v>7.0320804954843901</v>
      </c>
      <c r="AB391">
        <v>7.0000000000000007E-2</v>
      </c>
      <c r="AC391">
        <v>247701.46467762801</v>
      </c>
      <c r="AD391">
        <v>280100.81625746179</v>
      </c>
      <c r="AE391">
        <v>1</v>
      </c>
      <c r="AF391">
        <v>1130.9078054001179</v>
      </c>
      <c r="AG391">
        <v>3970.877729550717</v>
      </c>
    </row>
    <row r="392" spans="1:33" hidden="1" x14ac:dyDescent="0.25">
      <c r="B392">
        <v>8</v>
      </c>
      <c r="C392" t="s">
        <v>37</v>
      </c>
      <c r="D392" t="s">
        <v>28</v>
      </c>
      <c r="E392" t="s">
        <v>67</v>
      </c>
      <c r="F392">
        <v>412157</v>
      </c>
      <c r="G392">
        <v>412157</v>
      </c>
      <c r="H392">
        <v>31</v>
      </c>
      <c r="I392" s="2">
        <v>0</v>
      </c>
      <c r="J392">
        <v>0</v>
      </c>
      <c r="K392">
        <v>31977</v>
      </c>
      <c r="L392">
        <v>1303216</v>
      </c>
      <c r="M392">
        <v>41631</v>
      </c>
      <c r="N392">
        <v>257528</v>
      </c>
      <c r="O392" s="43">
        <v>98376120</v>
      </c>
      <c r="P392" s="14">
        <f t="shared" si="20"/>
        <v>3279204</v>
      </c>
      <c r="Q392" s="14" t="str">
        <f t="shared" si="18"/>
        <v/>
      </c>
      <c r="R392" s="14" t="str">
        <f t="shared" si="18"/>
        <v/>
      </c>
      <c r="S392" s="14" t="str">
        <f t="shared" si="19"/>
        <v/>
      </c>
      <c r="T392" s="14" t="s">
        <v>72</v>
      </c>
      <c r="U392" s="14">
        <v>0</v>
      </c>
      <c r="V392">
        <v>5305</v>
      </c>
      <c r="W392">
        <v>26.149926757812501</v>
      </c>
      <c r="X392">
        <v>14.131094378273501</v>
      </c>
      <c r="Y392">
        <v>2.9134620290428899</v>
      </c>
      <c r="Z392" s="31">
        <v>2.5842281379393102</v>
      </c>
      <c r="AA392">
        <v>4.6183359562731701</v>
      </c>
      <c r="AB392">
        <v>7.0000000000000007E-2</v>
      </c>
      <c r="AC392">
        <v>247701.46467762801</v>
      </c>
      <c r="AD392">
        <v>280100.81625746179</v>
      </c>
      <c r="AE392">
        <v>1</v>
      </c>
      <c r="AF392">
        <v>1130.9078054001179</v>
      </c>
      <c r="AG392">
        <v>3970.877729550717</v>
      </c>
    </row>
    <row r="393" spans="1:33" hidden="1" x14ac:dyDescent="0.25">
      <c r="B393">
        <v>8</v>
      </c>
      <c r="C393" t="s">
        <v>37</v>
      </c>
      <c r="D393" t="s">
        <v>28</v>
      </c>
      <c r="E393" t="s">
        <v>67</v>
      </c>
      <c r="F393">
        <v>412157</v>
      </c>
      <c r="G393">
        <v>412157</v>
      </c>
      <c r="H393">
        <v>32</v>
      </c>
      <c r="I393" s="2">
        <v>0</v>
      </c>
      <c r="J393">
        <v>0</v>
      </c>
      <c r="K393">
        <v>31977</v>
      </c>
      <c r="L393">
        <v>1303216</v>
      </c>
      <c r="M393">
        <v>41631</v>
      </c>
      <c r="N393">
        <v>257528</v>
      </c>
      <c r="O393" s="43">
        <v>100976868</v>
      </c>
      <c r="P393" s="14">
        <f t="shared" si="20"/>
        <v>2600748</v>
      </c>
      <c r="Q393" s="14" t="str">
        <f t="shared" si="18"/>
        <v/>
      </c>
      <c r="R393" s="14" t="str">
        <f t="shared" si="18"/>
        <v/>
      </c>
      <c r="S393" s="14" t="str">
        <f t="shared" si="19"/>
        <v/>
      </c>
      <c r="T393" s="14" t="s">
        <v>72</v>
      </c>
      <c r="U393" s="14">
        <v>0</v>
      </c>
      <c r="V393">
        <v>5305</v>
      </c>
      <c r="W393">
        <v>25.918206787109401</v>
      </c>
      <c r="X393">
        <v>17.010259559562801</v>
      </c>
      <c r="Y393">
        <v>2.7774344942160201</v>
      </c>
      <c r="Z393" s="31">
        <v>3.3133860491951901</v>
      </c>
      <c r="AA393">
        <v>5.4203317375548199</v>
      </c>
      <c r="AB393">
        <v>7.0000000000000007E-2</v>
      </c>
      <c r="AC393">
        <v>247701.46467762801</v>
      </c>
      <c r="AD393">
        <v>280100.81625746179</v>
      </c>
      <c r="AE393">
        <v>1</v>
      </c>
      <c r="AF393">
        <v>1130.9078054001179</v>
      </c>
      <c r="AG393">
        <v>3970.877729550717</v>
      </c>
    </row>
    <row r="394" spans="1:33" hidden="1" x14ac:dyDescent="0.25">
      <c r="B394">
        <v>8</v>
      </c>
      <c r="C394" t="s">
        <v>37</v>
      </c>
      <c r="D394" t="s">
        <v>28</v>
      </c>
      <c r="E394" t="s">
        <v>67</v>
      </c>
      <c r="F394">
        <v>412157</v>
      </c>
      <c r="G394">
        <v>412157</v>
      </c>
      <c r="H394">
        <v>33</v>
      </c>
      <c r="I394" s="2">
        <v>0</v>
      </c>
      <c r="J394">
        <v>0</v>
      </c>
      <c r="K394">
        <v>31977</v>
      </c>
      <c r="L394">
        <v>1303216</v>
      </c>
      <c r="M394">
        <v>41631</v>
      </c>
      <c r="N394">
        <v>257528</v>
      </c>
      <c r="O394" s="43">
        <v>103125312</v>
      </c>
      <c r="P394" s="14">
        <f t="shared" si="20"/>
        <v>2148444</v>
      </c>
      <c r="Q394" s="14" t="str">
        <f t="shared" si="18"/>
        <v/>
      </c>
      <c r="R394" s="14" t="str">
        <f t="shared" si="18"/>
        <v/>
      </c>
      <c r="S394" s="14" t="str">
        <f t="shared" si="19"/>
        <v/>
      </c>
      <c r="T394" s="14" t="s">
        <v>72</v>
      </c>
      <c r="U394" s="14">
        <v>0</v>
      </c>
      <c r="V394">
        <v>5305</v>
      </c>
      <c r="W394">
        <v>25.266442871093702</v>
      </c>
      <c r="X394">
        <v>14.941628347076801</v>
      </c>
      <c r="Y394">
        <v>2.7389007558443801</v>
      </c>
      <c r="Z394" s="31">
        <v>5.0234243183876996</v>
      </c>
      <c r="AA394">
        <v>8.4514419480359706</v>
      </c>
      <c r="AB394">
        <v>7.0000000000000007E-2</v>
      </c>
      <c r="AC394">
        <v>247701.46467762801</v>
      </c>
      <c r="AD394">
        <v>280100.81625746179</v>
      </c>
      <c r="AE394">
        <v>1</v>
      </c>
      <c r="AF394">
        <v>1130.9078054001179</v>
      </c>
      <c r="AG394">
        <v>3970.877729550717</v>
      </c>
    </row>
    <row r="395" spans="1:33" hidden="1" x14ac:dyDescent="0.25">
      <c r="B395">
        <v>8</v>
      </c>
      <c r="C395" t="s">
        <v>37</v>
      </c>
      <c r="D395" t="s">
        <v>28</v>
      </c>
      <c r="E395" t="s">
        <v>67</v>
      </c>
      <c r="F395">
        <v>412157</v>
      </c>
      <c r="G395">
        <v>412157</v>
      </c>
      <c r="H395">
        <v>34</v>
      </c>
      <c r="I395" s="2">
        <v>0</v>
      </c>
      <c r="J395">
        <v>0</v>
      </c>
      <c r="K395">
        <v>31977</v>
      </c>
      <c r="L395">
        <v>1303216</v>
      </c>
      <c r="M395">
        <v>41631</v>
      </c>
      <c r="N395">
        <v>257528</v>
      </c>
      <c r="O395" s="43">
        <v>105386832</v>
      </c>
      <c r="P395" s="14">
        <f t="shared" si="20"/>
        <v>2261520</v>
      </c>
      <c r="Q395" s="14" t="str">
        <f t="shared" si="18"/>
        <v/>
      </c>
      <c r="R395" s="14" t="str">
        <f t="shared" si="18"/>
        <v/>
      </c>
      <c r="S395" s="14" t="str">
        <f t="shared" si="19"/>
        <v/>
      </c>
      <c r="T395" s="14" t="s">
        <v>72</v>
      </c>
      <c r="U395" s="14">
        <v>0</v>
      </c>
      <c r="V395">
        <v>5305</v>
      </c>
      <c r="W395">
        <v>26.251306152343702</v>
      </c>
      <c r="X395">
        <v>17.711699193710299</v>
      </c>
      <c r="Y395">
        <v>2.8086095847939099</v>
      </c>
      <c r="Z395" s="31">
        <v>3.2982033328234301</v>
      </c>
      <c r="AA395">
        <v>5.44431659380722</v>
      </c>
      <c r="AB395">
        <v>7.0000000000000007E-2</v>
      </c>
      <c r="AC395">
        <v>247701.46467762801</v>
      </c>
      <c r="AD395">
        <v>280100.81625746179</v>
      </c>
      <c r="AE395">
        <v>1</v>
      </c>
      <c r="AF395">
        <v>1130.9078054001179</v>
      </c>
      <c r="AG395">
        <v>3970.877729550717</v>
      </c>
    </row>
    <row r="396" spans="1:33" hidden="1" x14ac:dyDescent="0.25">
      <c r="B396">
        <v>8</v>
      </c>
      <c r="C396" t="s">
        <v>37</v>
      </c>
      <c r="D396" t="s">
        <v>28</v>
      </c>
      <c r="E396" t="s">
        <v>67</v>
      </c>
      <c r="F396">
        <v>412157</v>
      </c>
      <c r="G396">
        <v>412157</v>
      </c>
      <c r="H396">
        <v>35</v>
      </c>
      <c r="I396" s="2">
        <v>0</v>
      </c>
      <c r="J396">
        <v>0</v>
      </c>
      <c r="K396">
        <v>31977</v>
      </c>
      <c r="L396">
        <v>1303216</v>
      </c>
      <c r="M396">
        <v>41631</v>
      </c>
      <c r="N396">
        <v>257528</v>
      </c>
      <c r="O396" s="43">
        <v>108100656</v>
      </c>
      <c r="P396" s="14">
        <f t="shared" si="20"/>
        <v>2713824</v>
      </c>
      <c r="Q396" s="14" t="str">
        <f t="shared" si="18"/>
        <v/>
      </c>
      <c r="R396" s="14" t="str">
        <f t="shared" si="18"/>
        <v/>
      </c>
      <c r="S396" s="14" t="str">
        <f t="shared" si="19"/>
        <v/>
      </c>
      <c r="T396" s="14" t="s">
        <v>72</v>
      </c>
      <c r="U396" s="14">
        <v>0</v>
      </c>
      <c r="V396">
        <v>5305</v>
      </c>
      <c r="W396">
        <v>25.394982910156301</v>
      </c>
      <c r="X396">
        <v>15.342443116870699</v>
      </c>
      <c r="Y396">
        <v>2.7468654438640101</v>
      </c>
      <c r="Z396" s="31">
        <v>2.39278913837353</v>
      </c>
      <c r="AA396">
        <v>2.9818671669080201</v>
      </c>
      <c r="AB396">
        <v>7.0000000000000007E-2</v>
      </c>
      <c r="AC396">
        <v>247701.46467762801</v>
      </c>
      <c r="AD396">
        <v>280100.81625746179</v>
      </c>
      <c r="AE396">
        <v>1</v>
      </c>
      <c r="AF396">
        <v>1130.9078054001179</v>
      </c>
      <c r="AG396">
        <v>3970.877729550717</v>
      </c>
    </row>
    <row r="397" spans="1:33" hidden="1" x14ac:dyDescent="0.25">
      <c r="B397">
        <v>8</v>
      </c>
      <c r="C397" t="s">
        <v>37</v>
      </c>
      <c r="D397" t="s">
        <v>28</v>
      </c>
      <c r="E397" t="s">
        <v>67</v>
      </c>
      <c r="F397">
        <v>412157</v>
      </c>
      <c r="G397">
        <v>412157</v>
      </c>
      <c r="H397">
        <v>36</v>
      </c>
      <c r="I397" s="2">
        <v>0</v>
      </c>
      <c r="J397">
        <v>0</v>
      </c>
      <c r="K397">
        <v>31977</v>
      </c>
      <c r="L397">
        <v>1303216</v>
      </c>
      <c r="M397">
        <v>41631</v>
      </c>
      <c r="N397">
        <v>257528</v>
      </c>
      <c r="O397" s="43">
        <v>109909872</v>
      </c>
      <c r="P397" s="14">
        <f t="shared" si="20"/>
        <v>1809216</v>
      </c>
      <c r="Q397" s="14" t="str">
        <f t="shared" si="18"/>
        <v/>
      </c>
      <c r="R397" s="14" t="str">
        <f t="shared" si="18"/>
        <v/>
      </c>
      <c r="S397" s="14" t="str">
        <f t="shared" si="19"/>
        <v/>
      </c>
      <c r="T397" s="14" t="s">
        <v>72</v>
      </c>
      <c r="U397" s="14">
        <v>0</v>
      </c>
      <c r="V397">
        <v>5305</v>
      </c>
      <c r="W397">
        <v>28.216973876953102</v>
      </c>
      <c r="X397">
        <v>14.725250872686299</v>
      </c>
      <c r="Y397">
        <v>3.2654102054891299</v>
      </c>
      <c r="Z397" s="31">
        <v>1.62967661509829</v>
      </c>
      <c r="AA397">
        <v>0.70179077441161697</v>
      </c>
      <c r="AB397">
        <v>7.0000000000000007E-2</v>
      </c>
      <c r="AC397">
        <v>247701.46467762801</v>
      </c>
      <c r="AD397">
        <v>280100.81625746179</v>
      </c>
      <c r="AE397">
        <v>1</v>
      </c>
      <c r="AF397">
        <v>1130.9078054001179</v>
      </c>
      <c r="AG397">
        <v>3970.877729550717</v>
      </c>
    </row>
    <row r="398" spans="1:33" hidden="1" x14ac:dyDescent="0.25">
      <c r="B398">
        <v>8</v>
      </c>
      <c r="C398" t="s">
        <v>37</v>
      </c>
      <c r="D398" t="s">
        <v>28</v>
      </c>
      <c r="E398" t="s">
        <v>67</v>
      </c>
      <c r="F398">
        <v>412157</v>
      </c>
      <c r="G398">
        <v>412157</v>
      </c>
      <c r="H398">
        <v>37</v>
      </c>
      <c r="I398" s="2">
        <v>0</v>
      </c>
      <c r="J398">
        <v>0</v>
      </c>
      <c r="K398">
        <v>31977</v>
      </c>
      <c r="L398">
        <v>1303216</v>
      </c>
      <c r="M398">
        <v>41631</v>
      </c>
      <c r="N398">
        <v>257528</v>
      </c>
      <c r="O398" s="43">
        <v>111266784</v>
      </c>
      <c r="P398" s="14">
        <f t="shared" si="20"/>
        <v>1356912</v>
      </c>
      <c r="Q398" s="14" t="str">
        <f t="shared" si="18"/>
        <v/>
      </c>
      <c r="R398" s="14" t="str">
        <f t="shared" si="18"/>
        <v/>
      </c>
      <c r="S398" s="14" t="str">
        <f t="shared" si="19"/>
        <v/>
      </c>
      <c r="T398" s="14" t="s">
        <v>72</v>
      </c>
      <c r="U398" s="14">
        <v>0</v>
      </c>
      <c r="V398">
        <v>5305</v>
      </c>
      <c r="W398">
        <v>30.871331787109401</v>
      </c>
      <c r="X398">
        <v>10.7174848465932</v>
      </c>
      <c r="Y398">
        <v>3.98292793578806</v>
      </c>
      <c r="Z398" s="31">
        <v>4.3715465094536601</v>
      </c>
      <c r="AA398">
        <v>7.4051670261815703</v>
      </c>
      <c r="AB398">
        <v>7.0000000000000007E-2</v>
      </c>
      <c r="AC398">
        <v>247701.46467762801</v>
      </c>
      <c r="AD398">
        <v>280100.81625746179</v>
      </c>
      <c r="AE398">
        <v>1</v>
      </c>
      <c r="AF398">
        <v>1130.9078054001179</v>
      </c>
      <c r="AG398">
        <v>3970.877729550717</v>
      </c>
    </row>
    <row r="399" spans="1:33" hidden="1" x14ac:dyDescent="0.25">
      <c r="B399">
        <v>8</v>
      </c>
      <c r="C399" t="s">
        <v>37</v>
      </c>
      <c r="D399" t="s">
        <v>28</v>
      </c>
      <c r="E399" t="s">
        <v>67</v>
      </c>
      <c r="F399">
        <v>412157</v>
      </c>
      <c r="G399">
        <v>412157</v>
      </c>
      <c r="H399">
        <v>38</v>
      </c>
      <c r="I399" s="2">
        <v>0</v>
      </c>
      <c r="J399">
        <v>0</v>
      </c>
      <c r="K399">
        <v>31977</v>
      </c>
      <c r="L399">
        <v>1303216</v>
      </c>
      <c r="M399">
        <v>41631</v>
      </c>
      <c r="N399">
        <v>257528</v>
      </c>
      <c r="O399" s="43">
        <v>114093684</v>
      </c>
      <c r="P399" s="14">
        <f t="shared" si="20"/>
        <v>2826900</v>
      </c>
      <c r="Q399" s="14" t="str">
        <f t="shared" si="18"/>
        <v/>
      </c>
      <c r="R399" s="14" t="str">
        <f t="shared" si="18"/>
        <v/>
      </c>
      <c r="S399" s="14" t="str">
        <f t="shared" si="19"/>
        <v/>
      </c>
      <c r="T399" s="14" t="s">
        <v>72</v>
      </c>
      <c r="U399" s="14">
        <v>0</v>
      </c>
      <c r="V399">
        <v>5305</v>
      </c>
      <c r="W399">
        <v>27.749108886718801</v>
      </c>
      <c r="X399">
        <v>9.6893655618064098</v>
      </c>
      <c r="Y399">
        <v>3.3655335333131502</v>
      </c>
      <c r="Z399" s="31">
        <v>4.81633123566517</v>
      </c>
      <c r="AA399">
        <v>8.0963626818522307</v>
      </c>
      <c r="AB399">
        <v>7.0000000000000007E-2</v>
      </c>
      <c r="AC399">
        <v>247701.46467762801</v>
      </c>
      <c r="AD399">
        <v>280100.81625746179</v>
      </c>
      <c r="AE399">
        <v>1</v>
      </c>
      <c r="AF399">
        <v>1130.9078054001179</v>
      </c>
      <c r="AG399">
        <v>3970.877729550717</v>
      </c>
    </row>
    <row r="400" spans="1:33" hidden="1" x14ac:dyDescent="0.25">
      <c r="A400" t="s">
        <v>100</v>
      </c>
      <c r="B400">
        <v>9</v>
      </c>
      <c r="C400" t="s">
        <v>38</v>
      </c>
      <c r="D400" t="s">
        <v>33</v>
      </c>
      <c r="E400" t="s">
        <v>68</v>
      </c>
      <c r="F400">
        <v>13612</v>
      </c>
      <c r="G400">
        <v>193455</v>
      </c>
      <c r="H400">
        <v>1</v>
      </c>
      <c r="I400" s="2">
        <v>0</v>
      </c>
      <c r="J400">
        <v>1.125801866</v>
      </c>
      <c r="K400">
        <v>11</v>
      </c>
      <c r="L400">
        <v>471955</v>
      </c>
      <c r="M400">
        <v>62951</v>
      </c>
      <c r="N400">
        <v>362579</v>
      </c>
      <c r="O400" s="43">
        <v>1144329.1200000001</v>
      </c>
      <c r="P400" s="14">
        <v>0</v>
      </c>
      <c r="Q400" s="14" t="str">
        <f t="shared" si="18"/>
        <v/>
      </c>
      <c r="R400" s="14" t="str">
        <f t="shared" si="18"/>
        <v/>
      </c>
      <c r="S400" s="14" t="str">
        <f t="shared" si="19"/>
        <v/>
      </c>
      <c r="T400" s="14" t="s">
        <v>72</v>
      </c>
      <c r="U400" s="14">
        <v>0</v>
      </c>
      <c r="V400">
        <v>4770</v>
      </c>
      <c r="W400">
        <v>35.850854492187501</v>
      </c>
      <c r="X400">
        <v>11.3651150875617</v>
      </c>
      <c r="Y400">
        <v>5.2231586905078498</v>
      </c>
      <c r="Z400" s="31">
        <v>4.0902138076526402</v>
      </c>
      <c r="AA400">
        <v>10.4449182290653</v>
      </c>
      <c r="AB400">
        <v>0.08</v>
      </c>
      <c r="AC400">
        <v>324003.55085106398</v>
      </c>
      <c r="AD400">
        <v>370757.26323887252</v>
      </c>
      <c r="AE400">
        <v>1</v>
      </c>
      <c r="AF400">
        <v>3264.7114601034032</v>
      </c>
      <c r="AG400">
        <v>780295.81125079666</v>
      </c>
    </row>
    <row r="401" spans="2:33" hidden="1" x14ac:dyDescent="0.25">
      <c r="B401">
        <v>9</v>
      </c>
      <c r="C401" t="s">
        <v>38</v>
      </c>
      <c r="D401" t="s">
        <v>33</v>
      </c>
      <c r="E401" t="s">
        <v>68</v>
      </c>
      <c r="F401">
        <v>36718</v>
      </c>
      <c r="G401">
        <v>193455</v>
      </c>
      <c r="H401">
        <v>2</v>
      </c>
      <c r="I401" s="2">
        <v>0</v>
      </c>
      <c r="J401">
        <v>1.911018066</v>
      </c>
      <c r="K401">
        <v>11</v>
      </c>
      <c r="L401">
        <v>471955</v>
      </c>
      <c r="M401">
        <v>62951</v>
      </c>
      <c r="N401">
        <v>362579</v>
      </c>
      <c r="O401" s="43">
        <v>1602060.7679999999</v>
      </c>
      <c r="P401" s="14">
        <f t="shared" si="20"/>
        <v>457731.64799999981</v>
      </c>
      <c r="Q401" s="14" t="str">
        <f t="shared" si="18"/>
        <v/>
      </c>
      <c r="R401" s="14" t="str">
        <f t="shared" si="18"/>
        <v/>
      </c>
      <c r="S401" s="14" t="str">
        <f t="shared" si="19"/>
        <v/>
      </c>
      <c r="T401" s="14" t="s">
        <v>72</v>
      </c>
      <c r="U401" s="14">
        <v>0</v>
      </c>
      <c r="V401">
        <v>4770</v>
      </c>
      <c r="W401">
        <v>33.627832031250001</v>
      </c>
      <c r="X401">
        <v>7.2777690848047802</v>
      </c>
      <c r="Y401">
        <v>4.8319539685858599</v>
      </c>
      <c r="Z401" s="31">
        <v>4.4689746452235601</v>
      </c>
      <c r="AA401">
        <v>13.5593187083613</v>
      </c>
      <c r="AB401">
        <v>0.08</v>
      </c>
      <c r="AC401">
        <v>324003.55085106398</v>
      </c>
      <c r="AD401">
        <v>370757.26323887252</v>
      </c>
      <c r="AE401">
        <v>1</v>
      </c>
      <c r="AF401">
        <v>3264.7114601034032</v>
      </c>
      <c r="AG401">
        <v>780295.81125079666</v>
      </c>
    </row>
    <row r="402" spans="2:33" hidden="1" x14ac:dyDescent="0.25">
      <c r="B402">
        <v>9</v>
      </c>
      <c r="C402" t="s">
        <v>38</v>
      </c>
      <c r="D402" t="s">
        <v>33</v>
      </c>
      <c r="E402" t="s">
        <v>68</v>
      </c>
      <c r="F402">
        <v>63824</v>
      </c>
      <c r="G402">
        <v>193455</v>
      </c>
      <c r="H402">
        <v>3</v>
      </c>
      <c r="I402" s="2">
        <v>0</v>
      </c>
      <c r="J402">
        <v>2.2418443570000002</v>
      </c>
      <c r="K402">
        <v>11</v>
      </c>
      <c r="L402">
        <v>471955</v>
      </c>
      <c r="M402">
        <v>62951</v>
      </c>
      <c r="N402">
        <v>362579</v>
      </c>
      <c r="O402" s="43">
        <v>1602060.7679999999</v>
      </c>
      <c r="P402" s="14">
        <f t="shared" si="20"/>
        <v>0</v>
      </c>
      <c r="Q402" s="14" t="str">
        <f t="shared" si="18"/>
        <v/>
      </c>
      <c r="R402" s="14" t="str">
        <f t="shared" si="18"/>
        <v/>
      </c>
      <c r="S402" s="14" t="str">
        <f t="shared" si="19"/>
        <v/>
      </c>
      <c r="T402" s="14" t="s">
        <v>72</v>
      </c>
      <c r="U402" s="14">
        <v>0</v>
      </c>
      <c r="V402">
        <v>4770</v>
      </c>
      <c r="W402">
        <v>33.197595214843702</v>
      </c>
      <c r="X402">
        <v>8.1489524297100999</v>
      </c>
      <c r="Y402">
        <v>4.6727758518015996</v>
      </c>
      <c r="Z402" s="31">
        <v>3.6959082171984501</v>
      </c>
      <c r="AA402">
        <v>7.7641691885019304</v>
      </c>
      <c r="AB402">
        <v>0.08</v>
      </c>
      <c r="AC402">
        <v>324003.55085106398</v>
      </c>
      <c r="AD402">
        <v>370757.26323887252</v>
      </c>
      <c r="AE402">
        <v>1</v>
      </c>
      <c r="AF402">
        <v>3264.7114601034032</v>
      </c>
      <c r="AG402">
        <v>780295.81125079666</v>
      </c>
    </row>
    <row r="403" spans="2:33" hidden="1" x14ac:dyDescent="0.25">
      <c r="B403">
        <v>9</v>
      </c>
      <c r="C403" t="s">
        <v>38</v>
      </c>
      <c r="D403" t="s">
        <v>33</v>
      </c>
      <c r="E403" t="s">
        <v>68</v>
      </c>
      <c r="F403">
        <v>88353</v>
      </c>
      <c r="G403">
        <v>193455</v>
      </c>
      <c r="H403">
        <v>4</v>
      </c>
      <c r="I403">
        <v>13612</v>
      </c>
      <c r="J403">
        <v>2.028709519</v>
      </c>
      <c r="K403">
        <v>11</v>
      </c>
      <c r="L403">
        <v>471955</v>
      </c>
      <c r="M403">
        <v>62951</v>
      </c>
      <c r="N403">
        <v>362579</v>
      </c>
      <c r="O403" s="43">
        <v>2174225.3280000002</v>
      </c>
      <c r="P403" s="14">
        <f t="shared" si="20"/>
        <v>572164.56000000029</v>
      </c>
      <c r="Q403" s="14" t="str">
        <f t="shared" si="18"/>
        <v/>
      </c>
      <c r="R403" s="14" t="str">
        <f t="shared" si="18"/>
        <v/>
      </c>
      <c r="S403" s="14" t="str">
        <f t="shared" si="19"/>
        <v/>
      </c>
      <c r="T403" s="14" t="s">
        <v>72</v>
      </c>
      <c r="U403" s="14">
        <v>42.033834851601533</v>
      </c>
      <c r="V403">
        <v>4770</v>
      </c>
      <c r="W403">
        <v>33.432458496093702</v>
      </c>
      <c r="X403">
        <v>11.6622532960761</v>
      </c>
      <c r="Y403">
        <v>4.5531472089319003</v>
      </c>
      <c r="Z403">
        <v>3.2417624709877502</v>
      </c>
      <c r="AA403">
        <v>9.8237697835383297</v>
      </c>
      <c r="AB403">
        <v>0.08</v>
      </c>
      <c r="AC403">
        <v>324003.55085106398</v>
      </c>
      <c r="AD403">
        <v>370757.26323887252</v>
      </c>
      <c r="AE403">
        <v>1</v>
      </c>
      <c r="AF403">
        <v>3264.7114601034032</v>
      </c>
      <c r="AG403">
        <v>780295.81125079666</v>
      </c>
    </row>
    <row r="404" spans="2:33" hidden="1" x14ac:dyDescent="0.25">
      <c r="B404">
        <v>9</v>
      </c>
      <c r="C404" t="s">
        <v>38</v>
      </c>
      <c r="D404" t="s">
        <v>33</v>
      </c>
      <c r="E404" t="s">
        <v>68</v>
      </c>
      <c r="F404">
        <v>114328</v>
      </c>
      <c r="G404">
        <v>193455</v>
      </c>
      <c r="H404">
        <v>5</v>
      </c>
      <c r="I404">
        <v>23106</v>
      </c>
      <c r="J404">
        <v>2.1483032230000001</v>
      </c>
      <c r="K404">
        <v>11</v>
      </c>
      <c r="L404">
        <v>471955</v>
      </c>
      <c r="M404">
        <v>62951</v>
      </c>
      <c r="N404">
        <v>362579</v>
      </c>
      <c r="O404" s="43">
        <v>2746389.8879999998</v>
      </c>
      <c r="P404" s="14">
        <f t="shared" si="20"/>
        <v>572164.55999999959</v>
      </c>
      <c r="Q404" s="14" t="str">
        <f t="shared" si="18"/>
        <v/>
      </c>
      <c r="R404" s="14" t="str">
        <f t="shared" si="18"/>
        <v/>
      </c>
      <c r="S404" s="14" t="str">
        <f t="shared" si="19"/>
        <v/>
      </c>
      <c r="T404" s="14" t="s">
        <v>72</v>
      </c>
      <c r="U404" s="14">
        <v>24.762596728122567</v>
      </c>
      <c r="V404">
        <v>4770</v>
      </c>
      <c r="W404">
        <v>34.893151855468801</v>
      </c>
      <c r="X404">
        <v>7.1531755072978402</v>
      </c>
      <c r="Y404">
        <v>5.1907236942612904</v>
      </c>
      <c r="Z404">
        <v>4.2539482180856396</v>
      </c>
      <c r="AA404">
        <v>10.2325556197243</v>
      </c>
      <c r="AB404">
        <v>0.08</v>
      </c>
      <c r="AC404">
        <v>324003.55085106398</v>
      </c>
      <c r="AD404">
        <v>370757.26323887252</v>
      </c>
      <c r="AE404">
        <v>1</v>
      </c>
      <c r="AF404">
        <v>3264.7114601034032</v>
      </c>
      <c r="AG404">
        <v>780295.81125079666</v>
      </c>
    </row>
    <row r="405" spans="2:33" hidden="1" x14ac:dyDescent="0.25">
      <c r="B405">
        <v>9</v>
      </c>
      <c r="C405" t="s">
        <v>38</v>
      </c>
      <c r="D405" t="s">
        <v>33</v>
      </c>
      <c r="E405" t="s">
        <v>68</v>
      </c>
      <c r="F405">
        <v>151044</v>
      </c>
      <c r="G405">
        <v>193455</v>
      </c>
      <c r="H405">
        <v>6</v>
      </c>
      <c r="I405">
        <v>27106</v>
      </c>
      <c r="J405">
        <v>3.0366545189999998</v>
      </c>
      <c r="K405">
        <v>11</v>
      </c>
      <c r="L405">
        <v>471955</v>
      </c>
      <c r="M405">
        <v>62951</v>
      </c>
      <c r="N405">
        <v>362579</v>
      </c>
      <c r="O405" s="43">
        <v>4806182.3039999995</v>
      </c>
      <c r="P405" s="14">
        <f t="shared" si="20"/>
        <v>2059792.4159999997</v>
      </c>
      <c r="Q405" s="14" t="str">
        <f t="shared" si="18"/>
        <v/>
      </c>
      <c r="R405" s="14" t="str">
        <f t="shared" si="18"/>
        <v/>
      </c>
      <c r="S405" s="14" t="str">
        <f t="shared" si="19"/>
        <v/>
      </c>
      <c r="T405" s="14" t="s">
        <v>72</v>
      </c>
      <c r="U405" s="14">
        <v>75.990275806094601</v>
      </c>
      <c r="V405">
        <v>4770</v>
      </c>
      <c r="W405">
        <v>32.880273437500001</v>
      </c>
      <c r="X405">
        <v>9.0109312038450895</v>
      </c>
      <c r="Y405">
        <v>4.5472747934380804</v>
      </c>
      <c r="Z405" s="31">
        <v>3.5671884043939799</v>
      </c>
      <c r="AA405">
        <v>8.4754432315572199</v>
      </c>
      <c r="AB405">
        <v>0.08</v>
      </c>
      <c r="AC405">
        <v>324003.55085106398</v>
      </c>
      <c r="AD405">
        <v>370757.26323887252</v>
      </c>
      <c r="AE405">
        <v>1</v>
      </c>
      <c r="AF405">
        <v>3264.7114601034032</v>
      </c>
      <c r="AG405">
        <v>780295.81125079666</v>
      </c>
    </row>
    <row r="406" spans="2:33" hidden="1" x14ac:dyDescent="0.25">
      <c r="B406">
        <v>9</v>
      </c>
      <c r="C406" t="s">
        <v>38</v>
      </c>
      <c r="D406" t="s">
        <v>33</v>
      </c>
      <c r="E406" t="s">
        <v>68</v>
      </c>
      <c r="F406">
        <v>174361</v>
      </c>
      <c r="G406">
        <v>193455</v>
      </c>
      <c r="H406">
        <v>7</v>
      </c>
      <c r="I406">
        <v>24529</v>
      </c>
      <c r="J406">
        <v>1.928469153</v>
      </c>
      <c r="K406">
        <v>11</v>
      </c>
      <c r="L406">
        <v>471955</v>
      </c>
      <c r="M406">
        <v>62951</v>
      </c>
      <c r="N406">
        <v>362579</v>
      </c>
      <c r="O406" s="43">
        <v>5607212.6880000001</v>
      </c>
      <c r="P406" s="14">
        <f t="shared" si="20"/>
        <v>801030.38400000054</v>
      </c>
      <c r="Q406" s="14" t="str">
        <f t="shared" si="18"/>
        <v/>
      </c>
      <c r="R406" s="14" t="str">
        <f t="shared" si="18"/>
        <v/>
      </c>
      <c r="S406" s="14" t="str">
        <f t="shared" si="19"/>
        <v/>
      </c>
      <c r="T406" s="14" t="s">
        <v>72</v>
      </c>
      <c r="U406" s="14">
        <v>32.656463125280261</v>
      </c>
      <c r="V406">
        <v>4770</v>
      </c>
      <c r="W406">
        <v>32.607202148437501</v>
      </c>
      <c r="X406">
        <v>7.0619134648155901</v>
      </c>
      <c r="Y406">
        <v>4.5741066240138402</v>
      </c>
      <c r="Z406" s="31">
        <v>3.55829716743574</v>
      </c>
      <c r="AA406">
        <v>6.66846503370886</v>
      </c>
      <c r="AB406">
        <v>0.08</v>
      </c>
      <c r="AC406">
        <v>324003.55085106398</v>
      </c>
      <c r="AD406">
        <v>370757.26323887252</v>
      </c>
      <c r="AE406">
        <v>1</v>
      </c>
      <c r="AF406">
        <v>3264.7114601034032</v>
      </c>
      <c r="AG406">
        <v>780295.81125079666</v>
      </c>
    </row>
    <row r="407" spans="2:33" hidden="1" x14ac:dyDescent="0.25">
      <c r="B407">
        <v>9</v>
      </c>
      <c r="C407" t="s">
        <v>38</v>
      </c>
      <c r="D407" t="s">
        <v>33</v>
      </c>
      <c r="E407" t="s">
        <v>68</v>
      </c>
      <c r="F407">
        <v>184529</v>
      </c>
      <c r="G407">
        <v>193455</v>
      </c>
      <c r="H407">
        <v>8</v>
      </c>
      <c r="I407">
        <v>25975</v>
      </c>
      <c r="J407">
        <v>0.84096043009999999</v>
      </c>
      <c r="K407">
        <v>11</v>
      </c>
      <c r="L407">
        <v>471955</v>
      </c>
      <c r="M407">
        <v>62951</v>
      </c>
      <c r="N407">
        <v>362579</v>
      </c>
      <c r="O407" s="43">
        <v>7209273.4560000002</v>
      </c>
      <c r="P407" s="14">
        <f t="shared" si="20"/>
        <v>1602060.7680000002</v>
      </c>
      <c r="Q407" s="14" t="str">
        <f t="shared" si="18"/>
        <v/>
      </c>
      <c r="R407" s="14" t="str">
        <f t="shared" si="18"/>
        <v/>
      </c>
      <c r="S407" s="14" t="str">
        <f t="shared" si="19"/>
        <v/>
      </c>
      <c r="T407" s="14" t="s">
        <v>72</v>
      </c>
      <c r="U407" s="14">
        <v>61.677026679499527</v>
      </c>
      <c r="V407">
        <v>4770</v>
      </c>
      <c r="W407">
        <v>32.813867187500001</v>
      </c>
      <c r="X407">
        <v>5.2970450849844202</v>
      </c>
      <c r="Y407">
        <v>4.7154532355216796</v>
      </c>
      <c r="Z407" s="31">
        <v>2.8705904378771598</v>
      </c>
      <c r="AA407">
        <v>2.5444703011160801</v>
      </c>
      <c r="AB407">
        <v>0.08</v>
      </c>
      <c r="AC407">
        <v>324003.55085106398</v>
      </c>
      <c r="AD407">
        <v>370757.26323887252</v>
      </c>
      <c r="AE407">
        <v>1</v>
      </c>
      <c r="AF407">
        <v>3264.7114601034032</v>
      </c>
      <c r="AG407">
        <v>780295.81125079666</v>
      </c>
    </row>
    <row r="408" spans="2:33" hidden="1" x14ac:dyDescent="0.25">
      <c r="B408">
        <v>9</v>
      </c>
      <c r="C408" t="s">
        <v>38</v>
      </c>
      <c r="D408" t="s">
        <v>33</v>
      </c>
      <c r="E408" t="s">
        <v>68</v>
      </c>
      <c r="F408">
        <v>186078</v>
      </c>
      <c r="G408">
        <v>193455</v>
      </c>
      <c r="H408">
        <v>9</v>
      </c>
      <c r="I408">
        <v>36716</v>
      </c>
      <c r="J408">
        <v>0.12811248089999999</v>
      </c>
      <c r="K408">
        <v>11</v>
      </c>
      <c r="L408">
        <v>471955</v>
      </c>
      <c r="M408">
        <v>62951</v>
      </c>
      <c r="N408">
        <v>362579</v>
      </c>
      <c r="O408" s="43">
        <v>8525251.9440000001</v>
      </c>
      <c r="P408" s="14">
        <f t="shared" si="20"/>
        <v>1315978.4879999999</v>
      </c>
      <c r="Q408" s="14" t="str">
        <f t="shared" si="18"/>
        <v/>
      </c>
      <c r="R408" s="14" t="str">
        <f t="shared" si="18"/>
        <v/>
      </c>
      <c r="S408" s="14" t="str">
        <f t="shared" si="19"/>
        <v/>
      </c>
      <c r="T408" s="14" t="s">
        <v>72</v>
      </c>
      <c r="U408" s="14">
        <v>35.842098485673816</v>
      </c>
      <c r="V408">
        <v>4770</v>
      </c>
      <c r="W408">
        <v>34.610192871093702</v>
      </c>
      <c r="X408">
        <v>8.5570202261792296</v>
      </c>
      <c r="Y408">
        <v>5.0326806046103503</v>
      </c>
      <c r="Z408" s="31">
        <v>3.1010002708312601</v>
      </c>
      <c r="AA408">
        <v>3.01874393397028</v>
      </c>
      <c r="AB408">
        <v>0.08</v>
      </c>
      <c r="AC408">
        <v>324003.55085106398</v>
      </c>
      <c r="AD408">
        <v>370757.26323887252</v>
      </c>
      <c r="AE408">
        <v>1</v>
      </c>
      <c r="AF408">
        <v>3264.7114601034032</v>
      </c>
      <c r="AG408">
        <v>780295.81125079666</v>
      </c>
    </row>
    <row r="409" spans="2:33" hidden="1" x14ac:dyDescent="0.25">
      <c r="B409">
        <v>9</v>
      </c>
      <c r="C409" t="s">
        <v>38</v>
      </c>
      <c r="D409" t="s">
        <v>33</v>
      </c>
      <c r="E409" t="s">
        <v>68</v>
      </c>
      <c r="F409">
        <v>188988</v>
      </c>
      <c r="G409">
        <v>193455</v>
      </c>
      <c r="H409">
        <v>10</v>
      </c>
      <c r="I409">
        <v>23317</v>
      </c>
      <c r="J409">
        <v>0.24067612620000001</v>
      </c>
      <c r="K409">
        <v>11</v>
      </c>
      <c r="L409">
        <v>471955</v>
      </c>
      <c r="M409">
        <v>62951</v>
      </c>
      <c r="N409">
        <v>362579</v>
      </c>
      <c r="O409" s="43">
        <v>9447581.2147200014</v>
      </c>
      <c r="P409" s="14">
        <f t="shared" si="20"/>
        <v>922329.27072000131</v>
      </c>
      <c r="Q409" s="14" t="str">
        <f t="shared" si="18"/>
        <v/>
      </c>
      <c r="R409" s="14" t="str">
        <f t="shared" si="18"/>
        <v/>
      </c>
      <c r="S409" s="14" t="str">
        <f t="shared" si="19"/>
        <v/>
      </c>
      <c r="T409" s="14" t="s">
        <v>72</v>
      </c>
      <c r="U409" s="14">
        <v>39.556086577175506</v>
      </c>
      <c r="V409">
        <v>4770</v>
      </c>
      <c r="W409">
        <v>35.987023925781301</v>
      </c>
      <c r="X409">
        <v>9.0818071871717603</v>
      </c>
      <c r="Y409">
        <v>5.39821669682037</v>
      </c>
      <c r="Z409" s="31">
        <v>3.47141492165321</v>
      </c>
      <c r="AA409">
        <v>3.7884341849934802</v>
      </c>
      <c r="AB409">
        <v>0.08</v>
      </c>
      <c r="AC409">
        <v>324003.55085106398</v>
      </c>
      <c r="AD409">
        <v>370757.26323887252</v>
      </c>
      <c r="AE409">
        <v>1</v>
      </c>
      <c r="AF409">
        <v>3264.7114601034032</v>
      </c>
      <c r="AG409">
        <v>780295.81125079666</v>
      </c>
    </row>
    <row r="410" spans="2:33" hidden="1" x14ac:dyDescent="0.25">
      <c r="B410">
        <v>9</v>
      </c>
      <c r="C410" t="s">
        <v>38</v>
      </c>
      <c r="D410" t="s">
        <v>33</v>
      </c>
      <c r="E410" t="s">
        <v>68</v>
      </c>
      <c r="F410">
        <v>189321</v>
      </c>
      <c r="G410">
        <v>193455</v>
      </c>
      <c r="H410">
        <v>11</v>
      </c>
      <c r="I410">
        <v>10168</v>
      </c>
      <c r="J410">
        <v>2.754128867E-2</v>
      </c>
      <c r="K410">
        <v>11</v>
      </c>
      <c r="L410">
        <v>471955</v>
      </c>
      <c r="M410">
        <v>62951</v>
      </c>
      <c r="N410">
        <v>362579</v>
      </c>
      <c r="O410" s="43">
        <v>10756693.728</v>
      </c>
      <c r="P410" s="14">
        <f t="shared" si="20"/>
        <v>1309112.5132799987</v>
      </c>
      <c r="Q410" s="14" t="str">
        <f t="shared" si="18"/>
        <v/>
      </c>
      <c r="R410" s="14" t="str">
        <f t="shared" si="18"/>
        <v/>
      </c>
      <c r="S410" s="14" t="str">
        <f t="shared" si="19"/>
        <v/>
      </c>
      <c r="T410" s="14" t="s">
        <v>72</v>
      </c>
      <c r="U410" s="14">
        <v>128.74828022029885</v>
      </c>
      <c r="V410">
        <v>4770</v>
      </c>
      <c r="W410">
        <v>36.409204101562501</v>
      </c>
      <c r="X410">
        <v>9.70432029454056</v>
      </c>
      <c r="Y410">
        <v>5.48653223066131</v>
      </c>
      <c r="Z410" s="31">
        <v>3.7891843823181302</v>
      </c>
      <c r="AA410">
        <v>2.4954944046442802</v>
      </c>
      <c r="AB410">
        <v>0.08</v>
      </c>
      <c r="AC410">
        <v>324003.55085106398</v>
      </c>
      <c r="AD410">
        <v>370757.26323887252</v>
      </c>
      <c r="AE410">
        <v>1</v>
      </c>
      <c r="AF410">
        <v>3264.7114601034032</v>
      </c>
      <c r="AG410">
        <v>780295.81125079666</v>
      </c>
    </row>
    <row r="411" spans="2:33" hidden="1" x14ac:dyDescent="0.25">
      <c r="B411">
        <v>9</v>
      </c>
      <c r="C411" t="s">
        <v>38</v>
      </c>
      <c r="D411" t="s">
        <v>33</v>
      </c>
      <c r="E411" t="s">
        <v>68</v>
      </c>
      <c r="F411">
        <v>190264</v>
      </c>
      <c r="G411">
        <v>193455</v>
      </c>
      <c r="H411">
        <v>12</v>
      </c>
      <c r="I411">
        <v>1549</v>
      </c>
      <c r="J411">
        <v>7.7992297949999997E-2</v>
      </c>
      <c r="K411">
        <v>11</v>
      </c>
      <c r="L411">
        <v>471955</v>
      </c>
      <c r="M411">
        <v>62951</v>
      </c>
      <c r="N411">
        <v>362579</v>
      </c>
      <c r="O411" s="43">
        <v>11214425.376</v>
      </c>
      <c r="P411" s="14">
        <f t="shared" si="20"/>
        <v>457731.64800000004</v>
      </c>
      <c r="Q411" s="14" t="str">
        <f t="shared" si="18"/>
        <v/>
      </c>
      <c r="R411" s="14" t="str">
        <f t="shared" si="18"/>
        <v/>
      </c>
      <c r="S411" s="14" t="str">
        <f t="shared" si="19"/>
        <v/>
      </c>
      <c r="T411" s="14" t="s">
        <v>72</v>
      </c>
      <c r="U411" s="14">
        <v>295.50138670109749</v>
      </c>
      <c r="V411">
        <v>4770</v>
      </c>
      <c r="W411">
        <v>36.357080078125001</v>
      </c>
      <c r="X411">
        <v>9.4512492857239998</v>
      </c>
      <c r="Y411">
        <v>5.4862891947192303</v>
      </c>
      <c r="Z411" s="31">
        <v>3.8430944667644602</v>
      </c>
      <c r="AA411">
        <v>2.2451499068152101</v>
      </c>
      <c r="AB411">
        <v>0.08</v>
      </c>
      <c r="AC411">
        <v>324003.55085106398</v>
      </c>
      <c r="AD411">
        <v>370757.26323887252</v>
      </c>
      <c r="AE411">
        <v>1</v>
      </c>
      <c r="AF411">
        <v>3264.7114601034032</v>
      </c>
      <c r="AG411">
        <v>780295.81125079666</v>
      </c>
    </row>
    <row r="412" spans="2:33" hidden="1" x14ac:dyDescent="0.25">
      <c r="B412">
        <v>9</v>
      </c>
      <c r="C412" t="s">
        <v>38</v>
      </c>
      <c r="D412" t="s">
        <v>33</v>
      </c>
      <c r="E412" t="s">
        <v>68</v>
      </c>
      <c r="F412">
        <v>190269</v>
      </c>
      <c r="G412">
        <v>193455</v>
      </c>
      <c r="H412">
        <v>13</v>
      </c>
      <c r="I412">
        <v>2910</v>
      </c>
      <c r="J412">
        <v>4.1353286290000003E-4</v>
      </c>
      <c r="K412">
        <v>11</v>
      </c>
      <c r="L412">
        <v>471955</v>
      </c>
      <c r="M412">
        <v>62951</v>
      </c>
      <c r="N412">
        <v>362579</v>
      </c>
      <c r="O412" s="43">
        <v>11598699.104799841</v>
      </c>
      <c r="P412" s="14">
        <f t="shared" si="20"/>
        <v>384273.72879984044</v>
      </c>
      <c r="Q412" s="14" t="str">
        <f t="shared" si="18"/>
        <v/>
      </c>
      <c r="R412" s="14" t="str">
        <f t="shared" si="18"/>
        <v/>
      </c>
      <c r="S412" s="14" t="str">
        <f t="shared" si="19"/>
        <v/>
      </c>
      <c r="T412" s="14" t="s">
        <v>72</v>
      </c>
      <c r="U412" s="14">
        <v>132.05282776626819</v>
      </c>
      <c r="V412">
        <v>4770</v>
      </c>
      <c r="W412">
        <v>36.963159179687501</v>
      </c>
      <c r="X412">
        <v>7.2370097647109199</v>
      </c>
      <c r="Y412">
        <v>5.8097690745285897</v>
      </c>
      <c r="Z412" s="31">
        <v>3.7561815309217401</v>
      </c>
      <c r="AA412">
        <v>6.4762741253917904</v>
      </c>
      <c r="AB412">
        <v>0.08</v>
      </c>
      <c r="AC412">
        <v>324003.55085106398</v>
      </c>
      <c r="AD412">
        <v>370757.26323887252</v>
      </c>
      <c r="AE412">
        <v>1</v>
      </c>
      <c r="AF412">
        <v>3264.7114601034032</v>
      </c>
      <c r="AG412">
        <v>780295.81125079666</v>
      </c>
    </row>
    <row r="413" spans="2:33" hidden="1" x14ac:dyDescent="0.25">
      <c r="B413">
        <v>9</v>
      </c>
      <c r="C413" t="s">
        <v>38</v>
      </c>
      <c r="D413" t="s">
        <v>33</v>
      </c>
      <c r="E413" t="s">
        <v>68</v>
      </c>
      <c r="F413">
        <v>190269</v>
      </c>
      <c r="G413">
        <v>193455</v>
      </c>
      <c r="H413">
        <v>14</v>
      </c>
      <c r="I413">
        <v>333</v>
      </c>
      <c r="J413">
        <v>0</v>
      </c>
      <c r="K413">
        <v>11</v>
      </c>
      <c r="L413">
        <v>471955</v>
      </c>
      <c r="M413">
        <v>62951</v>
      </c>
      <c r="N413">
        <v>362579</v>
      </c>
      <c r="O413" s="43">
        <v>12191407.8054912</v>
      </c>
      <c r="P413" s="14">
        <f t="shared" si="20"/>
        <v>592708.70069135912</v>
      </c>
      <c r="Q413" s="14" t="str">
        <f t="shared" si="18"/>
        <v/>
      </c>
      <c r="R413" s="14" t="str">
        <f t="shared" si="18"/>
        <v/>
      </c>
      <c r="S413" s="14" t="str">
        <f t="shared" si="19"/>
        <v/>
      </c>
      <c r="T413" s="14" t="s">
        <v>72</v>
      </c>
      <c r="U413" s="14">
        <v>1779.906008082165</v>
      </c>
      <c r="V413">
        <v>4770</v>
      </c>
      <c r="W413">
        <v>35.972863769531301</v>
      </c>
      <c r="X413">
        <v>5.9818472036777104</v>
      </c>
      <c r="Y413">
        <v>5.5783073060688304</v>
      </c>
      <c r="Z413" s="31">
        <v>3.5174097911341402</v>
      </c>
      <c r="AA413">
        <v>12.601897974097399</v>
      </c>
      <c r="AB413">
        <v>0.08</v>
      </c>
      <c r="AC413">
        <v>324003.55085106398</v>
      </c>
      <c r="AD413">
        <v>370757.26323887252</v>
      </c>
      <c r="AE413">
        <v>1</v>
      </c>
      <c r="AF413">
        <v>3264.7114601034032</v>
      </c>
      <c r="AG413">
        <v>780295.81125079666</v>
      </c>
    </row>
    <row r="414" spans="2:33" hidden="1" x14ac:dyDescent="0.25">
      <c r="B414">
        <v>9</v>
      </c>
      <c r="C414" t="s">
        <v>38</v>
      </c>
      <c r="D414" t="s">
        <v>33</v>
      </c>
      <c r="E414" t="s">
        <v>68</v>
      </c>
      <c r="F414">
        <v>190415</v>
      </c>
      <c r="G414">
        <v>193455</v>
      </c>
      <c r="H414">
        <v>15</v>
      </c>
      <c r="I414">
        <v>943</v>
      </c>
      <c r="J414">
        <v>1.20751596E-2</v>
      </c>
      <c r="K414">
        <v>11</v>
      </c>
      <c r="L414">
        <v>471955</v>
      </c>
      <c r="M414">
        <v>62951</v>
      </c>
      <c r="N414">
        <v>362579</v>
      </c>
      <c r="O414" s="43">
        <v>12696274.369944001</v>
      </c>
      <c r="P414" s="14">
        <f t="shared" si="20"/>
        <v>504866.5644528009</v>
      </c>
      <c r="Q414" s="14" t="str">
        <f t="shared" si="18"/>
        <v/>
      </c>
      <c r="R414" s="14" t="str">
        <f t="shared" si="18"/>
        <v/>
      </c>
      <c r="S414" s="14" t="str">
        <f t="shared" si="19"/>
        <v/>
      </c>
      <c r="T414" s="14" t="s">
        <v>72</v>
      </c>
      <c r="U414" s="14">
        <v>535.38341935609651</v>
      </c>
      <c r="V414">
        <v>4770</v>
      </c>
      <c r="W414">
        <v>36.924279785156301</v>
      </c>
      <c r="X414">
        <v>5.8209060434062696</v>
      </c>
      <c r="Y414">
        <v>5.8861589526040401</v>
      </c>
      <c r="Z414" s="31">
        <v>3.5843152826326601</v>
      </c>
      <c r="AA414">
        <v>7.81120567884716</v>
      </c>
      <c r="AB414">
        <v>0.08</v>
      </c>
      <c r="AC414">
        <v>324003.55085106398</v>
      </c>
      <c r="AD414">
        <v>370757.26323887252</v>
      </c>
      <c r="AE414">
        <v>1</v>
      </c>
      <c r="AF414">
        <v>3264.7114601034032</v>
      </c>
      <c r="AG414">
        <v>780295.81125079666</v>
      </c>
    </row>
    <row r="415" spans="2:33" hidden="1" x14ac:dyDescent="0.25">
      <c r="B415">
        <v>9</v>
      </c>
      <c r="C415" t="s">
        <v>38</v>
      </c>
      <c r="D415" t="s">
        <v>33</v>
      </c>
      <c r="E415" t="s">
        <v>68</v>
      </c>
      <c r="F415">
        <v>193455</v>
      </c>
      <c r="G415">
        <v>193455</v>
      </c>
      <c r="H415">
        <v>16</v>
      </c>
      <c r="I415">
        <v>5</v>
      </c>
      <c r="J415">
        <v>0.2514279807</v>
      </c>
      <c r="K415">
        <v>11</v>
      </c>
      <c r="L415">
        <v>471955</v>
      </c>
      <c r="M415">
        <v>62951</v>
      </c>
      <c r="N415">
        <v>362579</v>
      </c>
      <c r="O415" s="43">
        <v>12487054.38827616</v>
      </c>
      <c r="P415" s="14">
        <f t="shared" si="20"/>
        <v>-209219.98166784085</v>
      </c>
      <c r="Q415" s="14">
        <f t="shared" si="18"/>
        <v>-209219.98166784085</v>
      </c>
      <c r="R415" s="14">
        <f t="shared" si="18"/>
        <v>-209219.98166784085</v>
      </c>
      <c r="S415" s="14">
        <f t="shared" si="19"/>
        <v>43773000729.09166</v>
      </c>
      <c r="T415" s="14">
        <v>43773000729.09166</v>
      </c>
      <c r="U415" s="14">
        <v>-41843.996333567797</v>
      </c>
      <c r="V415">
        <v>4770</v>
      </c>
      <c r="W415">
        <v>35.231408691406301</v>
      </c>
      <c r="X415">
        <v>9.7327034880848693</v>
      </c>
      <c r="Y415">
        <v>5.1413642520305904</v>
      </c>
      <c r="Z415" s="31">
        <v>3.59088098238339</v>
      </c>
      <c r="AA415">
        <v>6.6810193520271799</v>
      </c>
      <c r="AB415">
        <v>0.08</v>
      </c>
      <c r="AC415">
        <v>324003.55085106398</v>
      </c>
      <c r="AD415">
        <v>370757.26323887252</v>
      </c>
      <c r="AE415">
        <v>1</v>
      </c>
      <c r="AF415">
        <v>3264.7114601034032</v>
      </c>
      <c r="AG415">
        <v>780295.81125079666</v>
      </c>
    </row>
    <row r="416" spans="2:33" hidden="1" x14ac:dyDescent="0.25">
      <c r="B416">
        <v>9</v>
      </c>
      <c r="C416" t="s">
        <v>38</v>
      </c>
      <c r="D416" t="s">
        <v>33</v>
      </c>
      <c r="E416" t="s">
        <v>68</v>
      </c>
      <c r="F416">
        <v>193455</v>
      </c>
      <c r="G416">
        <v>193455</v>
      </c>
      <c r="H416">
        <v>17</v>
      </c>
      <c r="I416">
        <v>0</v>
      </c>
      <c r="J416">
        <v>0</v>
      </c>
      <c r="K416">
        <v>11</v>
      </c>
      <c r="L416">
        <v>471955</v>
      </c>
      <c r="M416">
        <v>62951</v>
      </c>
      <c r="N416">
        <v>362579</v>
      </c>
      <c r="O416" s="43">
        <v>13088406.20681088</v>
      </c>
      <c r="P416" s="14">
        <f t="shared" si="20"/>
        <v>601351.81853472069</v>
      </c>
      <c r="Q416" s="14" t="str">
        <f t="shared" si="18"/>
        <v/>
      </c>
      <c r="R416" s="14" t="str">
        <f t="shared" si="18"/>
        <v/>
      </c>
      <c r="S416" s="14" t="str">
        <f t="shared" si="19"/>
        <v/>
      </c>
      <c r="T416" s="14" t="s">
        <v>72</v>
      </c>
      <c r="U416" s="14">
        <v>0</v>
      </c>
      <c r="V416">
        <v>4770</v>
      </c>
      <c r="W416">
        <v>33.074487304687501</v>
      </c>
      <c r="X416">
        <v>14.5308131990574</v>
      </c>
      <c r="Y416">
        <v>4.3176605962166104</v>
      </c>
      <c r="Z416" s="31">
        <v>4.5014716305926203</v>
      </c>
      <c r="AA416">
        <v>9.6158814056835098</v>
      </c>
      <c r="AB416">
        <v>0.08</v>
      </c>
      <c r="AC416">
        <v>324003.55085106398</v>
      </c>
      <c r="AD416">
        <v>370757.26323887252</v>
      </c>
      <c r="AE416">
        <v>1</v>
      </c>
      <c r="AF416">
        <v>3264.7114601034032</v>
      </c>
      <c r="AG416">
        <v>780295.81125079666</v>
      </c>
    </row>
    <row r="417" spans="2:33" hidden="1" x14ac:dyDescent="0.25">
      <c r="B417">
        <v>9</v>
      </c>
      <c r="C417" t="s">
        <v>38</v>
      </c>
      <c r="D417" t="s">
        <v>33</v>
      </c>
      <c r="E417" t="s">
        <v>68</v>
      </c>
      <c r="F417">
        <v>193455</v>
      </c>
      <c r="G417">
        <v>193455</v>
      </c>
      <c r="H417">
        <v>18</v>
      </c>
      <c r="I417">
        <v>146</v>
      </c>
      <c r="J417">
        <v>0</v>
      </c>
      <c r="K417">
        <v>11</v>
      </c>
      <c r="L417">
        <v>471955</v>
      </c>
      <c r="M417">
        <v>62951</v>
      </c>
      <c r="N417">
        <v>362579</v>
      </c>
      <c r="O417" s="43">
        <v>13323005.11970208</v>
      </c>
      <c r="P417" s="14">
        <f t="shared" si="20"/>
        <v>234598.91289119981</v>
      </c>
      <c r="Q417" s="14" t="str">
        <f t="shared" si="18"/>
        <v/>
      </c>
      <c r="R417" s="14" t="str">
        <f t="shared" si="18"/>
        <v/>
      </c>
      <c r="S417" s="14" t="str">
        <f t="shared" si="19"/>
        <v/>
      </c>
      <c r="T417" s="14" t="s">
        <v>72</v>
      </c>
      <c r="U417" s="14">
        <v>1606.8418691178069</v>
      </c>
      <c r="V417">
        <v>4770</v>
      </c>
      <c r="W417">
        <v>31.155725097656301</v>
      </c>
      <c r="X417">
        <v>16.934003713578502</v>
      </c>
      <c r="Y417">
        <v>3.7655836393444799</v>
      </c>
      <c r="Z417" s="31">
        <v>5.2447678775352999</v>
      </c>
      <c r="AA417">
        <v>11.1745408858233</v>
      </c>
      <c r="AB417">
        <v>0.08</v>
      </c>
      <c r="AC417">
        <v>324003.55085106398</v>
      </c>
      <c r="AD417">
        <v>370757.26323887252</v>
      </c>
      <c r="AE417">
        <v>1</v>
      </c>
      <c r="AF417">
        <v>3264.7114601034032</v>
      </c>
      <c r="AG417">
        <v>780295.81125079666</v>
      </c>
    </row>
    <row r="418" spans="2:33" hidden="1" x14ac:dyDescent="0.25">
      <c r="B418">
        <v>10</v>
      </c>
      <c r="C418" t="s">
        <v>39</v>
      </c>
      <c r="D418" t="s">
        <v>26</v>
      </c>
      <c r="E418" t="s">
        <v>68</v>
      </c>
      <c r="F418">
        <v>400</v>
      </c>
      <c r="G418">
        <v>219267</v>
      </c>
      <c r="H418">
        <v>1</v>
      </c>
      <c r="I418">
        <v>0</v>
      </c>
      <c r="J418">
        <v>0.1241436597733465</v>
      </c>
      <c r="K418">
        <v>575527</v>
      </c>
      <c r="L418">
        <v>312629</v>
      </c>
      <c r="M418">
        <v>59332</v>
      </c>
      <c r="N418">
        <v>6103</v>
      </c>
      <c r="O418" s="43">
        <v>169614</v>
      </c>
      <c r="P418" s="14">
        <v>0</v>
      </c>
      <c r="Q418" s="14" t="str">
        <f t="shared" si="18"/>
        <v/>
      </c>
      <c r="R418" s="14" t="str">
        <f t="shared" si="18"/>
        <v/>
      </c>
      <c r="S418" s="14" t="str">
        <f t="shared" si="19"/>
        <v/>
      </c>
      <c r="T418" s="14" t="s">
        <v>72</v>
      </c>
      <c r="U418" s="14">
        <v>0</v>
      </c>
      <c r="V418">
        <v>6122</v>
      </c>
      <c r="W418">
        <v>27.365014648437501</v>
      </c>
      <c r="X418">
        <v>27.747048062281099</v>
      </c>
      <c r="Y418">
        <v>2.6322039581439198</v>
      </c>
      <c r="Z418" s="31">
        <v>2.9517694596986699</v>
      </c>
      <c r="AA418">
        <v>3.5383222652647301</v>
      </c>
      <c r="AB418">
        <v>0.08</v>
      </c>
      <c r="AC418">
        <v>644146.91922296095</v>
      </c>
      <c r="AD418">
        <v>728401.3362573242</v>
      </c>
      <c r="AE418">
        <v>1</v>
      </c>
      <c r="AF418">
        <v>62274.779209876448</v>
      </c>
      <c r="AG418">
        <v>253287.28627111489</v>
      </c>
    </row>
    <row r="419" spans="2:33" hidden="1" x14ac:dyDescent="0.25">
      <c r="B419">
        <v>10</v>
      </c>
      <c r="C419" t="s">
        <v>39</v>
      </c>
      <c r="D419" t="s">
        <v>26</v>
      </c>
      <c r="E419" t="s">
        <v>68</v>
      </c>
      <c r="F419">
        <v>6500</v>
      </c>
      <c r="G419">
        <v>219267</v>
      </c>
      <c r="H419">
        <v>2</v>
      </c>
      <c r="I419" s="4">
        <v>0</v>
      </c>
      <c r="J419">
        <v>1.893190811543535</v>
      </c>
      <c r="K419">
        <v>575527</v>
      </c>
      <c r="L419">
        <v>312629</v>
      </c>
      <c r="M419">
        <v>59332</v>
      </c>
      <c r="N419">
        <v>6103</v>
      </c>
      <c r="O419" s="43">
        <v>226152</v>
      </c>
      <c r="P419" s="14">
        <f t="shared" si="20"/>
        <v>56538</v>
      </c>
      <c r="Q419" s="14" t="str">
        <f t="shared" si="18"/>
        <v/>
      </c>
      <c r="R419" s="14" t="str">
        <f t="shared" si="18"/>
        <v/>
      </c>
      <c r="S419" s="14" t="str">
        <f t="shared" si="19"/>
        <v/>
      </c>
      <c r="T419" s="14" t="s">
        <v>72</v>
      </c>
      <c r="U419" s="14">
        <v>0</v>
      </c>
      <c r="V419">
        <v>6122</v>
      </c>
      <c r="W419">
        <v>29.549951171875001</v>
      </c>
      <c r="X419">
        <v>21.6803852714384</v>
      </c>
      <c r="Y419">
        <v>3.2387825669230699</v>
      </c>
      <c r="Z419" s="31">
        <v>2.47354537002286</v>
      </c>
      <c r="AA419">
        <v>3.51784401805548</v>
      </c>
      <c r="AB419">
        <v>0.08</v>
      </c>
      <c r="AC419">
        <v>644146.91922296095</v>
      </c>
      <c r="AD419">
        <v>728401.3362573242</v>
      </c>
      <c r="AE419">
        <v>1</v>
      </c>
      <c r="AF419">
        <v>62274.779209876448</v>
      </c>
      <c r="AG419">
        <v>253287.28627111489</v>
      </c>
    </row>
    <row r="420" spans="2:33" hidden="1" x14ac:dyDescent="0.25">
      <c r="B420">
        <v>10</v>
      </c>
      <c r="C420" t="s">
        <v>39</v>
      </c>
      <c r="D420" t="s">
        <v>26</v>
      </c>
      <c r="E420" t="s">
        <v>68</v>
      </c>
      <c r="F420">
        <v>53772</v>
      </c>
      <c r="G420">
        <v>219267</v>
      </c>
      <c r="H420">
        <v>3</v>
      </c>
      <c r="I420" s="4">
        <v>0</v>
      </c>
      <c r="J420">
        <v>14.671297712014089</v>
      </c>
      <c r="K420">
        <v>575527</v>
      </c>
      <c r="L420">
        <v>312629</v>
      </c>
      <c r="M420">
        <v>59332</v>
      </c>
      <c r="N420">
        <v>6103</v>
      </c>
      <c r="O420" s="43">
        <v>226152</v>
      </c>
      <c r="P420" s="14">
        <f t="shared" si="20"/>
        <v>0</v>
      </c>
      <c r="Q420" s="14" t="str">
        <f t="shared" si="18"/>
        <v/>
      </c>
      <c r="R420" s="14" t="str">
        <f t="shared" si="18"/>
        <v/>
      </c>
      <c r="S420" s="14" t="str">
        <f t="shared" si="19"/>
        <v/>
      </c>
      <c r="T420" s="14" t="s">
        <v>72</v>
      </c>
      <c r="U420" s="14">
        <v>0</v>
      </c>
      <c r="V420">
        <v>6122</v>
      </c>
      <c r="W420">
        <v>29.103173828125001</v>
      </c>
      <c r="X420">
        <v>21.4169057762339</v>
      </c>
      <c r="Y420">
        <v>3.1671611236983299</v>
      </c>
      <c r="Z420" s="31">
        <v>4.2777192827311499</v>
      </c>
      <c r="AA420">
        <v>7.6946467473022198</v>
      </c>
      <c r="AB420">
        <v>0.08</v>
      </c>
      <c r="AC420">
        <v>644146.91922296095</v>
      </c>
      <c r="AD420">
        <v>728401.3362573242</v>
      </c>
      <c r="AE420">
        <v>1</v>
      </c>
      <c r="AF420">
        <v>62274.779209876448</v>
      </c>
      <c r="AG420">
        <v>253287.28627111489</v>
      </c>
    </row>
    <row r="421" spans="2:33" hidden="1" x14ac:dyDescent="0.25">
      <c r="B421">
        <v>10</v>
      </c>
      <c r="C421" t="s">
        <v>39</v>
      </c>
      <c r="D421" t="s">
        <v>26</v>
      </c>
      <c r="E421" t="s">
        <v>68</v>
      </c>
      <c r="F421">
        <v>65474</v>
      </c>
      <c r="G421">
        <v>219267</v>
      </c>
      <c r="H421">
        <v>4</v>
      </c>
      <c r="I421">
        <v>400</v>
      </c>
      <c r="J421">
        <v>3.6318227666692531</v>
      </c>
      <c r="K421">
        <v>575527</v>
      </c>
      <c r="L421">
        <v>312629</v>
      </c>
      <c r="M421">
        <v>59332</v>
      </c>
      <c r="N421">
        <v>6103</v>
      </c>
      <c r="O421" s="43">
        <v>1583064</v>
      </c>
      <c r="P421" s="14">
        <f t="shared" si="20"/>
        <v>1356912</v>
      </c>
      <c r="Q421" s="14" t="str">
        <f t="shared" si="18"/>
        <v/>
      </c>
      <c r="R421" s="14" t="str">
        <f t="shared" si="18"/>
        <v/>
      </c>
      <c r="S421" s="14" t="str">
        <f t="shared" si="19"/>
        <v/>
      </c>
      <c r="T421" s="14" t="s">
        <v>72</v>
      </c>
      <c r="U421" s="14">
        <v>3392.28</v>
      </c>
      <c r="V421">
        <v>6122</v>
      </c>
      <c r="W421">
        <v>23.176049804687501</v>
      </c>
      <c r="X421">
        <v>29.432924992422802</v>
      </c>
      <c r="Y421">
        <v>2.00472638521765</v>
      </c>
      <c r="Z421" s="31">
        <v>5.1302351622719096</v>
      </c>
      <c r="AA421">
        <v>10.5321349947331</v>
      </c>
      <c r="AB421">
        <v>0.08</v>
      </c>
      <c r="AC421">
        <v>644146.91922296095</v>
      </c>
      <c r="AD421">
        <v>728401.3362573242</v>
      </c>
      <c r="AE421">
        <v>1</v>
      </c>
      <c r="AF421">
        <v>62274.779209876448</v>
      </c>
      <c r="AG421">
        <v>253287.28627111489</v>
      </c>
    </row>
    <row r="422" spans="2:33" hidden="1" x14ac:dyDescent="0.25">
      <c r="B422">
        <v>10</v>
      </c>
      <c r="C422" t="s">
        <v>39</v>
      </c>
      <c r="D422" t="s">
        <v>26</v>
      </c>
      <c r="E422" t="s">
        <v>68</v>
      </c>
      <c r="F422">
        <v>73415</v>
      </c>
      <c r="G422">
        <v>219267</v>
      </c>
      <c r="H422">
        <v>5</v>
      </c>
      <c r="I422">
        <v>6100</v>
      </c>
      <c r="J422">
        <v>2.4645620056503619</v>
      </c>
      <c r="K422">
        <v>575527</v>
      </c>
      <c r="L422">
        <v>312629</v>
      </c>
      <c r="M422">
        <v>59332</v>
      </c>
      <c r="N422">
        <v>6103</v>
      </c>
      <c r="O422" s="43">
        <v>3166128</v>
      </c>
      <c r="P422" s="14">
        <f t="shared" si="20"/>
        <v>1583064</v>
      </c>
      <c r="Q422" s="14" t="str">
        <f t="shared" si="18"/>
        <v/>
      </c>
      <c r="R422" s="14" t="str">
        <f t="shared" si="18"/>
        <v/>
      </c>
      <c r="S422" s="14" t="str">
        <f t="shared" si="19"/>
        <v/>
      </c>
      <c r="T422" s="14" t="s">
        <v>72</v>
      </c>
      <c r="U422" s="14">
        <v>259.51868852459017</v>
      </c>
      <c r="V422">
        <v>6122</v>
      </c>
      <c r="W422">
        <v>19.661767578125001</v>
      </c>
      <c r="X422">
        <v>31.035829270571998</v>
      </c>
      <c r="Y422">
        <v>1.5803489862655999</v>
      </c>
      <c r="Z422" s="31">
        <v>3.0466551227583101</v>
      </c>
      <c r="AA422">
        <v>4.2966581364926597</v>
      </c>
      <c r="AB422">
        <v>0.08</v>
      </c>
      <c r="AC422">
        <v>644146.91922296095</v>
      </c>
      <c r="AD422">
        <v>728401.3362573242</v>
      </c>
      <c r="AE422">
        <v>1</v>
      </c>
      <c r="AF422">
        <v>62274.779209876448</v>
      </c>
      <c r="AG422">
        <v>253287.28627111489</v>
      </c>
    </row>
    <row r="423" spans="2:33" hidden="1" x14ac:dyDescent="0.25">
      <c r="B423">
        <v>10</v>
      </c>
      <c r="C423" t="s">
        <v>39</v>
      </c>
      <c r="D423" t="s">
        <v>26</v>
      </c>
      <c r="E423" t="s">
        <v>68</v>
      </c>
      <c r="F423">
        <v>82444</v>
      </c>
      <c r="G423">
        <v>219267</v>
      </c>
      <c r="H423">
        <v>6</v>
      </c>
      <c r="I423">
        <v>47272</v>
      </c>
      <c r="J423">
        <v>2.8022327602338648</v>
      </c>
      <c r="K423">
        <v>575527</v>
      </c>
      <c r="L423">
        <v>312629</v>
      </c>
      <c r="M423">
        <v>59332</v>
      </c>
      <c r="N423">
        <v>6103</v>
      </c>
      <c r="O423" s="43">
        <v>10688437.66212</v>
      </c>
      <c r="P423" s="14">
        <f t="shared" si="20"/>
        <v>7522309.6621199995</v>
      </c>
      <c r="Q423" s="14" t="str">
        <f t="shared" si="18"/>
        <v/>
      </c>
      <c r="R423" s="14" t="str">
        <f t="shared" si="18"/>
        <v/>
      </c>
      <c r="S423" s="14" t="str">
        <f t="shared" si="19"/>
        <v/>
      </c>
      <c r="T423" s="14" t="s">
        <v>72</v>
      </c>
      <c r="U423" s="14">
        <v>159.1282294406837</v>
      </c>
      <c r="V423">
        <v>6122</v>
      </c>
      <c r="W423">
        <v>21.596704101562501</v>
      </c>
      <c r="X423">
        <v>24.875457210754199</v>
      </c>
      <c r="Y423">
        <v>1.9392276047375301</v>
      </c>
      <c r="Z423" s="31">
        <v>2.6179601150301002</v>
      </c>
      <c r="AA423">
        <v>4.5005197670073098</v>
      </c>
      <c r="AB423">
        <v>0.08</v>
      </c>
      <c r="AC423">
        <v>644146.91922296095</v>
      </c>
      <c r="AD423">
        <v>728401.3362573242</v>
      </c>
      <c r="AE423">
        <v>1</v>
      </c>
      <c r="AF423">
        <v>62274.779209876448</v>
      </c>
      <c r="AG423">
        <v>253287.28627111489</v>
      </c>
    </row>
    <row r="424" spans="2:33" hidden="1" x14ac:dyDescent="0.25">
      <c r="B424">
        <v>10</v>
      </c>
      <c r="C424" t="s">
        <v>39</v>
      </c>
      <c r="D424" t="s">
        <v>26</v>
      </c>
      <c r="E424" t="s">
        <v>68</v>
      </c>
      <c r="F424">
        <v>98149</v>
      </c>
      <c r="G424">
        <v>219267</v>
      </c>
      <c r="H424">
        <v>7</v>
      </c>
      <c r="I424">
        <v>11702</v>
      </c>
      <c r="J424">
        <v>4.8741904418510176</v>
      </c>
      <c r="K424">
        <v>575527</v>
      </c>
      <c r="L424">
        <v>312629</v>
      </c>
      <c r="M424">
        <v>59332</v>
      </c>
      <c r="N424">
        <v>6103</v>
      </c>
      <c r="O424" s="43">
        <v>14268628.48968</v>
      </c>
      <c r="P424" s="14">
        <f t="shared" si="20"/>
        <v>3580190.8275600001</v>
      </c>
      <c r="Q424" s="14" t="str">
        <f t="shared" si="18"/>
        <v/>
      </c>
      <c r="R424" s="14" t="str">
        <f t="shared" si="18"/>
        <v/>
      </c>
      <c r="S424" s="14" t="str">
        <f t="shared" si="19"/>
        <v/>
      </c>
      <c r="T424" s="14" t="s">
        <v>72</v>
      </c>
      <c r="U424" s="14">
        <v>305.94691741240814</v>
      </c>
      <c r="V424">
        <v>6122</v>
      </c>
      <c r="W424">
        <v>20.677636718750001</v>
      </c>
      <c r="X424">
        <v>35.159987190258803</v>
      </c>
      <c r="Y424">
        <v>1.5819394343137301</v>
      </c>
      <c r="Z424" s="31">
        <v>3.8286943141271101</v>
      </c>
      <c r="AA424">
        <v>5.3681163310790998</v>
      </c>
      <c r="AB424">
        <v>0.08</v>
      </c>
      <c r="AC424">
        <v>644146.91922296095</v>
      </c>
      <c r="AD424">
        <v>728401.3362573242</v>
      </c>
      <c r="AE424">
        <v>1</v>
      </c>
      <c r="AF424">
        <v>62274.779209876448</v>
      </c>
      <c r="AG424">
        <v>253287.28627111489</v>
      </c>
    </row>
    <row r="425" spans="2:33" hidden="1" x14ac:dyDescent="0.25">
      <c r="B425">
        <v>10</v>
      </c>
      <c r="C425" t="s">
        <v>39</v>
      </c>
      <c r="D425" t="s">
        <v>26</v>
      </c>
      <c r="E425" t="s">
        <v>68</v>
      </c>
      <c r="F425">
        <v>106562</v>
      </c>
      <c r="G425">
        <v>219267</v>
      </c>
      <c r="H425">
        <v>8</v>
      </c>
      <c r="I425">
        <v>7941</v>
      </c>
      <c r="J425">
        <v>2.6110515241829111</v>
      </c>
      <c r="K425">
        <v>575527</v>
      </c>
      <c r="L425">
        <v>312629</v>
      </c>
      <c r="M425">
        <v>59332</v>
      </c>
      <c r="N425">
        <v>6103</v>
      </c>
      <c r="O425" s="43">
        <v>16615953.950759999</v>
      </c>
      <c r="P425" s="14">
        <f t="shared" si="20"/>
        <v>2347325.4610799998</v>
      </c>
      <c r="Q425" s="14" t="str">
        <f t="shared" si="18"/>
        <v/>
      </c>
      <c r="R425" s="14" t="str">
        <f t="shared" si="18"/>
        <v/>
      </c>
      <c r="S425" s="14" t="str">
        <f t="shared" si="19"/>
        <v/>
      </c>
      <c r="T425" s="14" t="s">
        <v>72</v>
      </c>
      <c r="U425" s="14">
        <v>295.59570092935394</v>
      </c>
      <c r="V425">
        <v>6122</v>
      </c>
      <c r="W425">
        <v>18.706567382812501</v>
      </c>
      <c r="X425">
        <v>38.957900172287403</v>
      </c>
      <c r="Y425">
        <v>1.31803513470094</v>
      </c>
      <c r="Z425" s="31">
        <v>4.1643557740474302</v>
      </c>
      <c r="AA425">
        <v>7.0766233147670397</v>
      </c>
      <c r="AB425">
        <v>0.08</v>
      </c>
      <c r="AC425">
        <v>644146.91922296095</v>
      </c>
      <c r="AD425">
        <v>728401.3362573242</v>
      </c>
      <c r="AE425">
        <v>1</v>
      </c>
      <c r="AF425">
        <v>62274.779209876448</v>
      </c>
      <c r="AG425">
        <v>253287.28627111489</v>
      </c>
    </row>
    <row r="426" spans="2:33" hidden="1" x14ac:dyDescent="0.25">
      <c r="B426">
        <v>10</v>
      </c>
      <c r="C426" t="s">
        <v>39</v>
      </c>
      <c r="D426" t="s">
        <v>26</v>
      </c>
      <c r="E426" t="s">
        <v>68</v>
      </c>
      <c r="F426">
        <v>117704</v>
      </c>
      <c r="G426">
        <v>219267</v>
      </c>
      <c r="H426">
        <v>9</v>
      </c>
      <c r="I426">
        <v>9029</v>
      </c>
      <c r="J426">
        <v>3.458021642986568</v>
      </c>
      <c r="K426">
        <v>575527</v>
      </c>
      <c r="L426">
        <v>312629</v>
      </c>
      <c r="M426">
        <v>59332</v>
      </c>
      <c r="N426">
        <v>6103</v>
      </c>
      <c r="O426" s="43">
        <v>23232115.517760001</v>
      </c>
      <c r="P426" s="14">
        <f t="shared" si="20"/>
        <v>6616161.5670000017</v>
      </c>
      <c r="Q426" s="14" t="str">
        <f t="shared" si="18"/>
        <v/>
      </c>
      <c r="R426" s="14" t="str">
        <f t="shared" si="18"/>
        <v/>
      </c>
      <c r="S426" s="14" t="str">
        <f t="shared" si="19"/>
        <v/>
      </c>
      <c r="T426" s="14" t="s">
        <v>72</v>
      </c>
      <c r="U426" s="14">
        <v>732.7679219182636</v>
      </c>
      <c r="V426">
        <v>6122</v>
      </c>
      <c r="W426">
        <v>21.019067382812501</v>
      </c>
      <c r="X426">
        <v>36.824579118915899</v>
      </c>
      <c r="Y426">
        <v>1.5739509562808001</v>
      </c>
      <c r="Z426" s="31">
        <v>3.32745589582228</v>
      </c>
      <c r="AA426">
        <v>4.1483898342509304</v>
      </c>
      <c r="AB426">
        <v>0.08</v>
      </c>
      <c r="AC426">
        <v>644146.91922296095</v>
      </c>
      <c r="AD426">
        <v>728401.3362573242</v>
      </c>
      <c r="AE426">
        <v>1</v>
      </c>
      <c r="AF426">
        <v>62274.779209876448</v>
      </c>
      <c r="AG426">
        <v>253287.28627111489</v>
      </c>
    </row>
    <row r="427" spans="2:33" hidden="1" x14ac:dyDescent="0.25">
      <c r="B427">
        <v>10</v>
      </c>
      <c r="C427" t="s">
        <v>39</v>
      </c>
      <c r="D427" t="s">
        <v>26</v>
      </c>
      <c r="E427" t="s">
        <v>68</v>
      </c>
      <c r="F427">
        <v>126182</v>
      </c>
      <c r="G427">
        <v>219267</v>
      </c>
      <c r="H427">
        <v>10</v>
      </c>
      <c r="I427">
        <v>15705</v>
      </c>
      <c r="J427">
        <v>2.63122486889608</v>
      </c>
      <c r="K427">
        <v>575527</v>
      </c>
      <c r="L427">
        <v>312629</v>
      </c>
      <c r="M427">
        <v>59332</v>
      </c>
      <c r="N427">
        <v>6103</v>
      </c>
      <c r="O427" s="43">
        <v>29035387.28988</v>
      </c>
      <c r="P427" s="14">
        <f t="shared" si="20"/>
        <v>5803271.7721199989</v>
      </c>
      <c r="Q427" s="14" t="str">
        <f t="shared" si="18"/>
        <v/>
      </c>
      <c r="R427" s="14" t="str">
        <f t="shared" si="18"/>
        <v/>
      </c>
      <c r="S427" s="14" t="str">
        <f t="shared" si="19"/>
        <v/>
      </c>
      <c r="T427" s="14" t="s">
        <v>72</v>
      </c>
      <c r="U427" s="14">
        <v>369.5174639999999</v>
      </c>
      <c r="V427">
        <v>6122</v>
      </c>
      <c r="W427">
        <v>20.747583007812501</v>
      </c>
      <c r="X427">
        <v>34.117512314868101</v>
      </c>
      <c r="Y427">
        <v>1.61431686273057</v>
      </c>
      <c r="Z427" s="31">
        <v>3.8467047294194798</v>
      </c>
      <c r="AA427">
        <v>6.8044694702782396</v>
      </c>
      <c r="AB427">
        <v>0.08</v>
      </c>
      <c r="AC427">
        <v>644146.91922296095</v>
      </c>
      <c r="AD427">
        <v>728401.3362573242</v>
      </c>
      <c r="AE427">
        <v>1</v>
      </c>
      <c r="AF427">
        <v>62274.779209876448</v>
      </c>
      <c r="AG427">
        <v>253287.28627111489</v>
      </c>
    </row>
    <row r="428" spans="2:33" hidden="1" x14ac:dyDescent="0.25">
      <c r="B428">
        <v>10</v>
      </c>
      <c r="C428" t="s">
        <v>39</v>
      </c>
      <c r="D428" t="s">
        <v>26</v>
      </c>
      <c r="E428" t="s">
        <v>68</v>
      </c>
      <c r="F428">
        <v>136643</v>
      </c>
      <c r="G428">
        <v>219267</v>
      </c>
      <c r="H428">
        <v>11</v>
      </c>
      <c r="I428">
        <v>8413</v>
      </c>
      <c r="J428">
        <v>3.2466670622224449</v>
      </c>
      <c r="K428">
        <v>575527</v>
      </c>
      <c r="L428">
        <v>312629</v>
      </c>
      <c r="M428">
        <v>59332</v>
      </c>
      <c r="N428">
        <v>6103</v>
      </c>
      <c r="O428" s="43">
        <v>36757253.476800002</v>
      </c>
      <c r="P428" s="14">
        <f t="shared" si="20"/>
        <v>7721866.1869200021</v>
      </c>
      <c r="Q428" s="14" t="str">
        <f t="shared" si="18"/>
        <v/>
      </c>
      <c r="R428" s="14" t="str">
        <f t="shared" si="18"/>
        <v/>
      </c>
      <c r="S428" s="14" t="str">
        <f t="shared" si="19"/>
        <v/>
      </c>
      <c r="T428" s="14" t="s">
        <v>72</v>
      </c>
      <c r="U428" s="14">
        <v>917.84930309283277</v>
      </c>
      <c r="V428">
        <v>6122</v>
      </c>
      <c r="W428">
        <v>20.980737304687501</v>
      </c>
      <c r="X428">
        <v>32.153082048789003</v>
      </c>
      <c r="Y428">
        <v>1.6864550311740001</v>
      </c>
      <c r="Z428" s="31">
        <v>3.7775920459135501</v>
      </c>
      <c r="AA428">
        <v>7.0175215377511497</v>
      </c>
      <c r="AB428">
        <v>0.08</v>
      </c>
      <c r="AC428">
        <v>644146.91922296095</v>
      </c>
      <c r="AD428">
        <v>728401.3362573242</v>
      </c>
      <c r="AE428">
        <v>1</v>
      </c>
      <c r="AF428">
        <v>62274.779209876448</v>
      </c>
      <c r="AG428">
        <v>253287.28627111489</v>
      </c>
    </row>
    <row r="429" spans="2:33" hidden="1" x14ac:dyDescent="0.25">
      <c r="B429">
        <v>10</v>
      </c>
      <c r="C429" t="s">
        <v>39</v>
      </c>
      <c r="D429" t="s">
        <v>26</v>
      </c>
      <c r="E429" t="s">
        <v>68</v>
      </c>
      <c r="F429">
        <v>143951</v>
      </c>
      <c r="G429">
        <v>219267</v>
      </c>
      <c r="H429">
        <v>12</v>
      </c>
      <c r="I429">
        <v>11142</v>
      </c>
      <c r="J429">
        <v>2.2681046640590412</v>
      </c>
      <c r="K429">
        <v>575527</v>
      </c>
      <c r="L429">
        <v>312629</v>
      </c>
      <c r="M429">
        <v>59332</v>
      </c>
      <c r="N429">
        <v>6103</v>
      </c>
      <c r="O429" s="43">
        <v>41194389.639600001</v>
      </c>
      <c r="P429" s="14">
        <f t="shared" si="20"/>
        <v>4437136.1627999991</v>
      </c>
      <c r="Q429" s="14" t="str">
        <f t="shared" si="18"/>
        <v/>
      </c>
      <c r="R429" s="14" t="str">
        <f t="shared" si="18"/>
        <v/>
      </c>
      <c r="S429" s="14" t="str">
        <f t="shared" si="19"/>
        <v/>
      </c>
      <c r="T429" s="14" t="s">
        <v>72</v>
      </c>
      <c r="U429" s="14">
        <v>398.2351609046849</v>
      </c>
      <c r="V429">
        <v>6122</v>
      </c>
      <c r="W429">
        <v>21.942285156250001</v>
      </c>
      <c r="X429">
        <v>23.6826821631855</v>
      </c>
      <c r="Y429">
        <v>2.0119955394037401</v>
      </c>
      <c r="Z429" s="31">
        <v>3.7562100777187002</v>
      </c>
      <c r="AA429">
        <v>5.6511075368429298</v>
      </c>
      <c r="AB429">
        <v>0.08</v>
      </c>
      <c r="AC429">
        <v>644146.91922296095</v>
      </c>
      <c r="AD429">
        <v>728401.3362573242</v>
      </c>
      <c r="AE429">
        <v>1</v>
      </c>
      <c r="AF429">
        <v>62274.779209876448</v>
      </c>
      <c r="AG429">
        <v>253287.28627111489</v>
      </c>
    </row>
    <row r="430" spans="2:33" hidden="1" x14ac:dyDescent="0.25">
      <c r="B430">
        <v>10</v>
      </c>
      <c r="C430" t="s">
        <v>39</v>
      </c>
      <c r="D430" t="s">
        <v>26</v>
      </c>
      <c r="E430" t="s">
        <v>68</v>
      </c>
      <c r="F430">
        <v>149684</v>
      </c>
      <c r="G430">
        <v>219267</v>
      </c>
      <c r="H430">
        <v>13</v>
      </c>
      <c r="I430">
        <v>8478</v>
      </c>
      <c r="J430">
        <v>1.779289003701489</v>
      </c>
      <c r="K430">
        <v>575527</v>
      </c>
      <c r="L430">
        <v>312629</v>
      </c>
      <c r="M430">
        <v>59332</v>
      </c>
      <c r="N430">
        <v>6103</v>
      </c>
      <c r="O430" s="43">
        <v>53284605.597000003</v>
      </c>
      <c r="P430" s="14">
        <f t="shared" si="20"/>
        <v>12090215.957400002</v>
      </c>
      <c r="Q430" s="14" t="str">
        <f t="shared" si="18"/>
        <v/>
      </c>
      <c r="R430" s="14" t="str">
        <f t="shared" si="18"/>
        <v/>
      </c>
      <c r="S430" s="14" t="str">
        <f t="shared" si="19"/>
        <v/>
      </c>
      <c r="T430" s="14" t="s">
        <v>72</v>
      </c>
      <c r="U430" s="14">
        <v>1426.0693509554142</v>
      </c>
      <c r="V430">
        <v>6122</v>
      </c>
      <c r="W430">
        <v>25.083398437500001</v>
      </c>
      <c r="X430">
        <v>15.559960770216501</v>
      </c>
      <c r="Y430">
        <v>2.6895597379941298</v>
      </c>
      <c r="Z430" s="31">
        <v>2.9892557099994499</v>
      </c>
      <c r="AA430">
        <v>1.94063722157479</v>
      </c>
      <c r="AB430">
        <v>0.08</v>
      </c>
      <c r="AC430">
        <v>644146.91922296095</v>
      </c>
      <c r="AD430">
        <v>728401.3362573242</v>
      </c>
      <c r="AE430">
        <v>1</v>
      </c>
      <c r="AF430">
        <v>62274.779209876448</v>
      </c>
      <c r="AG430">
        <v>253287.28627111489</v>
      </c>
    </row>
    <row r="431" spans="2:33" hidden="1" x14ac:dyDescent="0.25">
      <c r="B431">
        <v>10</v>
      </c>
      <c r="C431" t="s">
        <v>39</v>
      </c>
      <c r="D431" t="s">
        <v>26</v>
      </c>
      <c r="E431" t="s">
        <v>68</v>
      </c>
      <c r="F431">
        <v>156515</v>
      </c>
      <c r="G431">
        <v>219267</v>
      </c>
      <c r="H431">
        <v>14</v>
      </c>
      <c r="I431">
        <v>10461</v>
      </c>
      <c r="J431">
        <v>2.120063349779326</v>
      </c>
      <c r="K431">
        <v>575527</v>
      </c>
      <c r="L431">
        <v>312629</v>
      </c>
      <c r="M431">
        <v>59332</v>
      </c>
      <c r="N431">
        <v>6103</v>
      </c>
      <c r="O431" s="43">
        <v>57547083.439439997</v>
      </c>
      <c r="P431" s="14">
        <f t="shared" si="20"/>
        <v>4262477.8424399942</v>
      </c>
      <c r="Q431" s="14" t="str">
        <f t="shared" si="18"/>
        <v/>
      </c>
      <c r="R431" s="14" t="str">
        <f t="shared" si="18"/>
        <v/>
      </c>
      <c r="S431" s="14" t="str">
        <f t="shared" si="19"/>
        <v/>
      </c>
      <c r="T431" s="14" t="s">
        <v>72</v>
      </c>
      <c r="U431" s="14">
        <v>407.46370733581819</v>
      </c>
      <c r="V431">
        <v>6122</v>
      </c>
      <c r="W431">
        <v>26.375390625000001</v>
      </c>
      <c r="X431">
        <v>15.186590542446099</v>
      </c>
      <c r="Y431">
        <v>2.9161190678107798</v>
      </c>
      <c r="Z431" s="31">
        <v>3.11497140797686</v>
      </c>
      <c r="AA431">
        <v>1.56648002313146</v>
      </c>
      <c r="AB431">
        <v>0.08</v>
      </c>
      <c r="AC431">
        <v>644146.91922296095</v>
      </c>
      <c r="AD431">
        <v>728401.3362573242</v>
      </c>
      <c r="AE431">
        <v>1</v>
      </c>
      <c r="AF431">
        <v>62274.779209876448</v>
      </c>
      <c r="AG431">
        <v>253287.28627111489</v>
      </c>
    </row>
    <row r="432" spans="2:33" hidden="1" x14ac:dyDescent="0.25">
      <c r="B432">
        <v>10</v>
      </c>
      <c r="C432" t="s">
        <v>39</v>
      </c>
      <c r="D432" t="s">
        <v>26</v>
      </c>
      <c r="E432" t="s">
        <v>68</v>
      </c>
      <c r="F432">
        <v>177260</v>
      </c>
      <c r="G432">
        <v>219267</v>
      </c>
      <c r="H432">
        <v>15</v>
      </c>
      <c r="I432">
        <v>7308</v>
      </c>
      <c r="J432">
        <v>6.4384005549951846</v>
      </c>
      <c r="K432">
        <v>575527</v>
      </c>
      <c r="L432">
        <v>312629</v>
      </c>
      <c r="M432">
        <v>59332</v>
      </c>
      <c r="N432">
        <v>6103</v>
      </c>
      <c r="O432" s="43">
        <v>64843579.198799998</v>
      </c>
      <c r="P432" s="14">
        <f t="shared" si="20"/>
        <v>7296495.7593600005</v>
      </c>
      <c r="Q432" s="14" t="str">
        <f t="shared" si="18"/>
        <v/>
      </c>
      <c r="R432" s="14" t="str">
        <f t="shared" si="18"/>
        <v/>
      </c>
      <c r="S432" s="14" t="str">
        <f t="shared" si="19"/>
        <v/>
      </c>
      <c r="T432" s="14" t="s">
        <v>72</v>
      </c>
      <c r="U432" s="14">
        <v>998.42580177339903</v>
      </c>
      <c r="V432">
        <v>6122</v>
      </c>
      <c r="W432">
        <v>27.412255859375001</v>
      </c>
      <c r="X432">
        <v>17.157221635672599</v>
      </c>
      <c r="Y432">
        <v>3.0269047911671998</v>
      </c>
      <c r="Z432" s="31">
        <v>3.4005375726429801</v>
      </c>
      <c r="AA432">
        <v>2.6181118091365301</v>
      </c>
      <c r="AB432">
        <v>0.08</v>
      </c>
      <c r="AC432">
        <v>644146.91922296095</v>
      </c>
      <c r="AD432">
        <v>728401.3362573242</v>
      </c>
      <c r="AE432">
        <v>1</v>
      </c>
      <c r="AF432">
        <v>62274.779209876448</v>
      </c>
      <c r="AG432">
        <v>253287.28627111489</v>
      </c>
    </row>
    <row r="433" spans="2:33" hidden="1" x14ac:dyDescent="0.25">
      <c r="B433">
        <v>10</v>
      </c>
      <c r="C433" t="s">
        <v>39</v>
      </c>
      <c r="D433" t="s">
        <v>26</v>
      </c>
      <c r="E433" t="s">
        <v>68</v>
      </c>
      <c r="F433">
        <v>191607</v>
      </c>
      <c r="G433">
        <v>219267</v>
      </c>
      <c r="H433">
        <v>16</v>
      </c>
      <c r="I433">
        <v>5733</v>
      </c>
      <c r="J433">
        <v>4.4527227169205066</v>
      </c>
      <c r="K433">
        <v>575527</v>
      </c>
      <c r="L433">
        <v>312629</v>
      </c>
      <c r="M433">
        <v>59332</v>
      </c>
      <c r="N433">
        <v>6103</v>
      </c>
      <c r="O433" s="43">
        <v>72175896.304199994</v>
      </c>
      <c r="P433" s="14">
        <f t="shared" si="20"/>
        <v>7332317.105399996</v>
      </c>
      <c r="Q433" s="14" t="str">
        <f t="shared" si="18"/>
        <v/>
      </c>
      <c r="R433" s="14" t="str">
        <f t="shared" si="18"/>
        <v/>
      </c>
      <c r="S433" s="14" t="str">
        <f t="shared" si="19"/>
        <v/>
      </c>
      <c r="T433" s="14" t="s">
        <v>72</v>
      </c>
      <c r="U433" s="14">
        <v>1278.9668769230761</v>
      </c>
      <c r="V433">
        <v>6122</v>
      </c>
      <c r="W433">
        <v>27.506127929687501</v>
      </c>
      <c r="X433">
        <v>14.994771383181</v>
      </c>
      <c r="Y433">
        <v>3.1230843995911099</v>
      </c>
      <c r="Z433" s="31">
        <v>3.9542841058062099</v>
      </c>
      <c r="AA433">
        <v>6.0015681926101996</v>
      </c>
      <c r="AB433">
        <v>0.08</v>
      </c>
      <c r="AC433">
        <v>644146.91922296095</v>
      </c>
      <c r="AD433">
        <v>728401.3362573242</v>
      </c>
      <c r="AE433">
        <v>1</v>
      </c>
      <c r="AF433">
        <v>62274.779209876448</v>
      </c>
      <c r="AG433">
        <v>253287.28627111489</v>
      </c>
    </row>
    <row r="434" spans="2:33" hidden="1" x14ac:dyDescent="0.25">
      <c r="B434">
        <v>10</v>
      </c>
      <c r="C434" t="s">
        <v>39</v>
      </c>
      <c r="D434" t="s">
        <v>26</v>
      </c>
      <c r="E434" t="s">
        <v>68</v>
      </c>
      <c r="F434">
        <v>204390</v>
      </c>
      <c r="G434">
        <v>219267</v>
      </c>
      <c r="H434">
        <v>17</v>
      </c>
      <c r="I434">
        <v>6831</v>
      </c>
      <c r="J434">
        <v>3.967321007206722</v>
      </c>
      <c r="K434">
        <v>575527</v>
      </c>
      <c r="L434">
        <v>312629</v>
      </c>
      <c r="M434">
        <v>59332</v>
      </c>
      <c r="N434">
        <v>6103</v>
      </c>
      <c r="O434" s="43">
        <v>84026931.644879997</v>
      </c>
      <c r="P434" s="14">
        <f t="shared" si="20"/>
        <v>11851035.340680003</v>
      </c>
      <c r="Q434" s="14" t="str">
        <f t="shared" si="18"/>
        <v/>
      </c>
      <c r="R434" s="14" t="str">
        <f t="shared" si="18"/>
        <v/>
      </c>
      <c r="S434" s="14" t="str">
        <f t="shared" si="19"/>
        <v/>
      </c>
      <c r="T434" s="14" t="s">
        <v>72</v>
      </c>
      <c r="U434" s="14">
        <v>1734.8902562845853</v>
      </c>
      <c r="V434">
        <v>6122</v>
      </c>
      <c r="W434">
        <v>27.024560546875001</v>
      </c>
      <c r="X434">
        <v>14.8230752046627</v>
      </c>
      <c r="Y434">
        <v>3.0424743006753698</v>
      </c>
      <c r="Z434" s="31">
        <v>4.4683977394683501</v>
      </c>
      <c r="AA434">
        <v>7.0272105068274504</v>
      </c>
      <c r="AB434">
        <v>0.08</v>
      </c>
      <c r="AC434">
        <v>644146.91922296095</v>
      </c>
      <c r="AD434">
        <v>728401.3362573242</v>
      </c>
      <c r="AE434">
        <v>1</v>
      </c>
      <c r="AF434">
        <v>62274.779209876448</v>
      </c>
      <c r="AG434">
        <v>253287.28627111489</v>
      </c>
    </row>
    <row r="435" spans="2:33" hidden="1" x14ac:dyDescent="0.25">
      <c r="B435">
        <v>10</v>
      </c>
      <c r="C435" t="s">
        <v>39</v>
      </c>
      <c r="D435" t="s">
        <v>26</v>
      </c>
      <c r="E435" t="s">
        <v>68</v>
      </c>
      <c r="F435">
        <v>210259</v>
      </c>
      <c r="G435">
        <v>219267</v>
      </c>
      <c r="H435">
        <v>18</v>
      </c>
      <c r="I435">
        <v>20745</v>
      </c>
      <c r="J435">
        <v>1.821497848024427</v>
      </c>
      <c r="K435">
        <v>575527</v>
      </c>
      <c r="L435">
        <v>312629</v>
      </c>
      <c r="M435">
        <v>59332</v>
      </c>
      <c r="N435">
        <v>6103</v>
      </c>
      <c r="O435" s="43">
        <v>90960591.396960005</v>
      </c>
      <c r="P435" s="14">
        <f t="shared" si="20"/>
        <v>6933659.7520800084</v>
      </c>
      <c r="Q435" s="14" t="str">
        <f t="shared" si="18"/>
        <v/>
      </c>
      <c r="R435" s="14" t="str">
        <f t="shared" si="18"/>
        <v/>
      </c>
      <c r="S435" s="14" t="str">
        <f t="shared" si="19"/>
        <v/>
      </c>
      <c r="T435" s="14" t="s">
        <v>72</v>
      </c>
      <c r="U435" s="14">
        <v>334.23281523644295</v>
      </c>
      <c r="V435">
        <v>6122</v>
      </c>
      <c r="W435">
        <v>24.933129882812501</v>
      </c>
      <c r="X435">
        <v>12.2812507244525</v>
      </c>
      <c r="Y435">
        <v>2.7691645607864999</v>
      </c>
      <c r="Z435" s="31">
        <v>3.8627011123419299</v>
      </c>
      <c r="AA435">
        <v>6.4650538021793897</v>
      </c>
      <c r="AB435">
        <v>0.08</v>
      </c>
      <c r="AC435">
        <v>644146.91922296095</v>
      </c>
      <c r="AD435">
        <v>728401.3362573242</v>
      </c>
      <c r="AE435">
        <v>1</v>
      </c>
      <c r="AF435">
        <v>62274.779209876448</v>
      </c>
      <c r="AG435">
        <v>253287.28627111489</v>
      </c>
    </row>
    <row r="436" spans="2:33" hidden="1" x14ac:dyDescent="0.25">
      <c r="B436">
        <v>10</v>
      </c>
      <c r="C436" t="s">
        <v>39</v>
      </c>
      <c r="D436" t="s">
        <v>26</v>
      </c>
      <c r="E436" t="s">
        <v>68</v>
      </c>
      <c r="F436">
        <v>212907</v>
      </c>
      <c r="G436">
        <v>219267</v>
      </c>
      <c r="H436">
        <v>19</v>
      </c>
      <c r="I436">
        <v>14347</v>
      </c>
      <c r="J436">
        <v>0.82183102769955407</v>
      </c>
      <c r="K436">
        <v>575527</v>
      </c>
      <c r="L436">
        <v>312629</v>
      </c>
      <c r="M436">
        <v>59332</v>
      </c>
      <c r="N436">
        <v>6103</v>
      </c>
      <c r="O436" s="43">
        <v>90960557.474160001</v>
      </c>
      <c r="P436" s="14">
        <f t="shared" si="20"/>
        <v>-33.922800004482269</v>
      </c>
      <c r="Q436" s="14">
        <f t="shared" si="18"/>
        <v>-33.922800004482269</v>
      </c>
      <c r="R436" s="14">
        <f t="shared" si="18"/>
        <v>-33.922800004482269</v>
      </c>
      <c r="S436" s="14">
        <f t="shared" si="19"/>
        <v>1150.7563601441022</v>
      </c>
      <c r="T436" s="14">
        <v>1150.7563601441022</v>
      </c>
      <c r="U436" s="14">
        <v>-2.3644524990926513E-3</v>
      </c>
      <c r="V436">
        <v>6122</v>
      </c>
      <c r="W436">
        <v>21.187524414062501</v>
      </c>
      <c r="X436">
        <v>21.030119887774099</v>
      </c>
      <c r="Y436">
        <v>1.9881539001187101</v>
      </c>
      <c r="Z436" s="31">
        <v>3.8101497069956398</v>
      </c>
      <c r="AA436">
        <v>7.6093070687145596</v>
      </c>
      <c r="AB436">
        <v>0.08</v>
      </c>
      <c r="AC436">
        <v>644146.91922296095</v>
      </c>
      <c r="AD436">
        <v>728401.3362573242</v>
      </c>
      <c r="AE436">
        <v>1</v>
      </c>
      <c r="AF436">
        <v>62274.779209876448</v>
      </c>
      <c r="AG436">
        <v>253287.28627111489</v>
      </c>
    </row>
    <row r="437" spans="2:33" hidden="1" x14ac:dyDescent="0.25">
      <c r="B437">
        <v>10</v>
      </c>
      <c r="C437" t="s">
        <v>39</v>
      </c>
      <c r="D437" t="s">
        <v>26</v>
      </c>
      <c r="E437" t="s">
        <v>68</v>
      </c>
      <c r="F437">
        <v>214107</v>
      </c>
      <c r="G437">
        <v>219267</v>
      </c>
      <c r="H437">
        <v>20</v>
      </c>
      <c r="I437">
        <v>12783</v>
      </c>
      <c r="J437">
        <v>0.37243097932003971</v>
      </c>
      <c r="K437">
        <v>575527</v>
      </c>
      <c r="L437">
        <v>312629</v>
      </c>
      <c r="M437">
        <v>59332</v>
      </c>
      <c r="N437">
        <v>6103</v>
      </c>
      <c r="O437" s="43">
        <v>103284964.0044</v>
      </c>
      <c r="P437" s="14">
        <f t="shared" si="20"/>
        <v>12324406.530239999</v>
      </c>
      <c r="Q437" s="14" t="str">
        <f t="shared" si="18"/>
        <v/>
      </c>
      <c r="R437" s="14" t="str">
        <f t="shared" si="18"/>
        <v/>
      </c>
      <c r="S437" s="14" t="str">
        <f t="shared" si="19"/>
        <v/>
      </c>
      <c r="T437" s="14" t="s">
        <v>72</v>
      </c>
      <c r="U437" s="14">
        <v>964.12473834311186</v>
      </c>
      <c r="V437">
        <v>6122</v>
      </c>
      <c r="W437">
        <v>20.507592773437501</v>
      </c>
      <c r="X437">
        <v>24.5047230991871</v>
      </c>
      <c r="Y437">
        <v>1.8228984489213</v>
      </c>
      <c r="Z437" s="31">
        <v>3.41385455290694</v>
      </c>
      <c r="AA437">
        <v>4.5336676799829201</v>
      </c>
      <c r="AB437">
        <v>0.08</v>
      </c>
      <c r="AC437">
        <v>644146.91922296095</v>
      </c>
      <c r="AD437">
        <v>728401.3362573242</v>
      </c>
      <c r="AE437">
        <v>1</v>
      </c>
      <c r="AF437">
        <v>62274.779209876448</v>
      </c>
      <c r="AG437">
        <v>253287.28627111489</v>
      </c>
    </row>
    <row r="438" spans="2:33" hidden="1" x14ac:dyDescent="0.25">
      <c r="B438">
        <v>10</v>
      </c>
      <c r="C438" t="s">
        <v>39</v>
      </c>
      <c r="D438" t="s">
        <v>26</v>
      </c>
      <c r="E438" t="s">
        <v>68</v>
      </c>
      <c r="F438">
        <v>215400</v>
      </c>
      <c r="G438">
        <v>219267</v>
      </c>
      <c r="H438">
        <v>21</v>
      </c>
      <c r="I438">
        <v>5869</v>
      </c>
      <c r="J438">
        <v>0.40129438021734271</v>
      </c>
      <c r="K438">
        <v>575527</v>
      </c>
      <c r="L438">
        <v>312629</v>
      </c>
      <c r="M438">
        <v>59332</v>
      </c>
      <c r="N438">
        <v>6103</v>
      </c>
      <c r="O438" s="43">
        <v>115385178.14172</v>
      </c>
      <c r="P438" s="14">
        <f t="shared" si="20"/>
        <v>12100214.137319997</v>
      </c>
      <c r="Q438" s="14" t="str">
        <f t="shared" si="18"/>
        <v/>
      </c>
      <c r="R438" s="14" t="str">
        <f t="shared" si="18"/>
        <v/>
      </c>
      <c r="S438" s="14" t="str">
        <f t="shared" si="19"/>
        <v/>
      </c>
      <c r="T438" s="14" t="s">
        <v>72</v>
      </c>
      <c r="U438" s="14">
        <v>2061.716499798943</v>
      </c>
      <c r="V438">
        <v>6122</v>
      </c>
      <c r="W438">
        <v>22.413476562500001</v>
      </c>
      <c r="X438">
        <v>23.9162415305526</v>
      </c>
      <c r="Y438">
        <v>2.06412260550682</v>
      </c>
      <c r="Z438" s="31">
        <v>3.3751015568532399</v>
      </c>
      <c r="AA438">
        <v>2.0127197366058001</v>
      </c>
      <c r="AB438">
        <v>0.08</v>
      </c>
      <c r="AC438">
        <v>644146.91922296095</v>
      </c>
      <c r="AD438">
        <v>728401.3362573242</v>
      </c>
      <c r="AE438">
        <v>1</v>
      </c>
      <c r="AF438">
        <v>62274.779209876448</v>
      </c>
      <c r="AG438">
        <v>253287.28627111489</v>
      </c>
    </row>
    <row r="439" spans="2:33" hidden="1" x14ac:dyDescent="0.25">
      <c r="B439">
        <v>10</v>
      </c>
      <c r="C439" t="s">
        <v>39</v>
      </c>
      <c r="D439" t="s">
        <v>26</v>
      </c>
      <c r="E439" t="s">
        <v>68</v>
      </c>
      <c r="F439">
        <v>216358</v>
      </c>
      <c r="G439">
        <v>219267</v>
      </c>
      <c r="H439">
        <v>22</v>
      </c>
      <c r="I439">
        <v>2648</v>
      </c>
      <c r="J439">
        <v>0.29732406515716497</v>
      </c>
      <c r="K439">
        <v>575527</v>
      </c>
      <c r="L439">
        <v>312629</v>
      </c>
      <c r="M439">
        <v>59332</v>
      </c>
      <c r="N439">
        <v>6103</v>
      </c>
      <c r="O439" s="43">
        <v>122978943.92051999</v>
      </c>
      <c r="P439" s="14">
        <f t="shared" si="20"/>
        <v>7593765.7787999958</v>
      </c>
      <c r="Q439" s="14" t="str">
        <f t="shared" si="18"/>
        <v/>
      </c>
      <c r="R439" s="14" t="str">
        <f t="shared" si="18"/>
        <v/>
      </c>
      <c r="S439" s="14" t="str">
        <f t="shared" si="19"/>
        <v/>
      </c>
      <c r="T439" s="14" t="s">
        <v>72</v>
      </c>
      <c r="U439" s="14">
        <v>2867.7363212990922</v>
      </c>
      <c r="V439">
        <v>6122</v>
      </c>
      <c r="W439">
        <v>25.632104492187501</v>
      </c>
      <c r="X439">
        <v>18.2483445492655</v>
      </c>
      <c r="Y439">
        <v>2.6900461509728602</v>
      </c>
      <c r="Z439" s="31">
        <v>3.4055655081092602</v>
      </c>
      <c r="AA439">
        <v>1.6558223326288499</v>
      </c>
      <c r="AB439">
        <v>0.08</v>
      </c>
      <c r="AC439">
        <v>644146.91922296095</v>
      </c>
      <c r="AD439">
        <v>728401.3362573242</v>
      </c>
      <c r="AE439">
        <v>1</v>
      </c>
      <c r="AF439">
        <v>62274.779209876448</v>
      </c>
      <c r="AG439">
        <v>253287.28627111489</v>
      </c>
    </row>
    <row r="440" spans="2:33" hidden="1" x14ac:dyDescent="0.25">
      <c r="B440">
        <v>10</v>
      </c>
      <c r="C440" t="s">
        <v>39</v>
      </c>
      <c r="D440" t="s">
        <v>26</v>
      </c>
      <c r="E440" t="s">
        <v>68</v>
      </c>
      <c r="F440">
        <v>216646</v>
      </c>
      <c r="G440">
        <v>219267</v>
      </c>
      <c r="H440">
        <v>23</v>
      </c>
      <c r="I440">
        <v>1200</v>
      </c>
      <c r="J440">
        <v>8.9383435036809511E-2</v>
      </c>
      <c r="K440">
        <v>575527</v>
      </c>
      <c r="L440">
        <v>312629</v>
      </c>
      <c r="M440">
        <v>59332</v>
      </c>
      <c r="N440">
        <v>6103</v>
      </c>
      <c r="O440" s="43">
        <v>126885971.88</v>
      </c>
      <c r="P440" s="14">
        <f t="shared" si="20"/>
        <v>3907027.9594800025</v>
      </c>
      <c r="Q440" s="14" t="str">
        <f t="shared" si="18"/>
        <v/>
      </c>
      <c r="R440" s="14" t="str">
        <f t="shared" si="18"/>
        <v/>
      </c>
      <c r="S440" s="14" t="str">
        <f t="shared" si="19"/>
        <v/>
      </c>
      <c r="T440" s="14" t="s">
        <v>72</v>
      </c>
      <c r="U440" s="14">
        <v>3255.8566329000023</v>
      </c>
      <c r="V440">
        <v>6122</v>
      </c>
      <c r="W440">
        <v>27.724877929687501</v>
      </c>
      <c r="X440">
        <v>10.086540074377501</v>
      </c>
      <c r="Y440">
        <v>3.3459964976768002</v>
      </c>
      <c r="Z440" s="31">
        <v>3.43913198268968</v>
      </c>
      <c r="AA440">
        <v>1.5376772831165499</v>
      </c>
      <c r="AB440">
        <v>0.08</v>
      </c>
      <c r="AC440">
        <v>644146.91922296095</v>
      </c>
      <c r="AD440">
        <v>728401.3362573242</v>
      </c>
      <c r="AE440">
        <v>1</v>
      </c>
      <c r="AF440">
        <v>62274.779209876448</v>
      </c>
      <c r="AG440">
        <v>253287.28627111489</v>
      </c>
    </row>
    <row r="441" spans="2:33" hidden="1" x14ac:dyDescent="0.25">
      <c r="B441">
        <v>10</v>
      </c>
      <c r="C441" t="s">
        <v>39</v>
      </c>
      <c r="D441" t="s">
        <v>26</v>
      </c>
      <c r="E441" t="s">
        <v>68</v>
      </c>
      <c r="F441">
        <v>217569</v>
      </c>
      <c r="G441">
        <v>219267</v>
      </c>
      <c r="H441">
        <v>24</v>
      </c>
      <c r="I441">
        <v>1293</v>
      </c>
      <c r="J441">
        <v>0.28646149492699707</v>
      </c>
      <c r="K441">
        <v>575527</v>
      </c>
      <c r="L441">
        <v>312629</v>
      </c>
      <c r="M441">
        <v>59332</v>
      </c>
      <c r="N441">
        <v>6103</v>
      </c>
      <c r="O441" s="43">
        <v>138138164.63999999</v>
      </c>
      <c r="P441" s="14">
        <f t="shared" si="20"/>
        <v>11252192.75999999</v>
      </c>
      <c r="Q441" s="14" t="str">
        <f t="shared" si="18"/>
        <v/>
      </c>
      <c r="R441" s="14" t="str">
        <f t="shared" si="18"/>
        <v/>
      </c>
      <c r="S441" s="14" t="str">
        <f t="shared" si="19"/>
        <v/>
      </c>
      <c r="T441" s="14" t="s">
        <v>72</v>
      </c>
      <c r="U441" s="14">
        <v>8702.3919257540529</v>
      </c>
      <c r="V441">
        <v>6122</v>
      </c>
      <c r="W441">
        <v>28.273339843750001</v>
      </c>
      <c r="X441">
        <v>14.1710186688201</v>
      </c>
      <c r="Y441">
        <v>3.2974329536072799</v>
      </c>
      <c r="Z441" s="31">
        <v>3.6101159002922101</v>
      </c>
      <c r="AA441">
        <v>3.0938035914115498</v>
      </c>
      <c r="AB441">
        <v>0.08</v>
      </c>
      <c r="AC441">
        <v>644146.91922296095</v>
      </c>
      <c r="AD441">
        <v>728401.3362573242</v>
      </c>
      <c r="AE441">
        <v>1</v>
      </c>
      <c r="AF441">
        <v>62274.779209876448</v>
      </c>
      <c r="AG441">
        <v>253287.28627111489</v>
      </c>
    </row>
    <row r="442" spans="2:33" hidden="1" x14ac:dyDescent="0.25">
      <c r="B442">
        <v>10</v>
      </c>
      <c r="C442" t="s">
        <v>39</v>
      </c>
      <c r="D442" t="s">
        <v>26</v>
      </c>
      <c r="E442" t="s">
        <v>68</v>
      </c>
      <c r="F442">
        <v>217946</v>
      </c>
      <c r="G442">
        <v>219267</v>
      </c>
      <c r="H442">
        <v>25</v>
      </c>
      <c r="I442">
        <v>958</v>
      </c>
      <c r="J442">
        <v>0.1170053993363791</v>
      </c>
      <c r="K442">
        <v>575527</v>
      </c>
      <c r="L442">
        <v>312629</v>
      </c>
      <c r="M442">
        <v>59332</v>
      </c>
      <c r="N442">
        <v>6103</v>
      </c>
      <c r="O442" s="43">
        <v>143843815.63980001</v>
      </c>
      <c r="P442" s="14">
        <f t="shared" si="20"/>
        <v>5705650.9998000264</v>
      </c>
      <c r="Q442" s="14" t="str">
        <f t="shared" si="18"/>
        <v/>
      </c>
      <c r="R442" s="14" t="str">
        <f t="shared" si="18"/>
        <v/>
      </c>
      <c r="S442" s="14" t="str">
        <f t="shared" si="19"/>
        <v/>
      </c>
      <c r="T442" s="14" t="s">
        <v>72</v>
      </c>
      <c r="U442" s="14">
        <v>5955.794363048044</v>
      </c>
      <c r="V442">
        <v>6122</v>
      </c>
      <c r="W442">
        <v>27.797875976562501</v>
      </c>
      <c r="X442">
        <v>21.244464427700301</v>
      </c>
      <c r="Y442">
        <v>2.94283385485795</v>
      </c>
      <c r="Z442" s="31">
        <v>3.3202639021542599</v>
      </c>
      <c r="AA442">
        <v>2.25656236933541</v>
      </c>
      <c r="AB442">
        <v>0.08</v>
      </c>
      <c r="AC442">
        <v>644146.91922296095</v>
      </c>
      <c r="AD442">
        <v>728401.3362573242</v>
      </c>
      <c r="AE442">
        <v>1</v>
      </c>
      <c r="AF442">
        <v>62274.779209876448</v>
      </c>
      <c r="AG442">
        <v>253287.28627111489</v>
      </c>
    </row>
    <row r="443" spans="2:33" hidden="1" x14ac:dyDescent="0.25">
      <c r="B443">
        <v>10</v>
      </c>
      <c r="C443" t="s">
        <v>39</v>
      </c>
      <c r="D443" t="s">
        <v>26</v>
      </c>
      <c r="E443" t="s">
        <v>68</v>
      </c>
      <c r="F443">
        <v>218549</v>
      </c>
      <c r="G443">
        <v>219267</v>
      </c>
      <c r="H443">
        <v>26</v>
      </c>
      <c r="I443">
        <v>288</v>
      </c>
      <c r="J443">
        <v>0.18714656710831989</v>
      </c>
      <c r="K443">
        <v>575527</v>
      </c>
      <c r="L443">
        <v>312629</v>
      </c>
      <c r="M443">
        <v>59332</v>
      </c>
      <c r="N443">
        <v>6103</v>
      </c>
      <c r="O443" s="43">
        <v>151158315.35988</v>
      </c>
      <c r="P443" s="14">
        <f t="shared" si="20"/>
        <v>7314499.7200799882</v>
      </c>
      <c r="Q443" s="14" t="str">
        <f t="shared" si="18"/>
        <v/>
      </c>
      <c r="R443" s="14" t="str">
        <f t="shared" si="18"/>
        <v/>
      </c>
      <c r="S443" s="14" t="str">
        <f t="shared" si="19"/>
        <v/>
      </c>
      <c r="T443" s="14" t="s">
        <v>72</v>
      </c>
      <c r="U443" s="14">
        <v>25397.568472499959</v>
      </c>
      <c r="V443">
        <v>6122</v>
      </c>
      <c r="W443">
        <v>28.283837890625001</v>
      </c>
      <c r="X443">
        <v>18.120469912348799</v>
      </c>
      <c r="Y443">
        <v>3.1474255197809198</v>
      </c>
      <c r="Z443" s="31">
        <v>4.15019923750594</v>
      </c>
      <c r="AA443">
        <v>6.7245292782410599</v>
      </c>
      <c r="AB443">
        <v>0.08</v>
      </c>
      <c r="AC443">
        <v>644146.91922296095</v>
      </c>
      <c r="AD443">
        <v>728401.3362573242</v>
      </c>
      <c r="AE443">
        <v>1</v>
      </c>
      <c r="AF443">
        <v>62274.779209876448</v>
      </c>
      <c r="AG443">
        <v>253287.28627111489</v>
      </c>
    </row>
    <row r="444" spans="2:33" hidden="1" x14ac:dyDescent="0.25">
      <c r="B444">
        <v>10</v>
      </c>
      <c r="C444" t="s">
        <v>39</v>
      </c>
      <c r="D444" t="s">
        <v>26</v>
      </c>
      <c r="E444" t="s">
        <v>68</v>
      </c>
      <c r="F444">
        <v>219374</v>
      </c>
      <c r="G444">
        <v>219267</v>
      </c>
      <c r="H444">
        <v>27</v>
      </c>
      <c r="I444">
        <v>923</v>
      </c>
      <c r="J444">
        <v>0.25604629828252717</v>
      </c>
      <c r="K444">
        <v>575527</v>
      </c>
      <c r="L444">
        <v>312629</v>
      </c>
      <c r="M444">
        <v>59332</v>
      </c>
      <c r="N444">
        <v>6103</v>
      </c>
      <c r="O444" s="43">
        <v>159825175.77096</v>
      </c>
      <c r="P444" s="14">
        <f t="shared" si="20"/>
        <v>8666860.4110800028</v>
      </c>
      <c r="Q444" s="14" t="str">
        <f t="shared" si="18"/>
        <v/>
      </c>
      <c r="R444" s="14" t="str">
        <f t="shared" si="18"/>
        <v/>
      </c>
      <c r="S444" s="14" t="str">
        <f t="shared" si="19"/>
        <v/>
      </c>
      <c r="T444" s="14" t="s">
        <v>72</v>
      </c>
      <c r="U444" s="14">
        <v>9389.8812687757345</v>
      </c>
      <c r="V444">
        <v>6122</v>
      </c>
      <c r="W444">
        <v>24.619287109375001</v>
      </c>
      <c r="X444">
        <v>23.491524906503699</v>
      </c>
      <c r="Y444">
        <v>2.3702727691038801</v>
      </c>
      <c r="Z444" s="31">
        <v>4.5054678732638598</v>
      </c>
      <c r="AA444">
        <v>8.7116042464793608</v>
      </c>
      <c r="AB444">
        <v>0.08</v>
      </c>
      <c r="AC444">
        <v>644146.91922296095</v>
      </c>
      <c r="AD444">
        <v>728401.3362573242</v>
      </c>
      <c r="AE444">
        <v>1</v>
      </c>
      <c r="AF444">
        <v>62274.779209876448</v>
      </c>
      <c r="AG444">
        <v>253287.28627111489</v>
      </c>
    </row>
    <row r="445" spans="2:33" hidden="1" x14ac:dyDescent="0.25">
      <c r="B445">
        <v>10</v>
      </c>
      <c r="C445" t="s">
        <v>39</v>
      </c>
      <c r="D445" t="s">
        <v>26</v>
      </c>
      <c r="E445" t="s">
        <v>68</v>
      </c>
      <c r="F445">
        <v>219701</v>
      </c>
      <c r="G445">
        <v>219267</v>
      </c>
      <c r="H445">
        <v>28</v>
      </c>
      <c r="I445">
        <v>377</v>
      </c>
      <c r="J445">
        <v>0.1014874418647108</v>
      </c>
      <c r="K445">
        <v>575527</v>
      </c>
      <c r="L445">
        <v>312629</v>
      </c>
      <c r="M445">
        <v>59332</v>
      </c>
      <c r="N445">
        <v>6103</v>
      </c>
      <c r="O445" s="43">
        <v>166659584.19479999</v>
      </c>
      <c r="P445" s="14">
        <f t="shared" si="20"/>
        <v>6834408.4238399863</v>
      </c>
      <c r="Q445" s="14" t="str">
        <f t="shared" si="18"/>
        <v/>
      </c>
      <c r="R445" s="14" t="str">
        <f t="shared" si="18"/>
        <v/>
      </c>
      <c r="S445" s="14" t="str">
        <f t="shared" si="19"/>
        <v/>
      </c>
      <c r="T445" s="14" t="s">
        <v>72</v>
      </c>
      <c r="U445" s="14">
        <v>18128.404307267869</v>
      </c>
      <c r="V445">
        <v>6122</v>
      </c>
      <c r="W445">
        <v>20.691796875000001</v>
      </c>
      <c r="X445">
        <v>46.646291773232903</v>
      </c>
      <c r="Y445">
        <v>1.3026539834456901</v>
      </c>
      <c r="Z445" s="31">
        <v>3.9071880067004199</v>
      </c>
      <c r="AA445">
        <v>16.705220221150999</v>
      </c>
      <c r="AB445">
        <v>0.08</v>
      </c>
      <c r="AC445">
        <v>644146.91922296095</v>
      </c>
      <c r="AD445">
        <v>728401.3362573242</v>
      </c>
      <c r="AE445">
        <v>1</v>
      </c>
      <c r="AF445">
        <v>62274.779209876448</v>
      </c>
      <c r="AG445">
        <v>253287.28627111489</v>
      </c>
    </row>
    <row r="446" spans="2:33" hidden="1" x14ac:dyDescent="0.25">
      <c r="B446">
        <v>10</v>
      </c>
      <c r="C446" t="s">
        <v>39</v>
      </c>
      <c r="D446" t="s">
        <v>26</v>
      </c>
      <c r="E446" t="s">
        <v>68</v>
      </c>
      <c r="F446">
        <v>219267</v>
      </c>
      <c r="G446">
        <v>219267</v>
      </c>
      <c r="H446">
        <v>29</v>
      </c>
      <c r="I446">
        <v>603</v>
      </c>
      <c r="J446">
        <v>0</v>
      </c>
      <c r="K446">
        <v>575527</v>
      </c>
      <c r="L446">
        <v>312629</v>
      </c>
      <c r="M446">
        <v>59332</v>
      </c>
      <c r="N446">
        <v>6103</v>
      </c>
      <c r="O446" s="43">
        <v>173371626.29448</v>
      </c>
      <c r="P446" s="14">
        <f t="shared" si="20"/>
        <v>6712042.0996800065</v>
      </c>
      <c r="Q446" s="14" t="str">
        <f t="shared" si="18"/>
        <v/>
      </c>
      <c r="R446" s="14" t="str">
        <f t="shared" si="18"/>
        <v/>
      </c>
      <c r="S446" s="14" t="str">
        <f t="shared" si="19"/>
        <v/>
      </c>
      <c r="T446" s="14" t="s">
        <v>72</v>
      </c>
      <c r="U446" s="14">
        <v>11131.081425671653</v>
      </c>
      <c r="V446">
        <v>6122</v>
      </c>
      <c r="W446">
        <v>22.733300781250001</v>
      </c>
      <c r="X446">
        <v>34.831830633630602</v>
      </c>
      <c r="Y446">
        <v>1.8023519427779799</v>
      </c>
      <c r="Z446" s="31">
        <v>2.86893045160862</v>
      </c>
      <c r="AA446">
        <v>3.2474776543476498</v>
      </c>
      <c r="AB446">
        <v>0.08</v>
      </c>
      <c r="AC446">
        <v>644146.91922296095</v>
      </c>
      <c r="AD446">
        <v>728401.3362573242</v>
      </c>
      <c r="AE446">
        <v>1</v>
      </c>
      <c r="AF446">
        <v>62274.779209876448</v>
      </c>
      <c r="AG446">
        <v>253287.28627111489</v>
      </c>
    </row>
    <row r="447" spans="2:33" hidden="1" x14ac:dyDescent="0.25">
      <c r="B447">
        <v>10</v>
      </c>
      <c r="C447" t="s">
        <v>39</v>
      </c>
      <c r="D447" t="s">
        <v>26</v>
      </c>
      <c r="E447" t="s">
        <v>68</v>
      </c>
      <c r="F447">
        <v>219267</v>
      </c>
      <c r="G447">
        <v>219267</v>
      </c>
      <c r="H447">
        <v>30</v>
      </c>
      <c r="I447">
        <v>825</v>
      </c>
      <c r="J447">
        <v>0</v>
      </c>
      <c r="K447">
        <v>575527</v>
      </c>
      <c r="L447">
        <v>312629</v>
      </c>
      <c r="M447">
        <v>59332</v>
      </c>
      <c r="N447">
        <v>6103</v>
      </c>
      <c r="O447" s="43">
        <v>180484591.79052001</v>
      </c>
      <c r="P447" s="14">
        <f t="shared" si="20"/>
        <v>7112965.4960400164</v>
      </c>
      <c r="Q447" s="14" t="str">
        <f t="shared" si="18"/>
        <v/>
      </c>
      <c r="R447" s="14" t="str">
        <f t="shared" si="18"/>
        <v/>
      </c>
      <c r="S447" s="14" t="str">
        <f t="shared" si="19"/>
        <v/>
      </c>
      <c r="T447" s="14" t="s">
        <v>72</v>
      </c>
      <c r="U447" s="14">
        <v>8621.7763588363832</v>
      </c>
      <c r="V447">
        <v>6122</v>
      </c>
      <c r="W447">
        <v>23.162988281250001</v>
      </c>
      <c r="X447">
        <v>24.6058950885778</v>
      </c>
      <c r="Y447">
        <v>2.1402949598436498</v>
      </c>
      <c r="Z447" s="31">
        <v>3.5500377873977702</v>
      </c>
      <c r="AA447">
        <v>4.0222882458385598</v>
      </c>
      <c r="AB447">
        <v>0.08</v>
      </c>
      <c r="AC447">
        <v>644146.91922296095</v>
      </c>
      <c r="AD447">
        <v>728401.3362573242</v>
      </c>
      <c r="AE447">
        <v>1</v>
      </c>
      <c r="AF447">
        <v>62274.779209876448</v>
      </c>
      <c r="AG447">
        <v>253287.28627111489</v>
      </c>
    </row>
    <row r="448" spans="2:33" hidden="1" x14ac:dyDescent="0.25">
      <c r="B448">
        <v>10</v>
      </c>
      <c r="C448" t="s">
        <v>39</v>
      </c>
      <c r="D448" t="s">
        <v>26</v>
      </c>
      <c r="E448" t="s">
        <v>68</v>
      </c>
      <c r="F448">
        <v>219267</v>
      </c>
      <c r="G448">
        <v>219267</v>
      </c>
      <c r="H448">
        <v>31</v>
      </c>
      <c r="I448">
        <v>327</v>
      </c>
      <c r="J448">
        <v>0</v>
      </c>
      <c r="K448">
        <v>575527</v>
      </c>
      <c r="L448">
        <v>312629</v>
      </c>
      <c r="M448">
        <v>59332</v>
      </c>
      <c r="N448">
        <v>6103</v>
      </c>
      <c r="O448" s="43">
        <v>187930671.26723999</v>
      </c>
      <c r="P448" s="14">
        <f t="shared" si="20"/>
        <v>7446079.4767199755</v>
      </c>
      <c r="Q448" s="14" t="str">
        <f t="shared" si="18"/>
        <v/>
      </c>
      <c r="R448" s="14" t="str">
        <f t="shared" si="18"/>
        <v/>
      </c>
      <c r="S448" s="14" t="str">
        <f t="shared" si="19"/>
        <v/>
      </c>
      <c r="T448" s="14" t="s">
        <v>72</v>
      </c>
      <c r="U448" s="14">
        <v>22770.88524990818</v>
      </c>
      <c r="V448">
        <v>6122</v>
      </c>
      <c r="W448">
        <v>23.920190429687501</v>
      </c>
      <c r="X448">
        <v>19.348117228751502</v>
      </c>
      <c r="Y448">
        <v>2.3963945793447499</v>
      </c>
      <c r="Z448" s="31">
        <v>3.4270371699685902</v>
      </c>
      <c r="AA448">
        <v>2.3883843979992898</v>
      </c>
      <c r="AB448">
        <v>0.08</v>
      </c>
      <c r="AC448">
        <v>644146.91922296095</v>
      </c>
      <c r="AD448">
        <v>728401.3362573242</v>
      </c>
      <c r="AE448">
        <v>1</v>
      </c>
      <c r="AF448">
        <v>62274.779209876448</v>
      </c>
      <c r="AG448">
        <v>253287.28627111489</v>
      </c>
    </row>
    <row r="449" spans="2:33" hidden="1" x14ac:dyDescent="0.25">
      <c r="B449">
        <v>10</v>
      </c>
      <c r="C449" t="s">
        <v>39</v>
      </c>
      <c r="D449" t="s">
        <v>26</v>
      </c>
      <c r="E449" t="s">
        <v>68</v>
      </c>
      <c r="F449">
        <v>219267</v>
      </c>
      <c r="G449">
        <v>219267</v>
      </c>
      <c r="H449">
        <v>32</v>
      </c>
      <c r="I449">
        <v>-434</v>
      </c>
      <c r="J449">
        <v>0</v>
      </c>
      <c r="K449">
        <v>575527</v>
      </c>
      <c r="L449">
        <v>312629</v>
      </c>
      <c r="M449">
        <v>59332</v>
      </c>
      <c r="N449">
        <v>6103</v>
      </c>
      <c r="O449" s="43">
        <v>192520566.32148001</v>
      </c>
      <c r="P449" s="14">
        <f t="shared" si="20"/>
        <v>4589895.0542400181</v>
      </c>
      <c r="Q449" s="14" t="str">
        <f t="shared" si="18"/>
        <v/>
      </c>
      <c r="R449" s="14" t="str">
        <f t="shared" si="18"/>
        <v/>
      </c>
      <c r="S449" s="14" t="str">
        <f t="shared" si="19"/>
        <v/>
      </c>
      <c r="T449" s="14" t="s">
        <v>72</v>
      </c>
      <c r="U449" s="14">
        <v>-10575.795055852577</v>
      </c>
      <c r="V449">
        <v>6122</v>
      </c>
      <c r="W449">
        <v>24.796289062500001</v>
      </c>
      <c r="X449">
        <v>25.391413080010899</v>
      </c>
      <c r="Y449">
        <v>2.33587460407476</v>
      </c>
      <c r="Z449" s="31">
        <v>3.4335767263897998</v>
      </c>
      <c r="AA449">
        <v>2.5943263950960702</v>
      </c>
      <c r="AB449">
        <v>0.08</v>
      </c>
      <c r="AC449">
        <v>644146.91922296095</v>
      </c>
      <c r="AD449">
        <v>728401.3362573242</v>
      </c>
      <c r="AE449">
        <v>1</v>
      </c>
      <c r="AF449">
        <v>62274.779209876448</v>
      </c>
      <c r="AG449">
        <v>253287.28627111489</v>
      </c>
    </row>
    <row r="450" spans="2:33" hidden="1" x14ac:dyDescent="0.25">
      <c r="B450">
        <v>10</v>
      </c>
      <c r="C450" t="s">
        <v>39</v>
      </c>
      <c r="D450" t="s">
        <v>26</v>
      </c>
      <c r="E450" t="s">
        <v>68</v>
      </c>
      <c r="F450">
        <v>218857</v>
      </c>
      <c r="G450">
        <v>219267</v>
      </c>
      <c r="H450">
        <v>33</v>
      </c>
      <c r="I450" s="5">
        <v>0</v>
      </c>
      <c r="J450">
        <v>0</v>
      </c>
      <c r="K450">
        <v>575527</v>
      </c>
      <c r="L450">
        <v>312629</v>
      </c>
      <c r="M450">
        <v>59332</v>
      </c>
      <c r="N450">
        <v>6103</v>
      </c>
      <c r="O450" s="43">
        <v>195460521.96779999</v>
      </c>
      <c r="P450" s="14">
        <f t="shared" si="20"/>
        <v>2939955.6463199854</v>
      </c>
      <c r="Q450" s="14" t="str">
        <f t="shared" si="18"/>
        <v/>
      </c>
      <c r="R450" s="14" t="str">
        <f t="shared" si="18"/>
        <v/>
      </c>
      <c r="S450" s="14" t="str">
        <f t="shared" si="19"/>
        <v/>
      </c>
      <c r="T450" s="14" t="s">
        <v>72</v>
      </c>
      <c r="U450" s="14">
        <v>0</v>
      </c>
      <c r="V450">
        <v>6122</v>
      </c>
      <c r="W450">
        <v>21.689355468750001</v>
      </c>
      <c r="X450">
        <v>25.213233301426499</v>
      </c>
      <c r="Y450">
        <v>1.94145215492214</v>
      </c>
      <c r="Z450" s="31">
        <v>3.54962685246482</v>
      </c>
      <c r="AA450">
        <v>4.2749841051545197</v>
      </c>
      <c r="AB450">
        <v>0.08</v>
      </c>
      <c r="AC450">
        <v>644146.91922296095</v>
      </c>
      <c r="AD450">
        <v>728401.3362573242</v>
      </c>
      <c r="AE450">
        <v>1</v>
      </c>
      <c r="AF450">
        <v>62274.779209876448</v>
      </c>
      <c r="AG450">
        <v>253287.28627111489</v>
      </c>
    </row>
    <row r="451" spans="2:33" hidden="1" x14ac:dyDescent="0.25">
      <c r="B451">
        <v>10</v>
      </c>
      <c r="C451" t="s">
        <v>39</v>
      </c>
      <c r="D451" t="s">
        <v>26</v>
      </c>
      <c r="E451" t="s">
        <v>68</v>
      </c>
      <c r="F451">
        <v>218876</v>
      </c>
      <c r="G451">
        <v>219267</v>
      </c>
      <c r="H451">
        <v>34</v>
      </c>
      <c r="I451" s="2">
        <v>0</v>
      </c>
      <c r="J451">
        <v>5.8968238392339608E-3</v>
      </c>
      <c r="K451">
        <v>575527</v>
      </c>
      <c r="L451">
        <v>312629</v>
      </c>
      <c r="M451">
        <v>59332</v>
      </c>
      <c r="N451">
        <v>6103</v>
      </c>
      <c r="O451" s="43">
        <v>202002224.11956</v>
      </c>
      <c r="P451" s="14">
        <f t="shared" si="20"/>
        <v>6541702.1517600119</v>
      </c>
      <c r="Q451" s="14" t="str">
        <f t="shared" ref="Q451:R514" si="21">IF(P451&gt;=0,"",P451)</f>
        <v/>
      </c>
      <c r="R451" s="14" t="str">
        <f t="shared" si="21"/>
        <v/>
      </c>
      <c r="S451" s="14" t="str">
        <f t="shared" ref="S451:S514" si="22">IFERROR(IF(ISNA(Q451),NA(),Q451^2),"")</f>
        <v/>
      </c>
      <c r="T451" s="14" t="s">
        <v>72</v>
      </c>
      <c r="U451" s="14">
        <v>0</v>
      </c>
      <c r="V451">
        <v>6122</v>
      </c>
      <c r="W451">
        <v>20.426782226562501</v>
      </c>
      <c r="X451">
        <v>30.742790177784901</v>
      </c>
      <c r="Y451">
        <v>1.6638938782096899</v>
      </c>
      <c r="Z451" s="31">
        <v>3.2893745086498698</v>
      </c>
      <c r="AA451">
        <v>3.0799928150581501</v>
      </c>
      <c r="AB451">
        <v>0.08</v>
      </c>
      <c r="AC451">
        <v>644146.91922296095</v>
      </c>
      <c r="AD451">
        <v>728401.3362573242</v>
      </c>
      <c r="AE451">
        <v>1</v>
      </c>
      <c r="AF451">
        <v>62274.779209876448</v>
      </c>
      <c r="AG451">
        <v>253287.28627111489</v>
      </c>
    </row>
    <row r="452" spans="2:33" hidden="1" x14ac:dyDescent="0.25">
      <c r="B452">
        <v>10</v>
      </c>
      <c r="C452" t="s">
        <v>39</v>
      </c>
      <c r="D452" t="s">
        <v>26</v>
      </c>
      <c r="E452" t="s">
        <v>68</v>
      </c>
      <c r="F452">
        <v>219060</v>
      </c>
      <c r="G452">
        <v>219267</v>
      </c>
      <c r="H452">
        <v>35</v>
      </c>
      <c r="I452" s="5">
        <v>0</v>
      </c>
      <c r="J452">
        <v>5.710608349573941E-2</v>
      </c>
      <c r="K452">
        <v>575527</v>
      </c>
      <c r="L452">
        <v>312629</v>
      </c>
      <c r="M452">
        <v>59332</v>
      </c>
      <c r="N452">
        <v>6103</v>
      </c>
      <c r="O452" s="43">
        <v>220272048</v>
      </c>
      <c r="P452" s="14">
        <f t="shared" ref="P452:P515" si="23">O452-O451</f>
        <v>18269823.880439997</v>
      </c>
      <c r="Q452" s="14" t="str">
        <f t="shared" si="21"/>
        <v/>
      </c>
      <c r="R452" s="14" t="str">
        <f t="shared" si="21"/>
        <v/>
      </c>
      <c r="S452" s="14" t="str">
        <f t="shared" si="22"/>
        <v/>
      </c>
      <c r="T452" s="14" t="s">
        <v>72</v>
      </c>
      <c r="U452" s="14">
        <v>0</v>
      </c>
      <c r="V452">
        <v>6122</v>
      </c>
      <c r="W452">
        <v>20.169702148437501</v>
      </c>
      <c r="X452">
        <v>32.959162310372299</v>
      </c>
      <c r="Y452">
        <v>1.5852802541465301</v>
      </c>
      <c r="Z452" s="31">
        <v>3.8440291571816601</v>
      </c>
      <c r="AA452">
        <v>8.4254915689475194</v>
      </c>
      <c r="AB452">
        <v>0.08</v>
      </c>
      <c r="AC452">
        <v>644146.91922296095</v>
      </c>
      <c r="AD452">
        <v>728401.3362573242</v>
      </c>
      <c r="AE452">
        <v>1</v>
      </c>
      <c r="AF452">
        <v>62274.779209876448</v>
      </c>
      <c r="AG452">
        <v>253287.28627111489</v>
      </c>
    </row>
    <row r="453" spans="2:33" hidden="1" x14ac:dyDescent="0.25">
      <c r="B453">
        <v>10</v>
      </c>
      <c r="C453" t="s">
        <v>39</v>
      </c>
      <c r="D453" t="s">
        <v>26</v>
      </c>
      <c r="E453" t="s">
        <v>68</v>
      </c>
      <c r="F453">
        <v>219101</v>
      </c>
      <c r="G453">
        <v>219267</v>
      </c>
      <c r="H453">
        <v>36</v>
      </c>
      <c r="I453" s="2">
        <v>-410</v>
      </c>
      <c r="J453">
        <v>1.2724725126768021E-2</v>
      </c>
      <c r="K453">
        <v>575527</v>
      </c>
      <c r="L453">
        <v>312629</v>
      </c>
      <c r="M453">
        <v>59332</v>
      </c>
      <c r="N453">
        <v>6103</v>
      </c>
      <c r="O453" s="43">
        <v>220272048</v>
      </c>
      <c r="P453" s="14">
        <f t="shared" si="23"/>
        <v>0</v>
      </c>
      <c r="Q453" s="14" t="str">
        <f t="shared" si="21"/>
        <v/>
      </c>
      <c r="R453" s="14" t="str">
        <f t="shared" si="21"/>
        <v/>
      </c>
      <c r="S453" s="14" t="str">
        <f t="shared" si="22"/>
        <v/>
      </c>
      <c r="T453" s="14" t="s">
        <v>72</v>
      </c>
      <c r="U453" s="14">
        <v>0</v>
      </c>
      <c r="V453">
        <v>6122</v>
      </c>
      <c r="W453">
        <v>16.201318359375001</v>
      </c>
      <c r="X453">
        <v>41.153814391407103</v>
      </c>
      <c r="Y453">
        <v>1.0849711376073801</v>
      </c>
      <c r="Z453" s="31">
        <v>5.4476747565406098</v>
      </c>
      <c r="AA453">
        <v>15.2867781201398</v>
      </c>
      <c r="AB453">
        <v>0.08</v>
      </c>
      <c r="AC453">
        <v>644146.91922296095</v>
      </c>
      <c r="AD453">
        <v>728401.3362573242</v>
      </c>
      <c r="AE453">
        <v>1</v>
      </c>
      <c r="AF453">
        <v>62274.779209876448</v>
      </c>
      <c r="AG453">
        <v>253287.28627111489</v>
      </c>
    </row>
    <row r="454" spans="2:33" hidden="1" x14ac:dyDescent="0.25">
      <c r="B454">
        <v>10</v>
      </c>
      <c r="C454" t="s">
        <v>39</v>
      </c>
      <c r="D454" t="s">
        <v>26</v>
      </c>
      <c r="E454" t="s">
        <v>68</v>
      </c>
      <c r="F454">
        <v>219101</v>
      </c>
      <c r="G454">
        <v>219267</v>
      </c>
      <c r="H454">
        <v>37</v>
      </c>
      <c r="I454" s="5">
        <v>19</v>
      </c>
      <c r="J454">
        <v>0</v>
      </c>
      <c r="K454">
        <v>575527</v>
      </c>
      <c r="L454">
        <v>312629</v>
      </c>
      <c r="M454">
        <v>59332</v>
      </c>
      <c r="N454">
        <v>6103</v>
      </c>
      <c r="O454" s="43">
        <v>235650384</v>
      </c>
      <c r="P454" s="14">
        <f t="shared" si="23"/>
        <v>15378336</v>
      </c>
      <c r="Q454" s="14" t="str">
        <f t="shared" si="21"/>
        <v/>
      </c>
      <c r="R454" s="14" t="str">
        <f t="shared" si="21"/>
        <v/>
      </c>
      <c r="S454" s="14" t="str">
        <f t="shared" si="22"/>
        <v/>
      </c>
      <c r="T454" s="14" t="s">
        <v>72</v>
      </c>
      <c r="U454" s="14">
        <v>809386.10526315786</v>
      </c>
      <c r="V454">
        <v>6122</v>
      </c>
      <c r="W454">
        <v>16.876367187500001</v>
      </c>
      <c r="X454">
        <v>33.375744476951198</v>
      </c>
      <c r="Y454">
        <v>1.28222710236311</v>
      </c>
      <c r="Z454" s="31">
        <v>2.1464325432815099</v>
      </c>
      <c r="AA454">
        <v>0.44106756198885</v>
      </c>
      <c r="AB454">
        <v>0.08</v>
      </c>
      <c r="AC454">
        <v>644146.91922296095</v>
      </c>
      <c r="AD454">
        <v>728401.3362573242</v>
      </c>
      <c r="AE454">
        <v>1</v>
      </c>
      <c r="AF454">
        <v>62274.779209876448</v>
      </c>
      <c r="AG454">
        <v>253287.28627111489</v>
      </c>
    </row>
    <row r="455" spans="2:33" hidden="1" x14ac:dyDescent="0.25">
      <c r="B455">
        <v>10</v>
      </c>
      <c r="C455" t="s">
        <v>39</v>
      </c>
      <c r="D455" t="s">
        <v>26</v>
      </c>
      <c r="E455" t="s">
        <v>68</v>
      </c>
      <c r="F455">
        <v>219101</v>
      </c>
      <c r="G455">
        <v>219267</v>
      </c>
      <c r="H455">
        <v>38</v>
      </c>
      <c r="I455" s="5">
        <v>184</v>
      </c>
      <c r="J455">
        <v>0</v>
      </c>
      <c r="K455">
        <v>575527</v>
      </c>
      <c r="L455">
        <v>312629</v>
      </c>
      <c r="M455">
        <v>59332</v>
      </c>
      <c r="N455">
        <v>6103</v>
      </c>
      <c r="O455" s="43">
        <v>239268816</v>
      </c>
      <c r="P455" s="14">
        <f t="shared" si="23"/>
        <v>3618432</v>
      </c>
      <c r="Q455" s="14" t="str">
        <f t="shared" si="21"/>
        <v/>
      </c>
      <c r="R455" s="14" t="str">
        <f t="shared" si="21"/>
        <v/>
      </c>
      <c r="S455" s="14" t="str">
        <f t="shared" si="22"/>
        <v/>
      </c>
      <c r="T455" s="14" t="s">
        <v>72</v>
      </c>
      <c r="U455" s="14">
        <v>19665.391304347828</v>
      </c>
      <c r="V455">
        <v>6122</v>
      </c>
      <c r="W455">
        <v>22.477319335937501</v>
      </c>
      <c r="X455">
        <v>19.635366709125801</v>
      </c>
      <c r="Y455">
        <v>2.1887953466685599</v>
      </c>
      <c r="Z455" s="31">
        <v>1.3760848786163999</v>
      </c>
      <c r="AA455">
        <v>3.1365285260660301</v>
      </c>
      <c r="AB455">
        <v>0.08</v>
      </c>
      <c r="AC455">
        <v>644146.91922296095</v>
      </c>
      <c r="AD455">
        <v>728401.3362573242</v>
      </c>
      <c r="AE455">
        <v>1</v>
      </c>
      <c r="AF455">
        <v>62274.779209876448</v>
      </c>
      <c r="AG455">
        <v>253287.28627111489</v>
      </c>
    </row>
    <row r="456" spans="2:33" hidden="1" x14ac:dyDescent="0.25">
      <c r="B456">
        <v>10</v>
      </c>
      <c r="C456" t="s">
        <v>39</v>
      </c>
      <c r="D456" t="s">
        <v>26</v>
      </c>
      <c r="E456" t="s">
        <v>68</v>
      </c>
      <c r="F456">
        <v>219101</v>
      </c>
      <c r="G456">
        <v>219267</v>
      </c>
      <c r="H456">
        <v>39</v>
      </c>
      <c r="I456" s="5">
        <v>41</v>
      </c>
      <c r="J456">
        <v>0</v>
      </c>
      <c r="K456">
        <v>575527</v>
      </c>
      <c r="L456">
        <v>312629</v>
      </c>
      <c r="M456">
        <v>59332</v>
      </c>
      <c r="N456">
        <v>6103</v>
      </c>
      <c r="O456" s="43">
        <v>239268816</v>
      </c>
      <c r="P456" s="14">
        <f t="shared" si="23"/>
        <v>0</v>
      </c>
      <c r="Q456" s="14" t="str">
        <f t="shared" si="21"/>
        <v/>
      </c>
      <c r="R456" s="14" t="str">
        <f t="shared" si="21"/>
        <v/>
      </c>
      <c r="S456" s="14" t="str">
        <f t="shared" si="22"/>
        <v/>
      </c>
      <c r="T456" s="14" t="s">
        <v>72</v>
      </c>
      <c r="U456" s="14">
        <v>0</v>
      </c>
      <c r="V456">
        <v>6122</v>
      </c>
      <c r="W456">
        <v>22.522363281250001</v>
      </c>
      <c r="X456">
        <v>19.924246634497099</v>
      </c>
      <c r="Y456">
        <v>2.1868898203602001</v>
      </c>
      <c r="Z456" s="31">
        <v>3.5690736283512399</v>
      </c>
      <c r="AA456">
        <v>2.9077332065268302</v>
      </c>
      <c r="AB456">
        <v>0.08</v>
      </c>
      <c r="AC456">
        <v>644146.91922296095</v>
      </c>
      <c r="AD456">
        <v>728401.3362573242</v>
      </c>
      <c r="AE456">
        <v>1</v>
      </c>
      <c r="AF456">
        <v>62274.779209876448</v>
      </c>
      <c r="AG456">
        <v>253287.28627111489</v>
      </c>
    </row>
    <row r="457" spans="2:33" hidden="1" x14ac:dyDescent="0.25">
      <c r="B457">
        <v>10</v>
      </c>
      <c r="C457" t="s">
        <v>39</v>
      </c>
      <c r="D457" t="s">
        <v>26</v>
      </c>
      <c r="E457" t="s">
        <v>68</v>
      </c>
      <c r="F457">
        <v>219101</v>
      </c>
      <c r="G457">
        <v>219267</v>
      </c>
      <c r="H457">
        <v>40</v>
      </c>
      <c r="I457" s="5">
        <v>0</v>
      </c>
      <c r="J457">
        <v>0</v>
      </c>
      <c r="K457">
        <v>575527</v>
      </c>
      <c r="L457">
        <v>312629</v>
      </c>
      <c r="M457">
        <v>59332</v>
      </c>
      <c r="N457">
        <v>6103</v>
      </c>
      <c r="O457" s="43">
        <v>252046404</v>
      </c>
      <c r="P457" s="14">
        <f t="shared" si="23"/>
        <v>12777588</v>
      </c>
      <c r="Q457" s="14" t="str">
        <f t="shared" si="21"/>
        <v/>
      </c>
      <c r="R457" s="14" t="str">
        <f t="shared" si="21"/>
        <v/>
      </c>
      <c r="S457" s="14" t="str">
        <f t="shared" si="22"/>
        <v/>
      </c>
      <c r="T457" s="14" t="s">
        <v>72</v>
      </c>
      <c r="U457" s="14">
        <v>0</v>
      </c>
      <c r="V457">
        <v>6122</v>
      </c>
      <c r="W457">
        <v>21.359033203125001</v>
      </c>
      <c r="X457">
        <v>32.340232700701897</v>
      </c>
      <c r="Y457">
        <v>1.7212251137036401</v>
      </c>
      <c r="Z457" s="31">
        <v>3.6207781979418101</v>
      </c>
      <c r="AA457">
        <v>4.9782076505276596</v>
      </c>
      <c r="AB457">
        <v>0.08</v>
      </c>
      <c r="AC457">
        <v>644146.91922296095</v>
      </c>
      <c r="AD457">
        <v>728401.3362573242</v>
      </c>
      <c r="AE457">
        <v>1</v>
      </c>
      <c r="AF457">
        <v>62274.779209876448</v>
      </c>
      <c r="AG457">
        <v>253287.28627111489</v>
      </c>
    </row>
    <row r="458" spans="2:33" hidden="1" x14ac:dyDescent="0.25">
      <c r="B458">
        <v>10</v>
      </c>
      <c r="C458" t="s">
        <v>39</v>
      </c>
      <c r="D458" t="s">
        <v>26</v>
      </c>
      <c r="E458" t="s">
        <v>68</v>
      </c>
      <c r="F458">
        <v>219101</v>
      </c>
      <c r="G458">
        <v>219267</v>
      </c>
      <c r="H458">
        <v>41</v>
      </c>
      <c r="I458" s="5">
        <v>0</v>
      </c>
      <c r="J458">
        <v>0</v>
      </c>
      <c r="K458">
        <v>575527</v>
      </c>
      <c r="L458">
        <v>312629</v>
      </c>
      <c r="M458">
        <v>59332</v>
      </c>
      <c r="N458">
        <v>6103</v>
      </c>
      <c r="O458" s="43">
        <v>255777912</v>
      </c>
      <c r="P458" s="14">
        <f t="shared" si="23"/>
        <v>3731508</v>
      </c>
      <c r="Q458" s="14" t="str">
        <f t="shared" si="21"/>
        <v/>
      </c>
      <c r="R458" s="14" t="str">
        <f t="shared" si="21"/>
        <v/>
      </c>
      <c r="S458" s="14" t="str">
        <f t="shared" si="22"/>
        <v/>
      </c>
      <c r="T458" s="14" t="s">
        <v>72</v>
      </c>
      <c r="U458" s="14">
        <v>0</v>
      </c>
      <c r="V458">
        <v>6122</v>
      </c>
      <c r="W458">
        <v>24.077172851562501</v>
      </c>
      <c r="X458">
        <v>17.679020872322699</v>
      </c>
      <c r="Y458">
        <v>2.4691544275956598</v>
      </c>
      <c r="Z458" s="31">
        <v>1.5681160908702201</v>
      </c>
      <c r="AA458">
        <v>3.50690068563868</v>
      </c>
      <c r="AB458">
        <v>0.08</v>
      </c>
      <c r="AC458">
        <v>644146.91922296095</v>
      </c>
      <c r="AD458">
        <v>728401.3362573242</v>
      </c>
      <c r="AE458">
        <v>1</v>
      </c>
      <c r="AF458">
        <v>62274.779209876448</v>
      </c>
      <c r="AG458">
        <v>253287.28627111489</v>
      </c>
    </row>
    <row r="459" spans="2:33" hidden="1" x14ac:dyDescent="0.25">
      <c r="B459">
        <v>10</v>
      </c>
      <c r="C459" t="s">
        <v>39</v>
      </c>
      <c r="D459" t="s">
        <v>26</v>
      </c>
      <c r="E459" t="s">
        <v>68</v>
      </c>
      <c r="F459">
        <v>219101</v>
      </c>
      <c r="G459">
        <v>219267</v>
      </c>
      <c r="H459">
        <v>42</v>
      </c>
      <c r="I459" s="5">
        <v>0</v>
      </c>
      <c r="J459">
        <v>0</v>
      </c>
      <c r="K459">
        <v>575527</v>
      </c>
      <c r="L459">
        <v>312629</v>
      </c>
      <c r="M459">
        <v>59332</v>
      </c>
      <c r="N459">
        <v>6103</v>
      </c>
      <c r="O459" s="43">
        <v>259057116</v>
      </c>
      <c r="P459" s="14">
        <f t="shared" si="23"/>
        <v>3279204</v>
      </c>
      <c r="Q459" s="14" t="str">
        <f t="shared" si="21"/>
        <v/>
      </c>
      <c r="R459" s="14" t="str">
        <f t="shared" si="21"/>
        <v/>
      </c>
      <c r="S459" s="14" t="str">
        <f t="shared" si="22"/>
        <v/>
      </c>
      <c r="T459" s="14" t="s">
        <v>72</v>
      </c>
      <c r="U459" s="14">
        <v>0</v>
      </c>
      <c r="V459">
        <v>6122</v>
      </c>
      <c r="W459">
        <v>23.631738281250001</v>
      </c>
      <c r="X459">
        <v>25.761108863601599</v>
      </c>
      <c r="Y459">
        <v>2.16781298235624</v>
      </c>
      <c r="Z459" s="31">
        <v>3.2981729452514101</v>
      </c>
      <c r="AA459">
        <v>1.0229758912389699</v>
      </c>
      <c r="AB459">
        <v>0.08</v>
      </c>
      <c r="AC459">
        <v>644146.91922296095</v>
      </c>
      <c r="AD459">
        <v>728401.3362573242</v>
      </c>
      <c r="AE459">
        <v>1</v>
      </c>
      <c r="AF459">
        <v>62274.779209876448</v>
      </c>
      <c r="AG459">
        <v>253287.28627111489</v>
      </c>
    </row>
    <row r="460" spans="2:33" hidden="1" x14ac:dyDescent="0.25">
      <c r="B460">
        <v>10</v>
      </c>
      <c r="C460" t="s">
        <v>39</v>
      </c>
      <c r="D460" t="s">
        <v>26</v>
      </c>
      <c r="E460" t="s">
        <v>68</v>
      </c>
      <c r="F460">
        <v>219101</v>
      </c>
      <c r="G460">
        <v>219267</v>
      </c>
      <c r="H460">
        <v>43</v>
      </c>
      <c r="I460" s="5">
        <v>0</v>
      </c>
      <c r="J460">
        <v>0</v>
      </c>
      <c r="K460">
        <v>575527</v>
      </c>
      <c r="L460">
        <v>312629</v>
      </c>
      <c r="M460">
        <v>59332</v>
      </c>
      <c r="N460">
        <v>6103</v>
      </c>
      <c r="O460" s="43">
        <v>262562472</v>
      </c>
      <c r="P460" s="14">
        <f t="shared" si="23"/>
        <v>3505356</v>
      </c>
      <c r="Q460" s="14" t="str">
        <f t="shared" si="21"/>
        <v/>
      </c>
      <c r="R460" s="14" t="str">
        <f t="shared" si="21"/>
        <v/>
      </c>
      <c r="S460" s="14" t="str">
        <f t="shared" si="22"/>
        <v/>
      </c>
      <c r="T460" s="14" t="s">
        <v>72</v>
      </c>
      <c r="U460" s="14">
        <v>0</v>
      </c>
      <c r="V460">
        <v>6122</v>
      </c>
      <c r="W460">
        <v>21.065942382812501</v>
      </c>
      <c r="X460">
        <v>25.931610325405401</v>
      </c>
      <c r="Y460">
        <v>1.85085211687976</v>
      </c>
      <c r="Z460" s="31">
        <v>3.5077338540419598</v>
      </c>
      <c r="AA460">
        <v>5.7727077515987801</v>
      </c>
      <c r="AB460">
        <v>0.08</v>
      </c>
      <c r="AC460">
        <v>644146.91922296095</v>
      </c>
      <c r="AD460">
        <v>728401.3362573242</v>
      </c>
      <c r="AE460">
        <v>1</v>
      </c>
      <c r="AF460">
        <v>62274.779209876448</v>
      </c>
      <c r="AG460">
        <v>253287.28627111489</v>
      </c>
    </row>
    <row r="461" spans="2:33" hidden="1" x14ac:dyDescent="0.25">
      <c r="B461">
        <v>10</v>
      </c>
      <c r="C461" t="s">
        <v>39</v>
      </c>
      <c r="D461" t="s">
        <v>26</v>
      </c>
      <c r="E461" t="s">
        <v>68</v>
      </c>
      <c r="F461">
        <v>219101</v>
      </c>
      <c r="G461">
        <v>219267</v>
      </c>
      <c r="H461">
        <v>44</v>
      </c>
      <c r="I461" s="5">
        <v>0</v>
      </c>
      <c r="J461">
        <v>0</v>
      </c>
      <c r="K461">
        <v>575527</v>
      </c>
      <c r="L461">
        <v>312629</v>
      </c>
      <c r="M461">
        <v>59332</v>
      </c>
      <c r="N461">
        <v>6103</v>
      </c>
      <c r="O461" s="43">
        <v>264371688</v>
      </c>
      <c r="P461" s="14">
        <f t="shared" si="23"/>
        <v>1809216</v>
      </c>
      <c r="Q461" s="14" t="str">
        <f t="shared" si="21"/>
        <v/>
      </c>
      <c r="R461" s="14" t="str">
        <f t="shared" si="21"/>
        <v/>
      </c>
      <c r="S461" s="14" t="str">
        <f t="shared" si="22"/>
        <v/>
      </c>
      <c r="T461" s="14" t="s">
        <v>72</v>
      </c>
      <c r="U461" s="14">
        <v>0</v>
      </c>
      <c r="V461">
        <v>6122</v>
      </c>
      <c r="W461">
        <v>19.907861328125001</v>
      </c>
      <c r="X461">
        <v>24.2271623253861</v>
      </c>
      <c r="Y461">
        <v>1.7631111340735399</v>
      </c>
      <c r="Z461" s="31">
        <v>3.78855473250574</v>
      </c>
      <c r="AA461">
        <v>8.0622219784086493</v>
      </c>
      <c r="AB461">
        <v>0.08</v>
      </c>
      <c r="AC461">
        <v>644146.91922296095</v>
      </c>
      <c r="AD461">
        <v>728401.3362573242</v>
      </c>
      <c r="AE461">
        <v>1</v>
      </c>
      <c r="AF461">
        <v>62274.779209876448</v>
      </c>
      <c r="AG461">
        <v>253287.28627111489</v>
      </c>
    </row>
    <row r="462" spans="2:33" hidden="1" x14ac:dyDescent="0.25">
      <c r="B462">
        <v>10</v>
      </c>
      <c r="C462" t="s">
        <v>39</v>
      </c>
      <c r="D462" t="s">
        <v>26</v>
      </c>
      <c r="E462" t="s">
        <v>68</v>
      </c>
      <c r="F462">
        <v>219101</v>
      </c>
      <c r="G462">
        <v>219267</v>
      </c>
      <c r="H462">
        <v>45</v>
      </c>
      <c r="I462" s="5">
        <v>0</v>
      </c>
      <c r="J462">
        <v>0</v>
      </c>
      <c r="K462">
        <v>575527</v>
      </c>
      <c r="L462">
        <v>312629</v>
      </c>
      <c r="M462">
        <v>59332</v>
      </c>
      <c r="N462">
        <v>6103</v>
      </c>
      <c r="O462" s="43">
        <v>267537816</v>
      </c>
      <c r="P462" s="14">
        <f t="shared" si="23"/>
        <v>3166128</v>
      </c>
      <c r="Q462" s="14" t="str">
        <f t="shared" si="21"/>
        <v/>
      </c>
      <c r="R462" s="14" t="str">
        <f t="shared" si="21"/>
        <v/>
      </c>
      <c r="S462" s="14" t="str">
        <f t="shared" si="22"/>
        <v/>
      </c>
      <c r="T462" s="14" t="s">
        <v>72</v>
      </c>
      <c r="U462" s="14">
        <v>0</v>
      </c>
      <c r="V462">
        <v>6122</v>
      </c>
      <c r="W462">
        <v>16.792016601562501</v>
      </c>
      <c r="X462">
        <v>29.963961115741998</v>
      </c>
      <c r="Y462">
        <v>1.3407183577979001</v>
      </c>
      <c r="Z462" s="31">
        <v>4.7840894495724697</v>
      </c>
      <c r="AA462">
        <v>12.139134167781901</v>
      </c>
      <c r="AB462">
        <v>0.08</v>
      </c>
      <c r="AC462">
        <v>644146.91922296095</v>
      </c>
      <c r="AD462">
        <v>728401.3362573242</v>
      </c>
      <c r="AE462">
        <v>1</v>
      </c>
      <c r="AF462">
        <v>62274.779209876448</v>
      </c>
      <c r="AG462">
        <v>253287.28627111489</v>
      </c>
    </row>
    <row r="463" spans="2:33" hidden="1" x14ac:dyDescent="0.25">
      <c r="B463">
        <v>10</v>
      </c>
      <c r="C463" t="s">
        <v>39</v>
      </c>
      <c r="D463" t="s">
        <v>26</v>
      </c>
      <c r="E463" t="s">
        <v>68</v>
      </c>
      <c r="F463">
        <v>219101</v>
      </c>
      <c r="G463">
        <v>219267</v>
      </c>
      <c r="H463">
        <v>46</v>
      </c>
      <c r="I463" s="5">
        <v>0</v>
      </c>
      <c r="J463">
        <v>0</v>
      </c>
      <c r="K463">
        <v>575527</v>
      </c>
      <c r="L463">
        <v>312629</v>
      </c>
      <c r="M463">
        <v>59332</v>
      </c>
      <c r="N463">
        <v>6103</v>
      </c>
      <c r="O463" s="43">
        <v>269540391.95999998</v>
      </c>
      <c r="P463" s="14">
        <f t="shared" si="23"/>
        <v>2002575.9599999785</v>
      </c>
      <c r="Q463" s="14" t="str">
        <f t="shared" si="21"/>
        <v/>
      </c>
      <c r="R463" s="14" t="str">
        <f t="shared" si="21"/>
        <v/>
      </c>
      <c r="S463" s="14" t="str">
        <f t="shared" si="22"/>
        <v/>
      </c>
      <c r="T463" s="14" t="s">
        <v>72</v>
      </c>
      <c r="U463" s="14">
        <v>0</v>
      </c>
      <c r="V463">
        <v>6122</v>
      </c>
      <c r="W463">
        <v>14.43984375</v>
      </c>
      <c r="X463">
        <v>28.2673271381421</v>
      </c>
      <c r="Y463">
        <v>1.1813395809963501</v>
      </c>
      <c r="Z463" s="31">
        <v>2.9156616157178998</v>
      </c>
      <c r="AA463">
        <v>4.4073585735716598</v>
      </c>
      <c r="AB463">
        <v>0.08</v>
      </c>
      <c r="AC463">
        <v>644146.91922296095</v>
      </c>
      <c r="AD463">
        <v>728401.3362573242</v>
      </c>
      <c r="AE463">
        <v>1</v>
      </c>
      <c r="AF463">
        <v>62274.779209876448</v>
      </c>
      <c r="AG463">
        <v>253287.28627111489</v>
      </c>
    </row>
    <row r="464" spans="2:33" hidden="1" x14ac:dyDescent="0.25">
      <c r="B464">
        <v>10</v>
      </c>
      <c r="C464" t="s">
        <v>39</v>
      </c>
      <c r="D464" t="s">
        <v>26</v>
      </c>
      <c r="E464" t="s">
        <v>68</v>
      </c>
      <c r="F464">
        <v>219101</v>
      </c>
      <c r="G464">
        <v>219267</v>
      </c>
      <c r="H464">
        <v>47</v>
      </c>
      <c r="I464" s="5">
        <v>0</v>
      </c>
      <c r="J464">
        <v>0</v>
      </c>
      <c r="K464">
        <v>575527</v>
      </c>
      <c r="L464">
        <v>312629</v>
      </c>
      <c r="M464">
        <v>59332</v>
      </c>
      <c r="N464">
        <v>6103</v>
      </c>
      <c r="O464" s="43">
        <v>274119178.42799997</v>
      </c>
      <c r="P464" s="14">
        <f t="shared" si="23"/>
        <v>4578786.4679999948</v>
      </c>
      <c r="Q464" s="14" t="str">
        <f t="shared" si="21"/>
        <v/>
      </c>
      <c r="R464" s="14" t="str">
        <f t="shared" si="21"/>
        <v/>
      </c>
      <c r="S464" s="14" t="str">
        <f t="shared" si="22"/>
        <v/>
      </c>
      <c r="T464" s="14" t="s">
        <v>72</v>
      </c>
      <c r="U464" s="14">
        <v>0</v>
      </c>
      <c r="V464">
        <v>6122</v>
      </c>
      <c r="W464">
        <v>18.129541015625001</v>
      </c>
      <c r="X464">
        <v>14.2691693645233</v>
      </c>
      <c r="Y464">
        <v>1.7855371924374099</v>
      </c>
      <c r="Z464" s="31">
        <v>1.8336343219172899</v>
      </c>
      <c r="AA464">
        <v>4.1539779062226696</v>
      </c>
      <c r="AB464">
        <v>0.08</v>
      </c>
      <c r="AC464">
        <v>644146.91922296095</v>
      </c>
      <c r="AD464">
        <v>728401.3362573242</v>
      </c>
      <c r="AE464">
        <v>1</v>
      </c>
      <c r="AF464">
        <v>62274.779209876448</v>
      </c>
      <c r="AG464">
        <v>253287.28627111489</v>
      </c>
    </row>
    <row r="465" spans="2:33" hidden="1" x14ac:dyDescent="0.25">
      <c r="B465">
        <v>10</v>
      </c>
      <c r="C465" t="s">
        <v>39</v>
      </c>
      <c r="D465" t="s">
        <v>26</v>
      </c>
      <c r="E465" t="s">
        <v>68</v>
      </c>
      <c r="F465">
        <v>219101</v>
      </c>
      <c r="G465">
        <v>219267</v>
      </c>
      <c r="H465">
        <v>48</v>
      </c>
      <c r="I465" s="5">
        <v>0</v>
      </c>
      <c r="J465">
        <v>0</v>
      </c>
      <c r="K465">
        <v>575527</v>
      </c>
      <c r="L465">
        <v>312629</v>
      </c>
      <c r="M465">
        <v>59332</v>
      </c>
      <c r="N465">
        <v>6103</v>
      </c>
      <c r="O465" s="43">
        <v>275915616.83999997</v>
      </c>
      <c r="P465" s="14">
        <f t="shared" si="23"/>
        <v>1796438.4120000005</v>
      </c>
      <c r="Q465" s="14" t="str">
        <f t="shared" si="21"/>
        <v/>
      </c>
      <c r="R465" s="14" t="str">
        <f t="shared" si="21"/>
        <v/>
      </c>
      <c r="S465" s="14" t="str">
        <f t="shared" si="22"/>
        <v/>
      </c>
      <c r="T465" s="14" t="s">
        <v>72</v>
      </c>
      <c r="U465" s="14">
        <v>0</v>
      </c>
      <c r="V465">
        <v>6122</v>
      </c>
      <c r="W465">
        <v>18.129541015625001</v>
      </c>
      <c r="X465">
        <v>14.2691693645233</v>
      </c>
      <c r="Y465">
        <v>1.7855371924374099</v>
      </c>
      <c r="Z465" s="31">
        <v>1.8336343219172899</v>
      </c>
      <c r="AA465">
        <v>4.1539779062226696</v>
      </c>
      <c r="AB465">
        <v>0.08</v>
      </c>
      <c r="AC465">
        <v>644146.91922296095</v>
      </c>
      <c r="AD465">
        <v>728401.3362573242</v>
      </c>
      <c r="AE465">
        <v>1</v>
      </c>
      <c r="AF465">
        <v>62274.779209876448</v>
      </c>
      <c r="AG465">
        <v>253287.28627111489</v>
      </c>
    </row>
    <row r="466" spans="2:33" hidden="1" x14ac:dyDescent="0.25">
      <c r="B466">
        <v>10</v>
      </c>
      <c r="C466" t="s">
        <v>39</v>
      </c>
      <c r="D466" t="s">
        <v>26</v>
      </c>
      <c r="E466" t="s">
        <v>68</v>
      </c>
      <c r="F466">
        <v>219101</v>
      </c>
      <c r="G466">
        <v>219267</v>
      </c>
      <c r="H466">
        <v>49</v>
      </c>
      <c r="I466" s="5">
        <v>0</v>
      </c>
      <c r="J466">
        <v>0</v>
      </c>
      <c r="K466">
        <v>575527</v>
      </c>
      <c r="L466">
        <v>312629</v>
      </c>
      <c r="M466">
        <v>59332</v>
      </c>
      <c r="N466">
        <v>6103</v>
      </c>
      <c r="O466" s="43">
        <v>282018871.32480001</v>
      </c>
      <c r="P466" s="14">
        <f t="shared" si="23"/>
        <v>6103254.4848000407</v>
      </c>
      <c r="Q466" s="14" t="str">
        <f t="shared" si="21"/>
        <v/>
      </c>
      <c r="R466" s="14" t="str">
        <f t="shared" si="21"/>
        <v/>
      </c>
      <c r="S466" s="14" t="str">
        <f t="shared" si="22"/>
        <v/>
      </c>
      <c r="T466" s="14" t="s">
        <v>72</v>
      </c>
      <c r="U466" s="14">
        <v>0</v>
      </c>
      <c r="V466">
        <v>6122</v>
      </c>
      <c r="W466">
        <v>18.129541015625001</v>
      </c>
      <c r="X466">
        <v>14.2691693645233</v>
      </c>
      <c r="Y466">
        <v>1.7855371924374099</v>
      </c>
      <c r="Z466" s="31">
        <v>1.8336343219172899</v>
      </c>
      <c r="AA466">
        <v>4.1539779062226696</v>
      </c>
      <c r="AB466">
        <v>0.08</v>
      </c>
      <c r="AC466">
        <v>644146.91922296095</v>
      </c>
      <c r="AD466">
        <v>728401.3362573242</v>
      </c>
      <c r="AE466">
        <v>1</v>
      </c>
      <c r="AF466">
        <v>62274.779209876448</v>
      </c>
      <c r="AG466">
        <v>253287.28627111489</v>
      </c>
    </row>
    <row r="467" spans="2:33" hidden="1" x14ac:dyDescent="0.25">
      <c r="B467">
        <v>10</v>
      </c>
      <c r="C467" t="s">
        <v>39</v>
      </c>
      <c r="D467" t="s">
        <v>26</v>
      </c>
      <c r="E467" t="s">
        <v>68</v>
      </c>
      <c r="F467">
        <v>219101</v>
      </c>
      <c r="G467">
        <v>219267</v>
      </c>
      <c r="H467">
        <v>50</v>
      </c>
      <c r="I467" s="5">
        <v>0</v>
      </c>
      <c r="J467">
        <v>0</v>
      </c>
      <c r="K467">
        <v>575527</v>
      </c>
      <c r="L467">
        <v>312629</v>
      </c>
      <c r="M467">
        <v>59332</v>
      </c>
      <c r="N467">
        <v>6103</v>
      </c>
      <c r="O467" s="43">
        <v>282492460.75103998</v>
      </c>
      <c r="P467" s="14">
        <f t="shared" si="23"/>
        <v>473589.42623996735</v>
      </c>
      <c r="Q467" s="14" t="str">
        <f t="shared" si="21"/>
        <v/>
      </c>
      <c r="R467" s="14" t="str">
        <f t="shared" si="21"/>
        <v/>
      </c>
      <c r="S467" s="14" t="str">
        <f t="shared" si="22"/>
        <v/>
      </c>
      <c r="T467" s="14" t="s">
        <v>72</v>
      </c>
      <c r="U467" s="14">
        <v>0</v>
      </c>
      <c r="V467">
        <v>6122</v>
      </c>
      <c r="W467">
        <v>18.129541015625001</v>
      </c>
      <c r="X467">
        <v>14.2691693645233</v>
      </c>
      <c r="Y467">
        <v>1.7855371924374099</v>
      </c>
      <c r="Z467" s="31">
        <v>1.8336343219172899</v>
      </c>
      <c r="AA467">
        <v>4.1539779062226696</v>
      </c>
      <c r="AB467">
        <v>0.08</v>
      </c>
      <c r="AC467">
        <v>644146.91922296095</v>
      </c>
      <c r="AD467">
        <v>728401.3362573242</v>
      </c>
      <c r="AE467">
        <v>1</v>
      </c>
      <c r="AF467">
        <v>62274.779209876448</v>
      </c>
      <c r="AG467">
        <v>253287.28627111489</v>
      </c>
    </row>
    <row r="468" spans="2:33" hidden="1" x14ac:dyDescent="0.25">
      <c r="B468">
        <v>10</v>
      </c>
      <c r="C468" t="s">
        <v>39</v>
      </c>
      <c r="D468" t="s">
        <v>26</v>
      </c>
      <c r="E468" t="s">
        <v>68</v>
      </c>
      <c r="F468">
        <v>219101</v>
      </c>
      <c r="G468">
        <v>219267</v>
      </c>
      <c r="H468">
        <v>51</v>
      </c>
      <c r="I468" s="5">
        <v>0</v>
      </c>
      <c r="J468">
        <v>0</v>
      </c>
      <c r="K468">
        <v>575527</v>
      </c>
      <c r="L468">
        <v>312629</v>
      </c>
      <c r="M468">
        <v>59332</v>
      </c>
      <c r="N468">
        <v>6103</v>
      </c>
      <c r="O468" s="43">
        <v>282055896.93023998</v>
      </c>
      <c r="P468" s="14">
        <f t="shared" si="23"/>
        <v>-436563.82080000639</v>
      </c>
      <c r="Q468" s="14">
        <f t="shared" si="21"/>
        <v>-436563.82080000639</v>
      </c>
      <c r="R468" s="14">
        <f t="shared" si="21"/>
        <v>-436563.82080000639</v>
      </c>
      <c r="S468" s="14">
        <f t="shared" si="22"/>
        <v>190587969631.50009</v>
      </c>
      <c r="T468" s="14">
        <v>190587969631.50009</v>
      </c>
      <c r="U468" s="14">
        <v>0</v>
      </c>
      <c r="V468">
        <v>6122</v>
      </c>
      <c r="W468">
        <v>18.129541015625001</v>
      </c>
      <c r="X468">
        <v>14.2691693645233</v>
      </c>
      <c r="Y468">
        <v>1.7855371924374099</v>
      </c>
      <c r="Z468" s="31">
        <v>1.8336343219172899</v>
      </c>
      <c r="AA468">
        <v>4.1539779062226696</v>
      </c>
      <c r="AB468">
        <v>0.08</v>
      </c>
      <c r="AC468">
        <v>644146.91922296095</v>
      </c>
      <c r="AD468">
        <v>728401.3362573242</v>
      </c>
      <c r="AE468">
        <v>1</v>
      </c>
      <c r="AF468">
        <v>62274.779209876448</v>
      </c>
      <c r="AG468">
        <v>253287.28627111489</v>
      </c>
    </row>
    <row r="469" spans="2:33" hidden="1" x14ac:dyDescent="0.25">
      <c r="B469">
        <v>10</v>
      </c>
      <c r="C469" t="s">
        <v>39</v>
      </c>
      <c r="D469" t="s">
        <v>26</v>
      </c>
      <c r="E469" t="s">
        <v>68</v>
      </c>
      <c r="F469">
        <v>219101</v>
      </c>
      <c r="G469">
        <v>219267</v>
      </c>
      <c r="H469">
        <v>52</v>
      </c>
      <c r="I469" s="5">
        <v>0</v>
      </c>
      <c r="J469">
        <v>0</v>
      </c>
      <c r="K469">
        <v>575527</v>
      </c>
      <c r="L469">
        <v>312629</v>
      </c>
      <c r="M469">
        <v>59332</v>
      </c>
      <c r="N469">
        <v>6103</v>
      </c>
      <c r="O469" s="43">
        <v>282054091.10652</v>
      </c>
      <c r="P469" s="14">
        <f t="shared" si="23"/>
        <v>-1805.8237199783325</v>
      </c>
      <c r="Q469" s="14">
        <f t="shared" si="21"/>
        <v>-1805.8237199783325</v>
      </c>
      <c r="R469" s="14">
        <f t="shared" si="21"/>
        <v>-1805.8237199783325</v>
      </c>
      <c r="S469" s="14">
        <f t="shared" si="22"/>
        <v>3260999.307636383</v>
      </c>
      <c r="T469" s="14">
        <v>3260999.307636383</v>
      </c>
      <c r="U469" s="14">
        <v>0</v>
      </c>
      <c r="V469">
        <v>6122</v>
      </c>
      <c r="W469">
        <v>18.129541015625001</v>
      </c>
      <c r="X469">
        <v>14.2691693645233</v>
      </c>
      <c r="Y469">
        <v>1.7855371924374099</v>
      </c>
      <c r="Z469" s="31">
        <v>1.8336343219172899</v>
      </c>
      <c r="AA469">
        <v>4.1539779062226696</v>
      </c>
      <c r="AB469">
        <v>0.08</v>
      </c>
      <c r="AC469">
        <v>644146.91922296095</v>
      </c>
      <c r="AD469">
        <v>728401.3362573242</v>
      </c>
      <c r="AE469">
        <v>1</v>
      </c>
      <c r="AF469">
        <v>62274.779209876448</v>
      </c>
      <c r="AG469">
        <v>253287.28627111489</v>
      </c>
    </row>
    <row r="470" spans="2:33" hidden="1" x14ac:dyDescent="0.25">
      <c r="B470">
        <v>10</v>
      </c>
      <c r="C470" t="s">
        <v>39</v>
      </c>
      <c r="D470" t="s">
        <v>26</v>
      </c>
      <c r="E470" t="s">
        <v>68</v>
      </c>
      <c r="F470">
        <v>219101</v>
      </c>
      <c r="G470">
        <v>219267</v>
      </c>
      <c r="H470">
        <v>53</v>
      </c>
      <c r="I470" s="5">
        <v>0</v>
      </c>
      <c r="J470">
        <v>0</v>
      </c>
      <c r="K470">
        <v>575527</v>
      </c>
      <c r="L470">
        <v>312629</v>
      </c>
      <c r="M470">
        <v>59332</v>
      </c>
      <c r="N470">
        <v>6103</v>
      </c>
      <c r="O470" s="43">
        <v>283913357.9364</v>
      </c>
      <c r="P470" s="14">
        <f t="shared" si="23"/>
        <v>1859266.8298799992</v>
      </c>
      <c r="Q470" s="14" t="str">
        <f t="shared" si="21"/>
        <v/>
      </c>
      <c r="R470" s="14" t="str">
        <f t="shared" si="21"/>
        <v/>
      </c>
      <c r="S470" s="14" t="str">
        <f t="shared" si="22"/>
        <v/>
      </c>
      <c r="T470" s="14" t="s">
        <v>72</v>
      </c>
      <c r="U470" s="14">
        <v>0</v>
      </c>
      <c r="V470">
        <v>6122</v>
      </c>
      <c r="W470">
        <v>18.129541015625001</v>
      </c>
      <c r="X470">
        <v>14.2691693645233</v>
      </c>
      <c r="Y470">
        <v>1.7855371924374099</v>
      </c>
      <c r="Z470" s="31">
        <v>1.8336343219172899</v>
      </c>
      <c r="AA470">
        <v>4.1539779062226696</v>
      </c>
      <c r="AB470">
        <v>0.08</v>
      </c>
      <c r="AC470">
        <v>644146.91922296095</v>
      </c>
      <c r="AD470">
        <v>728401.3362573242</v>
      </c>
      <c r="AE470">
        <v>1</v>
      </c>
      <c r="AF470">
        <v>62274.779209876448</v>
      </c>
      <c r="AG470">
        <v>253287.28627111489</v>
      </c>
    </row>
    <row r="471" spans="2:33" hidden="1" x14ac:dyDescent="0.25">
      <c r="B471">
        <v>10</v>
      </c>
      <c r="C471" t="s">
        <v>39</v>
      </c>
      <c r="D471" t="s">
        <v>26</v>
      </c>
      <c r="E471" t="s">
        <v>68</v>
      </c>
      <c r="F471">
        <v>219101</v>
      </c>
      <c r="G471">
        <v>219267</v>
      </c>
      <c r="H471">
        <v>54</v>
      </c>
      <c r="I471" s="5">
        <v>0</v>
      </c>
      <c r="J471">
        <v>0</v>
      </c>
      <c r="K471">
        <v>575527</v>
      </c>
      <c r="L471">
        <v>312629</v>
      </c>
      <c r="M471">
        <v>59332</v>
      </c>
      <c r="N471">
        <v>6103</v>
      </c>
      <c r="O471" s="43">
        <v>285391445.90950799</v>
      </c>
      <c r="P471" s="14">
        <f t="shared" si="23"/>
        <v>1478087.9731079936</v>
      </c>
      <c r="Q471" s="14" t="str">
        <f t="shared" si="21"/>
        <v/>
      </c>
      <c r="R471" s="14" t="str">
        <f t="shared" si="21"/>
        <v/>
      </c>
      <c r="S471" s="14" t="str">
        <f t="shared" si="22"/>
        <v/>
      </c>
      <c r="T471" s="14" t="s">
        <v>72</v>
      </c>
      <c r="U471" s="14">
        <v>0</v>
      </c>
      <c r="V471">
        <v>6122</v>
      </c>
      <c r="W471">
        <v>18.129541015625001</v>
      </c>
      <c r="X471">
        <v>14.2691693645233</v>
      </c>
      <c r="Y471">
        <v>1.7855371924374099</v>
      </c>
      <c r="Z471" s="31">
        <v>1.8336343219172899</v>
      </c>
      <c r="AA471">
        <v>4.1539779062226696</v>
      </c>
      <c r="AB471">
        <v>0.08</v>
      </c>
      <c r="AC471">
        <v>644146.91922296095</v>
      </c>
      <c r="AD471">
        <v>728401.3362573242</v>
      </c>
      <c r="AE471">
        <v>1</v>
      </c>
      <c r="AF471">
        <v>62274.779209876448</v>
      </c>
      <c r="AG471">
        <v>253287.28627111489</v>
      </c>
    </row>
    <row r="472" spans="2:33" hidden="1" x14ac:dyDescent="0.25">
      <c r="B472">
        <v>10</v>
      </c>
      <c r="C472" t="s">
        <v>39</v>
      </c>
      <c r="D472" t="s">
        <v>26</v>
      </c>
      <c r="E472" t="s">
        <v>68</v>
      </c>
      <c r="F472">
        <v>219101</v>
      </c>
      <c r="G472">
        <v>219267</v>
      </c>
      <c r="H472">
        <v>55</v>
      </c>
      <c r="I472" s="5">
        <v>0</v>
      </c>
      <c r="J472">
        <v>0</v>
      </c>
      <c r="K472">
        <v>575527</v>
      </c>
      <c r="L472">
        <v>312629</v>
      </c>
      <c r="M472">
        <v>59332</v>
      </c>
      <c r="N472">
        <v>6103</v>
      </c>
      <c r="O472" s="43">
        <v>287150259.07404</v>
      </c>
      <c r="P472" s="14">
        <f t="shared" si="23"/>
        <v>1758813.1645320058</v>
      </c>
      <c r="Q472" s="14" t="str">
        <f t="shared" si="21"/>
        <v/>
      </c>
      <c r="R472" s="14" t="str">
        <f t="shared" si="21"/>
        <v/>
      </c>
      <c r="S472" s="14" t="str">
        <f t="shared" si="22"/>
        <v/>
      </c>
      <c r="T472" s="14" t="s">
        <v>72</v>
      </c>
      <c r="U472" s="14">
        <v>0</v>
      </c>
      <c r="V472">
        <v>6122</v>
      </c>
      <c r="W472">
        <v>18.129541015625001</v>
      </c>
      <c r="X472">
        <v>14.2691693645233</v>
      </c>
      <c r="Y472">
        <v>1.7855371924374099</v>
      </c>
      <c r="Z472" s="31">
        <v>1.8336343219172899</v>
      </c>
      <c r="AA472">
        <v>4.1539779062226696</v>
      </c>
      <c r="AB472">
        <v>0.08</v>
      </c>
      <c r="AC472">
        <v>644146.91922296095</v>
      </c>
      <c r="AD472">
        <v>728401.3362573242</v>
      </c>
      <c r="AE472">
        <v>1</v>
      </c>
      <c r="AF472">
        <v>62274.779209876448</v>
      </c>
      <c r="AG472">
        <v>253287.28627111489</v>
      </c>
    </row>
    <row r="473" spans="2:33" hidden="1" x14ac:dyDescent="0.25">
      <c r="B473">
        <v>10</v>
      </c>
      <c r="C473" t="s">
        <v>39</v>
      </c>
      <c r="D473" t="s">
        <v>26</v>
      </c>
      <c r="E473" t="s">
        <v>68</v>
      </c>
      <c r="F473">
        <v>219101</v>
      </c>
      <c r="G473">
        <v>219267</v>
      </c>
      <c r="H473">
        <v>56</v>
      </c>
      <c r="I473" s="5">
        <v>0</v>
      </c>
      <c r="J473">
        <v>0</v>
      </c>
      <c r="K473">
        <v>575527</v>
      </c>
      <c r="L473">
        <v>312629</v>
      </c>
      <c r="M473">
        <v>59332</v>
      </c>
      <c r="N473">
        <v>6103</v>
      </c>
      <c r="O473" s="43">
        <v>288298254.11795998</v>
      </c>
      <c r="P473" s="14">
        <f t="shared" si="23"/>
        <v>1147995.0439199805</v>
      </c>
      <c r="Q473" s="14" t="str">
        <f t="shared" si="21"/>
        <v/>
      </c>
      <c r="R473" s="14" t="str">
        <f t="shared" si="21"/>
        <v/>
      </c>
      <c r="S473" s="14" t="str">
        <f t="shared" si="22"/>
        <v/>
      </c>
      <c r="T473" s="14" t="s">
        <v>72</v>
      </c>
      <c r="U473" s="14">
        <v>0</v>
      </c>
      <c r="V473">
        <v>6122</v>
      </c>
      <c r="W473">
        <v>18.129541015625001</v>
      </c>
      <c r="X473">
        <v>14.2691693645233</v>
      </c>
      <c r="Y473">
        <v>1.7855371924374099</v>
      </c>
      <c r="Z473" s="31">
        <v>1.8336343219172899</v>
      </c>
      <c r="AA473">
        <v>4.1539779062226696</v>
      </c>
      <c r="AB473">
        <v>0.08</v>
      </c>
      <c r="AC473">
        <v>644146.91922296095</v>
      </c>
      <c r="AD473">
        <v>728401.3362573242</v>
      </c>
      <c r="AE473">
        <v>1</v>
      </c>
      <c r="AF473">
        <v>62274.779209876448</v>
      </c>
      <c r="AG473">
        <v>253287.28627111489</v>
      </c>
    </row>
    <row r="474" spans="2:33" hidden="1" x14ac:dyDescent="0.25">
      <c r="B474">
        <v>10</v>
      </c>
      <c r="C474" t="s">
        <v>39</v>
      </c>
      <c r="D474" t="s">
        <v>26</v>
      </c>
      <c r="E474" t="s">
        <v>68</v>
      </c>
      <c r="F474">
        <v>219101</v>
      </c>
      <c r="G474">
        <v>219267</v>
      </c>
      <c r="H474">
        <v>57</v>
      </c>
      <c r="I474" s="5">
        <v>0</v>
      </c>
      <c r="J474">
        <v>0</v>
      </c>
      <c r="K474">
        <v>575527</v>
      </c>
      <c r="L474">
        <v>312629</v>
      </c>
      <c r="M474">
        <v>59332</v>
      </c>
      <c r="N474">
        <v>6103</v>
      </c>
      <c r="O474" s="43">
        <v>289764549.96040797</v>
      </c>
      <c r="P474" s="14">
        <f t="shared" si="23"/>
        <v>1466295.8424479961</v>
      </c>
      <c r="Q474" s="14" t="str">
        <f t="shared" si="21"/>
        <v/>
      </c>
      <c r="R474" s="14" t="str">
        <f t="shared" si="21"/>
        <v/>
      </c>
      <c r="S474" s="14" t="str">
        <f t="shared" si="22"/>
        <v/>
      </c>
      <c r="T474" s="14" t="s">
        <v>72</v>
      </c>
      <c r="U474" s="14">
        <v>0</v>
      </c>
      <c r="V474">
        <v>6122</v>
      </c>
      <c r="W474">
        <v>18.129541015625001</v>
      </c>
      <c r="X474">
        <v>14.2691693645233</v>
      </c>
      <c r="Y474">
        <v>1.7855371924374099</v>
      </c>
      <c r="Z474" s="31">
        <v>1.8336343219172899</v>
      </c>
      <c r="AA474">
        <v>4.1539779062226696</v>
      </c>
      <c r="AB474">
        <v>0.08</v>
      </c>
      <c r="AC474">
        <v>644146.91922296095</v>
      </c>
      <c r="AD474">
        <v>728401.3362573242</v>
      </c>
      <c r="AE474">
        <v>1</v>
      </c>
      <c r="AF474">
        <v>62274.779209876448</v>
      </c>
      <c r="AG474">
        <v>253287.28627111489</v>
      </c>
    </row>
    <row r="475" spans="2:33" hidden="1" x14ac:dyDescent="0.25">
      <c r="B475">
        <v>10</v>
      </c>
      <c r="C475" t="s">
        <v>39</v>
      </c>
      <c r="D475" t="s">
        <v>26</v>
      </c>
      <c r="E475" t="s">
        <v>68</v>
      </c>
      <c r="F475">
        <v>219101</v>
      </c>
      <c r="G475">
        <v>219267</v>
      </c>
      <c r="H475">
        <v>58</v>
      </c>
      <c r="I475" s="5">
        <v>0</v>
      </c>
      <c r="J475">
        <v>0</v>
      </c>
      <c r="K475">
        <v>575527</v>
      </c>
      <c r="L475">
        <v>312629</v>
      </c>
      <c r="M475">
        <v>59332</v>
      </c>
      <c r="N475">
        <v>6103</v>
      </c>
      <c r="O475" s="43">
        <v>291422122.22447997</v>
      </c>
      <c r="P475" s="14">
        <f t="shared" si="23"/>
        <v>1657572.264072001</v>
      </c>
      <c r="Q475" s="14" t="str">
        <f t="shared" si="21"/>
        <v/>
      </c>
      <c r="R475" s="14" t="str">
        <f t="shared" si="21"/>
        <v/>
      </c>
      <c r="S475" s="14" t="str">
        <f t="shared" si="22"/>
        <v/>
      </c>
      <c r="T475" s="14" t="s">
        <v>72</v>
      </c>
      <c r="U475" s="14">
        <v>0</v>
      </c>
      <c r="V475">
        <v>6122</v>
      </c>
      <c r="W475">
        <v>18.129541015625001</v>
      </c>
      <c r="X475">
        <v>14.2691693645233</v>
      </c>
      <c r="Y475">
        <v>1.7855371924374099</v>
      </c>
      <c r="Z475" s="31">
        <v>1.8336343219172899</v>
      </c>
      <c r="AA475">
        <v>4.1539779062226696</v>
      </c>
      <c r="AB475">
        <v>0.08</v>
      </c>
      <c r="AC475">
        <v>644146.91922296095</v>
      </c>
      <c r="AD475">
        <v>728401.3362573242</v>
      </c>
      <c r="AE475">
        <v>1</v>
      </c>
      <c r="AF475">
        <v>62274.779209876448</v>
      </c>
      <c r="AG475">
        <v>253287.28627111489</v>
      </c>
    </row>
    <row r="476" spans="2:33" hidden="1" x14ac:dyDescent="0.25">
      <c r="B476">
        <v>10</v>
      </c>
      <c r="C476" t="s">
        <v>39</v>
      </c>
      <c r="D476" t="s">
        <v>26</v>
      </c>
      <c r="E476" t="s">
        <v>68</v>
      </c>
      <c r="F476">
        <v>219101</v>
      </c>
      <c r="G476">
        <v>219267</v>
      </c>
      <c r="H476">
        <v>59</v>
      </c>
      <c r="I476" s="5">
        <v>0</v>
      </c>
      <c r="J476">
        <v>0</v>
      </c>
      <c r="K476">
        <v>575527</v>
      </c>
      <c r="L476">
        <v>312629</v>
      </c>
      <c r="M476">
        <v>59332</v>
      </c>
      <c r="N476">
        <v>6103</v>
      </c>
      <c r="O476" s="43">
        <v>291422122.22447997</v>
      </c>
      <c r="P476" s="14">
        <f t="shared" si="23"/>
        <v>0</v>
      </c>
      <c r="Q476" s="14" t="str">
        <f t="shared" si="21"/>
        <v/>
      </c>
      <c r="R476" s="14" t="str">
        <f t="shared" si="21"/>
        <v/>
      </c>
      <c r="S476" s="14" t="str">
        <f t="shared" si="22"/>
        <v/>
      </c>
      <c r="T476" s="14" t="s">
        <v>72</v>
      </c>
      <c r="U476" s="14">
        <v>0</v>
      </c>
      <c r="V476">
        <v>6122</v>
      </c>
      <c r="W476">
        <v>18.129541015625001</v>
      </c>
      <c r="X476">
        <v>14.2691693645233</v>
      </c>
      <c r="Y476">
        <v>1.7855371924374099</v>
      </c>
      <c r="Z476" s="31">
        <v>1.8336343219172899</v>
      </c>
      <c r="AA476">
        <v>4.1539779062226696</v>
      </c>
      <c r="AB476">
        <v>0.08</v>
      </c>
      <c r="AC476">
        <v>644146.91922296095</v>
      </c>
      <c r="AD476">
        <v>728401.3362573242</v>
      </c>
      <c r="AE476">
        <v>1</v>
      </c>
      <c r="AF476">
        <v>62274.779209876448</v>
      </c>
      <c r="AG476">
        <v>253287.28627111489</v>
      </c>
    </row>
    <row r="477" spans="2:33" hidden="1" x14ac:dyDescent="0.25">
      <c r="B477">
        <v>10</v>
      </c>
      <c r="C477" t="s">
        <v>39</v>
      </c>
      <c r="D477" t="s">
        <v>26</v>
      </c>
      <c r="E477" t="s">
        <v>68</v>
      </c>
      <c r="F477">
        <v>219101</v>
      </c>
      <c r="G477">
        <v>219267</v>
      </c>
      <c r="H477">
        <v>60</v>
      </c>
      <c r="I477" s="5">
        <v>0</v>
      </c>
      <c r="J477">
        <v>0</v>
      </c>
      <c r="K477">
        <v>575527</v>
      </c>
      <c r="L477">
        <v>312629</v>
      </c>
      <c r="M477">
        <v>59332</v>
      </c>
      <c r="N477">
        <v>6103</v>
      </c>
      <c r="O477" s="43">
        <v>295081589.50488001</v>
      </c>
      <c r="P477" s="14">
        <f t="shared" si="23"/>
        <v>3659467.2804000378</v>
      </c>
      <c r="Q477" s="14" t="str">
        <f t="shared" si="21"/>
        <v/>
      </c>
      <c r="R477" s="14" t="str">
        <f t="shared" si="21"/>
        <v/>
      </c>
      <c r="S477" s="14" t="str">
        <f t="shared" si="22"/>
        <v/>
      </c>
      <c r="T477" s="14" t="s">
        <v>72</v>
      </c>
      <c r="U477" s="14">
        <v>0</v>
      </c>
      <c r="V477">
        <v>6122</v>
      </c>
      <c r="W477">
        <v>18.129541015625001</v>
      </c>
      <c r="X477">
        <v>14.2691693645233</v>
      </c>
      <c r="Y477">
        <v>1.7855371924374099</v>
      </c>
      <c r="Z477" s="31">
        <v>1.8336343219172899</v>
      </c>
      <c r="AA477">
        <v>4.1539779062226696</v>
      </c>
      <c r="AB477">
        <v>0.08</v>
      </c>
      <c r="AC477">
        <v>644146.91922296095</v>
      </c>
      <c r="AD477">
        <v>728401.3362573242</v>
      </c>
      <c r="AE477">
        <v>1</v>
      </c>
      <c r="AF477">
        <v>62274.779209876448</v>
      </c>
      <c r="AG477">
        <v>253287.28627111489</v>
      </c>
    </row>
    <row r="478" spans="2:33" hidden="1" x14ac:dyDescent="0.25">
      <c r="B478">
        <v>10</v>
      </c>
      <c r="C478" t="s">
        <v>39</v>
      </c>
      <c r="D478" t="s">
        <v>26</v>
      </c>
      <c r="E478" t="s">
        <v>68</v>
      </c>
      <c r="F478">
        <v>219101</v>
      </c>
      <c r="G478">
        <v>219267</v>
      </c>
      <c r="H478">
        <v>61</v>
      </c>
      <c r="I478" s="5">
        <v>0</v>
      </c>
      <c r="J478">
        <v>0</v>
      </c>
      <c r="K478">
        <v>575527</v>
      </c>
      <c r="L478">
        <v>312629</v>
      </c>
      <c r="M478">
        <v>59332</v>
      </c>
      <c r="N478">
        <v>6103</v>
      </c>
      <c r="O478" s="43">
        <v>294832928.59631997</v>
      </c>
      <c r="P478" s="14">
        <f t="shared" si="23"/>
        <v>-248660.90856003761</v>
      </c>
      <c r="Q478" s="14">
        <f t="shared" si="21"/>
        <v>-248660.90856003761</v>
      </c>
      <c r="R478" s="14">
        <f t="shared" si="21"/>
        <v>-248660.90856003761</v>
      </c>
      <c r="S478" s="14">
        <f t="shared" si="22"/>
        <v>61832247445.903389</v>
      </c>
      <c r="T478" s="14">
        <v>61832247445.903389</v>
      </c>
      <c r="U478" s="14">
        <v>0</v>
      </c>
      <c r="V478">
        <v>6122</v>
      </c>
      <c r="W478">
        <v>18.129541015625001</v>
      </c>
      <c r="X478">
        <v>14.2691693645233</v>
      </c>
      <c r="Y478">
        <v>1.7855371924374099</v>
      </c>
      <c r="Z478" s="31">
        <v>1.8336343219172899</v>
      </c>
      <c r="AA478">
        <v>4.1539779062226696</v>
      </c>
      <c r="AB478">
        <v>0.08</v>
      </c>
      <c r="AC478">
        <v>644146.91922296095</v>
      </c>
      <c r="AD478">
        <v>728401.3362573242</v>
      </c>
      <c r="AE478">
        <v>1</v>
      </c>
      <c r="AF478">
        <v>62274.779209876448</v>
      </c>
      <c r="AG478">
        <v>253287.28627111489</v>
      </c>
    </row>
    <row r="479" spans="2:33" hidden="1" x14ac:dyDescent="0.25">
      <c r="B479">
        <v>10</v>
      </c>
      <c r="C479" t="s">
        <v>39</v>
      </c>
      <c r="D479" t="s">
        <v>26</v>
      </c>
      <c r="E479" t="s">
        <v>68</v>
      </c>
      <c r="F479">
        <v>219101</v>
      </c>
      <c r="G479">
        <v>219267</v>
      </c>
      <c r="H479">
        <v>62</v>
      </c>
      <c r="I479" s="5">
        <v>0</v>
      </c>
      <c r="J479">
        <v>0</v>
      </c>
      <c r="K479">
        <v>575527</v>
      </c>
      <c r="L479">
        <v>312629</v>
      </c>
      <c r="M479">
        <v>59332</v>
      </c>
      <c r="N479">
        <v>6103</v>
      </c>
      <c r="O479" s="43">
        <v>297035643.42251998</v>
      </c>
      <c r="P479" s="14">
        <f t="shared" si="23"/>
        <v>2202714.8262000084</v>
      </c>
      <c r="Q479" s="14" t="str">
        <f t="shared" si="21"/>
        <v/>
      </c>
      <c r="R479" s="14" t="str">
        <f t="shared" si="21"/>
        <v/>
      </c>
      <c r="S479" s="14" t="str">
        <f t="shared" si="22"/>
        <v/>
      </c>
      <c r="T479" s="14" t="s">
        <v>72</v>
      </c>
      <c r="U479" s="14">
        <v>0</v>
      </c>
      <c r="V479">
        <v>6122</v>
      </c>
      <c r="W479">
        <v>18.129541015625001</v>
      </c>
      <c r="X479">
        <v>14.2691693645233</v>
      </c>
      <c r="Y479">
        <v>1.7855371924374099</v>
      </c>
      <c r="Z479" s="31">
        <v>1.8336343219172899</v>
      </c>
      <c r="AA479">
        <v>4.1539779062226696</v>
      </c>
      <c r="AB479">
        <v>0.08</v>
      </c>
      <c r="AC479">
        <v>644146.91922296095</v>
      </c>
      <c r="AD479">
        <v>728401.3362573242</v>
      </c>
      <c r="AE479">
        <v>1</v>
      </c>
      <c r="AF479">
        <v>62274.779209876448</v>
      </c>
      <c r="AG479">
        <v>253287.28627111489</v>
      </c>
    </row>
    <row r="480" spans="2:33" hidden="1" x14ac:dyDescent="0.25">
      <c r="B480">
        <v>10</v>
      </c>
      <c r="C480" t="s">
        <v>39</v>
      </c>
      <c r="D480" t="s">
        <v>26</v>
      </c>
      <c r="E480" t="s">
        <v>68</v>
      </c>
      <c r="F480">
        <v>219101</v>
      </c>
      <c r="G480">
        <v>219267</v>
      </c>
      <c r="H480">
        <v>63</v>
      </c>
      <c r="I480" s="5">
        <v>0</v>
      </c>
      <c r="J480">
        <v>0</v>
      </c>
      <c r="K480">
        <v>575527</v>
      </c>
      <c r="L480">
        <v>312629</v>
      </c>
      <c r="M480">
        <v>59332</v>
      </c>
      <c r="N480">
        <v>6103</v>
      </c>
      <c r="O480" s="43">
        <v>299558675.41847998</v>
      </c>
      <c r="P480" s="14">
        <f t="shared" si="23"/>
        <v>2523031.9959599972</v>
      </c>
      <c r="Q480" s="14" t="str">
        <f t="shared" si="21"/>
        <v/>
      </c>
      <c r="R480" s="14" t="str">
        <f t="shared" si="21"/>
        <v/>
      </c>
      <c r="S480" s="14" t="str">
        <f t="shared" si="22"/>
        <v/>
      </c>
      <c r="T480" s="14" t="s">
        <v>72</v>
      </c>
      <c r="U480" s="14">
        <v>0</v>
      </c>
      <c r="V480">
        <v>6122</v>
      </c>
      <c r="W480">
        <v>18.129541015625001</v>
      </c>
      <c r="X480">
        <v>14.2691693645233</v>
      </c>
      <c r="Y480">
        <v>1.7855371924374099</v>
      </c>
      <c r="Z480" s="31">
        <v>1.8336343219172899</v>
      </c>
      <c r="AA480">
        <v>4.1539779062226696</v>
      </c>
      <c r="AB480">
        <v>0.08</v>
      </c>
      <c r="AC480">
        <v>644146.91922296095</v>
      </c>
      <c r="AD480">
        <v>728401.3362573242</v>
      </c>
      <c r="AE480">
        <v>1</v>
      </c>
      <c r="AF480">
        <v>62274.779209876448</v>
      </c>
      <c r="AG480">
        <v>253287.28627111489</v>
      </c>
    </row>
    <row r="481" spans="1:33" hidden="1" x14ac:dyDescent="0.25">
      <c r="B481">
        <v>10</v>
      </c>
      <c r="C481" t="s">
        <v>39</v>
      </c>
      <c r="D481" t="s">
        <v>26</v>
      </c>
      <c r="E481" t="s">
        <v>68</v>
      </c>
      <c r="F481">
        <v>219101</v>
      </c>
      <c r="G481">
        <v>219267</v>
      </c>
      <c r="H481">
        <v>64</v>
      </c>
      <c r="I481" s="5">
        <v>0</v>
      </c>
      <c r="J481">
        <v>0</v>
      </c>
      <c r="K481">
        <v>575527</v>
      </c>
      <c r="L481">
        <v>312629</v>
      </c>
      <c r="M481">
        <v>59332</v>
      </c>
      <c r="N481">
        <v>6103</v>
      </c>
      <c r="O481" s="43">
        <v>301148669.84652001</v>
      </c>
      <c r="P481" s="14">
        <f t="shared" si="23"/>
        <v>1589994.4280400276</v>
      </c>
      <c r="Q481" s="14" t="str">
        <f t="shared" si="21"/>
        <v/>
      </c>
      <c r="R481" s="14" t="str">
        <f t="shared" si="21"/>
        <v/>
      </c>
      <c r="S481" s="14" t="str">
        <f t="shared" si="22"/>
        <v/>
      </c>
      <c r="T481" s="14" t="s">
        <v>72</v>
      </c>
      <c r="U481" s="14">
        <v>0</v>
      </c>
      <c r="V481">
        <v>6122</v>
      </c>
      <c r="W481">
        <v>18.129541015625001</v>
      </c>
      <c r="X481">
        <v>14.2691693645233</v>
      </c>
      <c r="Y481">
        <v>1.7855371924374099</v>
      </c>
      <c r="Z481" s="31">
        <v>1.8336343219172899</v>
      </c>
      <c r="AA481">
        <v>4.1539779062226696</v>
      </c>
      <c r="AB481">
        <v>0.08</v>
      </c>
      <c r="AC481">
        <v>644146.91922296095</v>
      </c>
      <c r="AD481">
        <v>728401.3362573242</v>
      </c>
      <c r="AE481">
        <v>1</v>
      </c>
      <c r="AF481">
        <v>62274.779209876448</v>
      </c>
      <c r="AG481">
        <v>253287.28627111489</v>
      </c>
    </row>
    <row r="482" spans="1:33" hidden="1" x14ac:dyDescent="0.25">
      <c r="B482">
        <v>10</v>
      </c>
      <c r="C482" t="s">
        <v>39</v>
      </c>
      <c r="D482" t="s">
        <v>26</v>
      </c>
      <c r="E482" t="s">
        <v>68</v>
      </c>
      <c r="F482">
        <v>219101</v>
      </c>
      <c r="G482">
        <v>219267</v>
      </c>
      <c r="H482">
        <v>65</v>
      </c>
      <c r="I482" s="5">
        <v>0</v>
      </c>
      <c r="J482">
        <v>0</v>
      </c>
      <c r="K482">
        <v>575527</v>
      </c>
      <c r="L482">
        <v>312629</v>
      </c>
      <c r="M482">
        <v>59332</v>
      </c>
      <c r="N482">
        <v>6103</v>
      </c>
      <c r="O482" s="43">
        <v>303073694.89344001</v>
      </c>
      <c r="P482" s="14">
        <f t="shared" si="23"/>
        <v>1925025.0469200015</v>
      </c>
      <c r="Q482" s="14" t="str">
        <f t="shared" si="21"/>
        <v/>
      </c>
      <c r="R482" s="14" t="str">
        <f t="shared" si="21"/>
        <v/>
      </c>
      <c r="S482" s="14" t="str">
        <f t="shared" si="22"/>
        <v/>
      </c>
      <c r="T482" s="14" t="s">
        <v>72</v>
      </c>
      <c r="U482" s="14">
        <v>0</v>
      </c>
      <c r="V482">
        <v>6122</v>
      </c>
      <c r="W482">
        <v>18.129541015625001</v>
      </c>
      <c r="X482">
        <v>14.2691693645233</v>
      </c>
      <c r="Y482">
        <v>1.7855371924374099</v>
      </c>
      <c r="Z482" s="31">
        <v>1.8336343219172899</v>
      </c>
      <c r="AA482">
        <v>4.1539779062226696</v>
      </c>
      <c r="AB482">
        <v>0.08</v>
      </c>
      <c r="AC482">
        <v>644146.91922296095</v>
      </c>
      <c r="AD482">
        <v>728401.3362573242</v>
      </c>
      <c r="AE482">
        <v>1</v>
      </c>
      <c r="AF482">
        <v>62274.779209876448</v>
      </c>
      <c r="AG482">
        <v>253287.28627111489</v>
      </c>
    </row>
    <row r="483" spans="1:33" hidden="1" x14ac:dyDescent="0.25">
      <c r="B483">
        <v>10</v>
      </c>
      <c r="C483" t="s">
        <v>39</v>
      </c>
      <c r="D483" t="s">
        <v>26</v>
      </c>
      <c r="E483" t="s">
        <v>68</v>
      </c>
      <c r="F483">
        <v>219101</v>
      </c>
      <c r="G483">
        <v>219267</v>
      </c>
      <c r="H483">
        <v>66</v>
      </c>
      <c r="I483" s="5">
        <v>0</v>
      </c>
      <c r="J483">
        <v>0</v>
      </c>
      <c r="K483">
        <v>575527</v>
      </c>
      <c r="L483">
        <v>312629</v>
      </c>
      <c r="M483">
        <v>59332</v>
      </c>
      <c r="N483">
        <v>6103</v>
      </c>
      <c r="O483" s="43">
        <v>304776071.03483999</v>
      </c>
      <c r="P483" s="14">
        <f t="shared" si="23"/>
        <v>1702376.1413999796</v>
      </c>
      <c r="Q483" s="14" t="str">
        <f t="shared" si="21"/>
        <v/>
      </c>
      <c r="R483" s="14" t="str">
        <f t="shared" si="21"/>
        <v/>
      </c>
      <c r="S483" s="14" t="str">
        <f t="shared" si="22"/>
        <v/>
      </c>
      <c r="T483" s="14" t="s">
        <v>72</v>
      </c>
      <c r="U483" s="14">
        <v>0</v>
      </c>
      <c r="V483">
        <v>6122</v>
      </c>
      <c r="W483">
        <v>18.129541015625001</v>
      </c>
      <c r="X483">
        <v>14.2691693645233</v>
      </c>
      <c r="Y483">
        <v>1.7855371924374099</v>
      </c>
      <c r="Z483" s="31">
        <v>1.8336343219172899</v>
      </c>
      <c r="AA483">
        <v>4.1539779062226696</v>
      </c>
      <c r="AB483">
        <v>0.08</v>
      </c>
      <c r="AC483">
        <v>644146.91922296095</v>
      </c>
      <c r="AD483">
        <v>728401.3362573242</v>
      </c>
      <c r="AE483">
        <v>1</v>
      </c>
      <c r="AF483">
        <v>62274.779209876448</v>
      </c>
      <c r="AG483">
        <v>253287.28627111489</v>
      </c>
    </row>
    <row r="484" spans="1:33" hidden="1" x14ac:dyDescent="0.25">
      <c r="B484">
        <v>10</v>
      </c>
      <c r="C484" t="s">
        <v>39</v>
      </c>
      <c r="D484" t="s">
        <v>26</v>
      </c>
      <c r="E484" t="s">
        <v>68</v>
      </c>
      <c r="F484">
        <v>219101</v>
      </c>
      <c r="G484">
        <v>219267</v>
      </c>
      <c r="H484">
        <v>67</v>
      </c>
      <c r="I484" s="5">
        <v>0</v>
      </c>
      <c r="J484">
        <v>0</v>
      </c>
      <c r="K484">
        <v>575527</v>
      </c>
      <c r="L484">
        <v>312629</v>
      </c>
      <c r="M484">
        <v>59332</v>
      </c>
      <c r="N484">
        <v>6103</v>
      </c>
      <c r="O484" s="43">
        <v>306602760.66912001</v>
      </c>
      <c r="P484" s="14">
        <f t="shared" si="23"/>
        <v>1826689.634280026</v>
      </c>
      <c r="Q484" s="14" t="str">
        <f t="shared" si="21"/>
        <v/>
      </c>
      <c r="R484" s="14" t="str">
        <f t="shared" si="21"/>
        <v/>
      </c>
      <c r="S484" s="14" t="str">
        <f t="shared" si="22"/>
        <v/>
      </c>
      <c r="T484" s="14" t="s">
        <v>72</v>
      </c>
      <c r="U484" s="14">
        <v>0</v>
      </c>
      <c r="V484">
        <v>6122</v>
      </c>
      <c r="W484">
        <v>18.129541015625001</v>
      </c>
      <c r="X484">
        <v>14.2691693645233</v>
      </c>
      <c r="Y484">
        <v>1.7855371924374099</v>
      </c>
      <c r="Z484" s="31">
        <v>1.8336343219172899</v>
      </c>
      <c r="AA484">
        <v>4.1539779062226696</v>
      </c>
      <c r="AB484">
        <v>0.08</v>
      </c>
      <c r="AC484">
        <v>644146.91922296095</v>
      </c>
      <c r="AD484">
        <v>728401.3362573242</v>
      </c>
      <c r="AE484">
        <v>1</v>
      </c>
      <c r="AF484">
        <v>62274.779209876448</v>
      </c>
      <c r="AG484">
        <v>253287.28627111489</v>
      </c>
    </row>
    <row r="485" spans="1:33" hidden="1" x14ac:dyDescent="0.25">
      <c r="B485">
        <v>10</v>
      </c>
      <c r="C485" t="s">
        <v>39</v>
      </c>
      <c r="D485" t="s">
        <v>26</v>
      </c>
      <c r="E485" t="s">
        <v>68</v>
      </c>
      <c r="F485">
        <v>219101</v>
      </c>
      <c r="G485">
        <v>219267</v>
      </c>
      <c r="H485">
        <v>68</v>
      </c>
      <c r="I485" s="5">
        <v>0</v>
      </c>
      <c r="J485">
        <v>0</v>
      </c>
      <c r="K485">
        <v>575527</v>
      </c>
      <c r="L485">
        <v>312629</v>
      </c>
      <c r="M485">
        <v>59332</v>
      </c>
      <c r="N485">
        <v>6103</v>
      </c>
      <c r="O485" s="43">
        <v>306602760.66912001</v>
      </c>
      <c r="P485" s="14">
        <f t="shared" si="23"/>
        <v>0</v>
      </c>
      <c r="Q485" s="14" t="str">
        <f t="shared" si="21"/>
        <v/>
      </c>
      <c r="R485" s="14" t="str">
        <f t="shared" si="21"/>
        <v/>
      </c>
      <c r="S485" s="14" t="str">
        <f t="shared" si="22"/>
        <v/>
      </c>
      <c r="T485" s="14" t="s">
        <v>72</v>
      </c>
      <c r="U485" s="14">
        <v>0</v>
      </c>
      <c r="V485">
        <v>6122</v>
      </c>
      <c r="W485">
        <v>18.129541015625001</v>
      </c>
      <c r="X485">
        <v>14.2691693645233</v>
      </c>
      <c r="Y485">
        <v>1.7855371924374099</v>
      </c>
      <c r="Z485" s="31">
        <v>1.8336343219172899</v>
      </c>
      <c r="AA485">
        <v>4.1539779062226696</v>
      </c>
      <c r="AB485">
        <v>0.08</v>
      </c>
      <c r="AC485">
        <v>644146.91922296095</v>
      </c>
      <c r="AD485">
        <v>728401.3362573242</v>
      </c>
      <c r="AE485">
        <v>1</v>
      </c>
      <c r="AF485">
        <v>62274.779209876448</v>
      </c>
      <c r="AG485">
        <v>253287.28627111489</v>
      </c>
    </row>
    <row r="486" spans="1:33" hidden="1" x14ac:dyDescent="0.25">
      <c r="A486" t="s">
        <v>100</v>
      </c>
      <c r="B486">
        <v>11</v>
      </c>
      <c r="C486" t="s">
        <v>40</v>
      </c>
      <c r="D486" t="s">
        <v>41</v>
      </c>
      <c r="E486" t="s">
        <v>69</v>
      </c>
      <c r="F486">
        <v>1457</v>
      </c>
      <c r="G486">
        <v>208663</v>
      </c>
      <c r="H486">
        <v>1</v>
      </c>
      <c r="I486" s="5">
        <v>0</v>
      </c>
      <c r="J486">
        <v>0.79601079252191331</v>
      </c>
      <c r="K486">
        <v>667808</v>
      </c>
      <c r="L486">
        <v>139946</v>
      </c>
      <c r="M486">
        <v>148</v>
      </c>
      <c r="N486">
        <v>36372</v>
      </c>
      <c r="O486" s="43">
        <v>57216.456000000013</v>
      </c>
      <c r="P486" s="14">
        <v>0</v>
      </c>
      <c r="Q486" s="14" t="str">
        <f t="shared" si="21"/>
        <v/>
      </c>
      <c r="R486" s="14" t="str">
        <f t="shared" si="21"/>
        <v/>
      </c>
      <c r="S486" s="14" t="str">
        <f t="shared" si="22"/>
        <v/>
      </c>
      <c r="T486" s="14" t="s">
        <v>72</v>
      </c>
      <c r="U486" s="14">
        <v>0</v>
      </c>
      <c r="V486">
        <v>8635</v>
      </c>
      <c r="W486">
        <v>22.063745117187501</v>
      </c>
      <c r="X486">
        <v>26.6444205023775</v>
      </c>
      <c r="Y486">
        <v>1.94821270103233</v>
      </c>
      <c r="Z486" s="31">
        <v>1.1607168944994</v>
      </c>
      <c r="AA486">
        <v>6.1082765293573003</v>
      </c>
      <c r="AB486">
        <v>0.08</v>
      </c>
      <c r="AC486">
        <v>422281.52031957201</v>
      </c>
      <c r="AD486">
        <v>483216.74370168633</v>
      </c>
      <c r="AE486">
        <v>1</v>
      </c>
      <c r="AF486">
        <v>51862.303181552117</v>
      </c>
      <c r="AG486">
        <v>420781.40981552709</v>
      </c>
    </row>
    <row r="487" spans="1:33" hidden="1" x14ac:dyDescent="0.25">
      <c r="B487">
        <v>11</v>
      </c>
      <c r="C487" t="s">
        <v>40</v>
      </c>
      <c r="D487" t="s">
        <v>41</v>
      </c>
      <c r="E487" t="s">
        <v>69</v>
      </c>
      <c r="F487">
        <v>4355</v>
      </c>
      <c r="G487">
        <v>208663</v>
      </c>
      <c r="H487">
        <v>2</v>
      </c>
      <c r="I487" s="5">
        <v>0</v>
      </c>
      <c r="J487">
        <v>1.583280217384011</v>
      </c>
      <c r="K487">
        <v>667808</v>
      </c>
      <c r="L487">
        <v>139946</v>
      </c>
      <c r="M487">
        <v>148</v>
      </c>
      <c r="N487">
        <v>36372</v>
      </c>
      <c r="O487" s="43">
        <v>57216.456000000013</v>
      </c>
      <c r="P487" s="14">
        <v>0</v>
      </c>
      <c r="Q487" s="14" t="str">
        <f t="shared" si="21"/>
        <v/>
      </c>
      <c r="R487" s="14" t="str">
        <f t="shared" si="21"/>
        <v/>
      </c>
      <c r="S487" s="14" t="str">
        <f t="shared" si="22"/>
        <v/>
      </c>
      <c r="T487" s="14" t="s">
        <v>72</v>
      </c>
      <c r="U487" s="14">
        <v>0</v>
      </c>
      <c r="V487">
        <v>8635</v>
      </c>
      <c r="W487">
        <v>22.446313476562501</v>
      </c>
      <c r="X487">
        <v>29.218369279249501</v>
      </c>
      <c r="Y487">
        <v>1.92399946868966</v>
      </c>
      <c r="Z487" s="31">
        <v>1.3818885149574101</v>
      </c>
      <c r="AA487">
        <v>2.0466654503961701</v>
      </c>
      <c r="AB487">
        <v>0.08</v>
      </c>
      <c r="AC487">
        <v>422281.52031957201</v>
      </c>
      <c r="AD487">
        <v>483216.74370168633</v>
      </c>
      <c r="AE487">
        <v>1</v>
      </c>
      <c r="AF487">
        <v>51862.303181552117</v>
      </c>
      <c r="AG487">
        <v>420781.40981552709</v>
      </c>
    </row>
    <row r="488" spans="1:33" hidden="1" x14ac:dyDescent="0.25">
      <c r="B488">
        <v>11</v>
      </c>
      <c r="C488" t="s">
        <v>40</v>
      </c>
      <c r="D488" t="s">
        <v>41</v>
      </c>
      <c r="E488" t="s">
        <v>69</v>
      </c>
      <c r="F488">
        <v>5751</v>
      </c>
      <c r="G488">
        <v>208663</v>
      </c>
      <c r="H488">
        <v>3</v>
      </c>
      <c r="I488" s="5">
        <v>0</v>
      </c>
      <c r="J488">
        <v>0.76268432831886823</v>
      </c>
      <c r="K488">
        <v>667808</v>
      </c>
      <c r="L488">
        <v>139946</v>
      </c>
      <c r="M488">
        <v>148</v>
      </c>
      <c r="N488">
        <v>36372</v>
      </c>
      <c r="O488" s="43">
        <v>1258762.0319999999</v>
      </c>
      <c r="P488" s="14">
        <f t="shared" si="23"/>
        <v>1201545.5759999999</v>
      </c>
      <c r="Q488" s="14" t="str">
        <f t="shared" si="21"/>
        <v/>
      </c>
      <c r="R488" s="14" t="str">
        <f t="shared" si="21"/>
        <v/>
      </c>
      <c r="S488" s="14" t="str">
        <f t="shared" si="22"/>
        <v/>
      </c>
      <c r="T488" s="14" t="s">
        <v>72</v>
      </c>
      <c r="U488" s="14">
        <v>0</v>
      </c>
      <c r="V488">
        <v>8635</v>
      </c>
      <c r="W488">
        <v>22.902917480468702</v>
      </c>
      <c r="X488">
        <v>23.9616527849075</v>
      </c>
      <c r="Y488">
        <v>2.12495904850396</v>
      </c>
      <c r="Z488" s="31">
        <v>2.7619625222805899</v>
      </c>
      <c r="AA488">
        <v>4.3298628340696403</v>
      </c>
      <c r="AB488">
        <v>0.08</v>
      </c>
      <c r="AC488">
        <v>422281.52031957201</v>
      </c>
      <c r="AD488">
        <v>483216.74370168633</v>
      </c>
      <c r="AE488">
        <v>1</v>
      </c>
      <c r="AF488">
        <v>51862.303181552117</v>
      </c>
      <c r="AG488">
        <v>420781.40981552709</v>
      </c>
    </row>
    <row r="489" spans="1:33" hidden="1" x14ac:dyDescent="0.25">
      <c r="B489">
        <v>11</v>
      </c>
      <c r="C489" t="s">
        <v>40</v>
      </c>
      <c r="D489" t="s">
        <v>41</v>
      </c>
      <c r="E489" t="s">
        <v>69</v>
      </c>
      <c r="F489">
        <v>11335</v>
      </c>
      <c r="G489">
        <v>208663</v>
      </c>
      <c r="H489">
        <v>4</v>
      </c>
      <c r="I489">
        <v>1457</v>
      </c>
      <c r="J489">
        <v>3.0507373132754729</v>
      </c>
      <c r="K489">
        <v>667808</v>
      </c>
      <c r="L489">
        <v>139946</v>
      </c>
      <c r="M489">
        <v>148</v>
      </c>
      <c r="N489">
        <v>36372</v>
      </c>
      <c r="O489" s="43">
        <v>2216565.50544</v>
      </c>
      <c r="P489" s="14">
        <f t="shared" si="23"/>
        <v>957803.47344000009</v>
      </c>
      <c r="Q489" s="14" t="str">
        <f t="shared" si="21"/>
        <v/>
      </c>
      <c r="R489" s="14" t="str">
        <f t="shared" si="21"/>
        <v/>
      </c>
      <c r="S489" s="14" t="str">
        <f t="shared" si="22"/>
        <v/>
      </c>
      <c r="T489" s="14" t="s">
        <v>72</v>
      </c>
      <c r="U489" s="14">
        <v>657.3805582978722</v>
      </c>
      <c r="V489">
        <v>8635</v>
      </c>
      <c r="W489">
        <v>24.653222656250001</v>
      </c>
      <c r="X489">
        <v>18.983895242630201</v>
      </c>
      <c r="Y489">
        <v>2.5151422363465099</v>
      </c>
      <c r="Z489" s="31">
        <v>2.5486461587695</v>
      </c>
      <c r="AA489">
        <v>4.0947579592861798</v>
      </c>
      <c r="AB489">
        <v>0.08</v>
      </c>
      <c r="AC489">
        <v>422281.52031957201</v>
      </c>
      <c r="AD489">
        <v>483216.74370168633</v>
      </c>
      <c r="AE489">
        <v>1</v>
      </c>
      <c r="AF489">
        <v>51862.303181552117</v>
      </c>
      <c r="AG489">
        <v>420781.40981552709</v>
      </c>
    </row>
    <row r="490" spans="1:33" hidden="1" x14ac:dyDescent="0.25">
      <c r="B490">
        <v>11</v>
      </c>
      <c r="C490" t="s">
        <v>40</v>
      </c>
      <c r="D490" t="s">
        <v>41</v>
      </c>
      <c r="E490" t="s">
        <v>69</v>
      </c>
      <c r="F490">
        <v>14018</v>
      </c>
      <c r="G490">
        <v>208663</v>
      </c>
      <c r="H490">
        <v>5</v>
      </c>
      <c r="I490">
        <v>2898</v>
      </c>
      <c r="J490">
        <v>1.4658180894552459</v>
      </c>
      <c r="K490">
        <v>667808</v>
      </c>
      <c r="L490">
        <v>139946</v>
      </c>
      <c r="M490">
        <v>148</v>
      </c>
      <c r="N490">
        <v>36372</v>
      </c>
      <c r="O490" s="43">
        <v>3315121.4606400002</v>
      </c>
      <c r="P490" s="14">
        <f t="shared" si="23"/>
        <v>1098555.9552000002</v>
      </c>
      <c r="Q490" s="14" t="str">
        <f t="shared" si="21"/>
        <v/>
      </c>
      <c r="R490" s="14" t="str">
        <f t="shared" si="21"/>
        <v/>
      </c>
      <c r="S490" s="14" t="str">
        <f t="shared" si="22"/>
        <v/>
      </c>
      <c r="T490" s="14" t="s">
        <v>72</v>
      </c>
      <c r="U490" s="14">
        <v>379.07382857142863</v>
      </c>
      <c r="V490">
        <v>8635</v>
      </c>
      <c r="W490">
        <v>23.060937500000001</v>
      </c>
      <c r="X490">
        <v>27.140248200417702</v>
      </c>
      <c r="Y490">
        <v>2.05558922440644</v>
      </c>
      <c r="Z490" s="31">
        <v>2.7207339770535399</v>
      </c>
      <c r="AA490">
        <v>3.8514479730199702</v>
      </c>
      <c r="AB490">
        <v>0.08</v>
      </c>
      <c r="AC490">
        <v>422281.52031957201</v>
      </c>
      <c r="AD490">
        <v>483216.74370168633</v>
      </c>
      <c r="AE490">
        <v>1</v>
      </c>
      <c r="AF490">
        <v>51862.303181552117</v>
      </c>
      <c r="AG490">
        <v>420781.40981552709</v>
      </c>
    </row>
    <row r="491" spans="1:33" hidden="1" x14ac:dyDescent="0.25">
      <c r="B491">
        <v>11</v>
      </c>
      <c r="C491" t="s">
        <v>40</v>
      </c>
      <c r="D491" t="s">
        <v>41</v>
      </c>
      <c r="E491" t="s">
        <v>69</v>
      </c>
      <c r="F491">
        <v>15738</v>
      </c>
      <c r="G491">
        <v>208663</v>
      </c>
      <c r="H491">
        <v>6</v>
      </c>
      <c r="I491">
        <v>1396</v>
      </c>
      <c r="J491">
        <v>0.93969702343012418</v>
      </c>
      <c r="K491">
        <v>667808</v>
      </c>
      <c r="L491">
        <v>139946</v>
      </c>
      <c r="M491">
        <v>148</v>
      </c>
      <c r="N491">
        <v>36372</v>
      </c>
      <c r="O491" s="43">
        <v>4387237.6915223999</v>
      </c>
      <c r="P491" s="14">
        <f t="shared" si="23"/>
        <v>1072116.2308823997</v>
      </c>
      <c r="Q491" s="14" t="str">
        <f t="shared" si="21"/>
        <v/>
      </c>
      <c r="R491" s="14" t="str">
        <f t="shared" si="21"/>
        <v/>
      </c>
      <c r="S491" s="14" t="str">
        <f t="shared" si="22"/>
        <v/>
      </c>
      <c r="T491" s="14" t="s">
        <v>72</v>
      </c>
      <c r="U491" s="14">
        <v>767.99156939999978</v>
      </c>
      <c r="V491">
        <v>8635</v>
      </c>
      <c r="W491">
        <v>23.045190429687501</v>
      </c>
      <c r="X491">
        <v>42.956965599999997</v>
      </c>
      <c r="Y491">
        <v>1.60745909867742</v>
      </c>
      <c r="Z491" s="31">
        <v>1.9304011674956301</v>
      </c>
      <c r="AA491">
        <v>2.5849886789786001</v>
      </c>
      <c r="AB491">
        <v>0.08</v>
      </c>
      <c r="AC491">
        <v>422281.52031957201</v>
      </c>
      <c r="AD491">
        <v>483216.74370168633</v>
      </c>
      <c r="AE491">
        <v>1</v>
      </c>
      <c r="AF491">
        <v>51862.303181552117</v>
      </c>
      <c r="AG491">
        <v>420781.40981552709</v>
      </c>
    </row>
    <row r="492" spans="1:33" hidden="1" x14ac:dyDescent="0.25">
      <c r="B492">
        <v>11</v>
      </c>
      <c r="C492" t="s">
        <v>40</v>
      </c>
      <c r="D492" t="s">
        <v>41</v>
      </c>
      <c r="E492" t="s">
        <v>69</v>
      </c>
      <c r="F492">
        <v>16461</v>
      </c>
      <c r="G492">
        <v>208663</v>
      </c>
      <c r="H492">
        <v>7</v>
      </c>
      <c r="I492">
        <v>5584</v>
      </c>
      <c r="J492">
        <v>0.39500055112789523</v>
      </c>
      <c r="K492">
        <v>667808</v>
      </c>
      <c r="L492">
        <v>139946</v>
      </c>
      <c r="M492">
        <v>148</v>
      </c>
      <c r="N492">
        <v>36372</v>
      </c>
      <c r="O492" s="43">
        <v>5428402.1083670408</v>
      </c>
      <c r="P492" s="14">
        <f t="shared" si="23"/>
        <v>1041164.4168446409</v>
      </c>
      <c r="Q492" s="14" t="str">
        <f t="shared" si="21"/>
        <v/>
      </c>
      <c r="R492" s="14" t="str">
        <f t="shared" si="21"/>
        <v/>
      </c>
      <c r="S492" s="14" t="str">
        <f t="shared" si="22"/>
        <v/>
      </c>
      <c r="T492" s="14" t="s">
        <v>72</v>
      </c>
      <c r="U492" s="14">
        <v>186.45494571000015</v>
      </c>
      <c r="V492">
        <v>8635</v>
      </c>
      <c r="W492">
        <v>23.954003906250001</v>
      </c>
      <c r="X492">
        <v>32.814781585281303</v>
      </c>
      <c r="Y492">
        <v>1.9999684672128299</v>
      </c>
      <c r="Z492" s="31">
        <v>2.2302005641770601</v>
      </c>
      <c r="AA492">
        <v>7.0790248203433004</v>
      </c>
      <c r="AB492">
        <v>0.08</v>
      </c>
      <c r="AC492">
        <v>422281.52031957201</v>
      </c>
      <c r="AD492">
        <v>483216.74370168633</v>
      </c>
      <c r="AE492">
        <v>1</v>
      </c>
      <c r="AF492">
        <v>51862.303181552117</v>
      </c>
      <c r="AG492">
        <v>420781.40981552709</v>
      </c>
    </row>
    <row r="493" spans="1:33" hidden="1" x14ac:dyDescent="0.25">
      <c r="B493">
        <v>11</v>
      </c>
      <c r="C493" t="s">
        <v>40</v>
      </c>
      <c r="D493" t="s">
        <v>41</v>
      </c>
      <c r="E493" t="s">
        <v>69</v>
      </c>
      <c r="F493">
        <v>16590</v>
      </c>
      <c r="G493">
        <v>208663</v>
      </c>
      <c r="H493">
        <v>8</v>
      </c>
      <c r="I493">
        <v>2683</v>
      </c>
      <c r="J493">
        <v>7.0477276757259316E-2</v>
      </c>
      <c r="K493">
        <v>667808</v>
      </c>
      <c r="L493">
        <v>139946</v>
      </c>
      <c r="M493">
        <v>148</v>
      </c>
      <c r="N493">
        <v>36372</v>
      </c>
      <c r="O493" s="43">
        <v>6761299.5024062404</v>
      </c>
      <c r="P493" s="14">
        <f t="shared" si="23"/>
        <v>1332897.3940391997</v>
      </c>
      <c r="Q493" s="14" t="str">
        <f t="shared" si="21"/>
        <v/>
      </c>
      <c r="R493" s="14" t="str">
        <f t="shared" si="21"/>
        <v/>
      </c>
      <c r="S493" s="14" t="str">
        <f t="shared" si="22"/>
        <v/>
      </c>
      <c r="T493" s="14" t="s">
        <v>72</v>
      </c>
      <c r="U493" s="14">
        <v>496.79366158747661</v>
      </c>
      <c r="V493">
        <v>8635</v>
      </c>
      <c r="W493">
        <v>19.619287109375001</v>
      </c>
      <c r="X493">
        <v>42.367282011019299</v>
      </c>
      <c r="Y493">
        <v>1.3170687336884199</v>
      </c>
      <c r="Z493" s="31">
        <v>2.2078084963274902</v>
      </c>
      <c r="AA493">
        <v>5.4093750237497398</v>
      </c>
      <c r="AB493">
        <v>0.08</v>
      </c>
      <c r="AC493">
        <v>422281.52031957201</v>
      </c>
      <c r="AD493">
        <v>483216.74370168633</v>
      </c>
      <c r="AE493">
        <v>1</v>
      </c>
      <c r="AF493">
        <v>51862.303181552117</v>
      </c>
      <c r="AG493">
        <v>420781.40981552709</v>
      </c>
    </row>
    <row r="494" spans="1:33" hidden="1" x14ac:dyDescent="0.25">
      <c r="B494">
        <v>11</v>
      </c>
      <c r="C494" t="s">
        <v>40</v>
      </c>
      <c r="D494" t="s">
        <v>41</v>
      </c>
      <c r="E494" t="s">
        <v>69</v>
      </c>
      <c r="F494">
        <v>17231</v>
      </c>
      <c r="G494">
        <v>208663</v>
      </c>
      <c r="H494">
        <v>9</v>
      </c>
      <c r="I494">
        <v>1720</v>
      </c>
      <c r="J494">
        <v>0.35020104187134282</v>
      </c>
      <c r="K494">
        <v>667808</v>
      </c>
      <c r="L494">
        <v>139946</v>
      </c>
      <c r="M494">
        <v>148</v>
      </c>
      <c r="N494">
        <v>36372</v>
      </c>
      <c r="O494" s="43">
        <v>8058080.7250891207</v>
      </c>
      <c r="P494" s="14">
        <f t="shared" si="23"/>
        <v>1296781.2226828802</v>
      </c>
      <c r="Q494" s="14" t="str">
        <f t="shared" si="21"/>
        <v/>
      </c>
      <c r="R494" s="14" t="str">
        <f t="shared" si="21"/>
        <v/>
      </c>
      <c r="S494" s="14" t="str">
        <f t="shared" si="22"/>
        <v/>
      </c>
      <c r="T494" s="14" t="s">
        <v>72</v>
      </c>
      <c r="U494" s="14">
        <v>753.94257132725591</v>
      </c>
      <c r="V494">
        <v>8635</v>
      </c>
      <c r="W494">
        <v>22.266015625000001</v>
      </c>
      <c r="X494">
        <v>33.515751870000003</v>
      </c>
      <c r="Y494">
        <v>1.7874232072132199</v>
      </c>
      <c r="Z494" s="31">
        <v>1.5048865690964199</v>
      </c>
      <c r="AA494">
        <v>2.0904327461098502</v>
      </c>
      <c r="AB494">
        <v>0.08</v>
      </c>
      <c r="AC494">
        <v>422281.52031957201</v>
      </c>
      <c r="AD494">
        <v>483216.74370168633</v>
      </c>
      <c r="AE494">
        <v>1</v>
      </c>
      <c r="AF494">
        <v>51862.303181552117</v>
      </c>
      <c r="AG494">
        <v>420781.40981552709</v>
      </c>
    </row>
    <row r="495" spans="1:33" hidden="1" x14ac:dyDescent="0.25">
      <c r="B495">
        <v>11</v>
      </c>
      <c r="C495" t="s">
        <v>40</v>
      </c>
      <c r="D495" t="s">
        <v>41</v>
      </c>
      <c r="E495" t="s">
        <v>69</v>
      </c>
      <c r="F495">
        <v>18271</v>
      </c>
      <c r="G495">
        <v>208663</v>
      </c>
      <c r="H495">
        <v>10</v>
      </c>
      <c r="I495">
        <v>723</v>
      </c>
      <c r="J495">
        <v>0.5681888978879821</v>
      </c>
      <c r="K495">
        <v>667808</v>
      </c>
      <c r="L495">
        <v>139946</v>
      </c>
      <c r="M495">
        <v>148</v>
      </c>
      <c r="N495">
        <v>36372</v>
      </c>
      <c r="O495" s="43">
        <v>9439454.1893097609</v>
      </c>
      <c r="P495" s="14">
        <f t="shared" si="23"/>
        <v>1381373.4642206402</v>
      </c>
      <c r="Q495" s="14" t="str">
        <f t="shared" si="21"/>
        <v/>
      </c>
      <c r="R495" s="14" t="str">
        <f t="shared" si="21"/>
        <v/>
      </c>
      <c r="S495" s="14" t="str">
        <f t="shared" si="22"/>
        <v/>
      </c>
      <c r="T495" s="14" t="s">
        <v>72</v>
      </c>
      <c r="U495" s="14">
        <v>1910.6133668335274</v>
      </c>
      <c r="V495">
        <v>8635</v>
      </c>
      <c r="W495">
        <v>24.259423828125001</v>
      </c>
      <c r="X495">
        <v>26.519558822606399</v>
      </c>
      <c r="Y495">
        <v>2.2279494288731598</v>
      </c>
      <c r="Z495" s="31">
        <v>2.09210211677639</v>
      </c>
      <c r="AA495">
        <v>3.6763566544591102</v>
      </c>
      <c r="AB495">
        <v>0.08</v>
      </c>
      <c r="AC495">
        <v>422281.52031957201</v>
      </c>
      <c r="AD495">
        <v>483216.74370168633</v>
      </c>
      <c r="AE495">
        <v>1</v>
      </c>
      <c r="AF495">
        <v>51862.303181552117</v>
      </c>
      <c r="AG495">
        <v>420781.40981552709</v>
      </c>
    </row>
    <row r="496" spans="1:33" hidden="1" x14ac:dyDescent="0.25">
      <c r="B496">
        <v>11</v>
      </c>
      <c r="C496" t="s">
        <v>40</v>
      </c>
      <c r="D496" t="s">
        <v>41</v>
      </c>
      <c r="E496" t="s">
        <v>69</v>
      </c>
      <c r="F496">
        <v>20107</v>
      </c>
      <c r="G496">
        <v>208663</v>
      </c>
      <c r="H496">
        <v>11</v>
      </c>
      <c r="I496">
        <v>129</v>
      </c>
      <c r="J496">
        <v>1.0030719389637841</v>
      </c>
      <c r="K496">
        <v>667808</v>
      </c>
      <c r="L496">
        <v>139946</v>
      </c>
      <c r="M496">
        <v>148</v>
      </c>
      <c r="N496">
        <v>36372</v>
      </c>
      <c r="O496" s="43">
        <v>10755215.25477696</v>
      </c>
      <c r="P496" s="14">
        <f t="shared" si="23"/>
        <v>1315761.0654671993</v>
      </c>
      <c r="Q496" s="14" t="str">
        <f t="shared" si="21"/>
        <v/>
      </c>
      <c r="R496" s="14" t="str">
        <f t="shared" si="21"/>
        <v/>
      </c>
      <c r="S496" s="14" t="str">
        <f t="shared" si="22"/>
        <v/>
      </c>
      <c r="T496" s="14" t="s">
        <v>72</v>
      </c>
      <c r="U496" s="14">
        <v>10199.698181916274</v>
      </c>
      <c r="V496">
        <v>8635</v>
      </c>
      <c r="W496">
        <v>25.406884765625001</v>
      </c>
      <c r="X496">
        <v>19.176068735482499</v>
      </c>
      <c r="Y496">
        <v>2.62422669552774</v>
      </c>
      <c r="Z496" s="31">
        <v>2.0168433984203702</v>
      </c>
      <c r="AA496">
        <v>4.1708900075162703</v>
      </c>
      <c r="AB496">
        <v>0.08</v>
      </c>
      <c r="AC496">
        <v>422281.52031957201</v>
      </c>
      <c r="AD496">
        <v>483216.74370168633</v>
      </c>
      <c r="AE496">
        <v>1</v>
      </c>
      <c r="AF496">
        <v>51862.303181552117</v>
      </c>
      <c r="AG496">
        <v>420781.40981552709</v>
      </c>
    </row>
    <row r="497" spans="2:33" hidden="1" x14ac:dyDescent="0.25">
      <c r="B497">
        <v>11</v>
      </c>
      <c r="C497" t="s">
        <v>40</v>
      </c>
      <c r="D497" t="s">
        <v>41</v>
      </c>
      <c r="E497" t="s">
        <v>69</v>
      </c>
      <c r="F497">
        <v>21002</v>
      </c>
      <c r="G497">
        <v>208663</v>
      </c>
      <c r="H497">
        <v>12</v>
      </c>
      <c r="I497">
        <v>641</v>
      </c>
      <c r="J497">
        <v>0.48897025347090772</v>
      </c>
      <c r="K497">
        <v>667808</v>
      </c>
      <c r="L497">
        <v>139946</v>
      </c>
      <c r="M497">
        <v>148</v>
      </c>
      <c r="N497">
        <v>36372</v>
      </c>
      <c r="O497" s="43">
        <v>12040336.90805616</v>
      </c>
      <c r="P497" s="14">
        <f t="shared" si="23"/>
        <v>1285121.6532792002</v>
      </c>
      <c r="Q497" s="14" t="str">
        <f t="shared" si="21"/>
        <v/>
      </c>
      <c r="R497" s="14" t="str">
        <f t="shared" si="21"/>
        <v/>
      </c>
      <c r="S497" s="14" t="str">
        <f t="shared" si="22"/>
        <v/>
      </c>
      <c r="T497" s="14" t="s">
        <v>72</v>
      </c>
      <c r="U497" s="14">
        <v>2004.8699739145088</v>
      </c>
      <c r="V497">
        <v>8635</v>
      </c>
      <c r="W497">
        <v>23.377038574218702</v>
      </c>
      <c r="X497">
        <v>29.807863690193599</v>
      </c>
      <c r="Y497">
        <v>2.01836748123117</v>
      </c>
      <c r="Z497" s="31">
        <v>2.7511794837157599</v>
      </c>
      <c r="AA497">
        <v>8.1683345339999995</v>
      </c>
      <c r="AB497">
        <v>0.08</v>
      </c>
      <c r="AC497">
        <v>422281.52031957201</v>
      </c>
      <c r="AD497">
        <v>483216.74370168633</v>
      </c>
      <c r="AE497">
        <v>1</v>
      </c>
      <c r="AF497">
        <v>51862.303181552117</v>
      </c>
      <c r="AG497">
        <v>420781.40981552709</v>
      </c>
    </row>
    <row r="498" spans="2:33" hidden="1" x14ac:dyDescent="0.25">
      <c r="B498">
        <v>11</v>
      </c>
      <c r="C498" t="s">
        <v>40</v>
      </c>
      <c r="D498" t="s">
        <v>41</v>
      </c>
      <c r="E498" t="s">
        <v>69</v>
      </c>
      <c r="F498">
        <v>22623</v>
      </c>
      <c r="G498">
        <v>208663</v>
      </c>
      <c r="H498">
        <v>13</v>
      </c>
      <c r="I498">
        <v>1040</v>
      </c>
      <c r="J498">
        <v>0.88560981103501824</v>
      </c>
      <c r="K498">
        <v>667808</v>
      </c>
      <c r="L498">
        <v>139946</v>
      </c>
      <c r="M498">
        <v>148</v>
      </c>
      <c r="N498">
        <v>36372</v>
      </c>
      <c r="O498" s="43">
        <v>13159784.880000001</v>
      </c>
      <c r="P498" s="14">
        <f t="shared" si="23"/>
        <v>1119447.9719438404</v>
      </c>
      <c r="Q498" s="14" t="str">
        <f t="shared" si="21"/>
        <v/>
      </c>
      <c r="R498" s="14" t="str">
        <f t="shared" si="21"/>
        <v/>
      </c>
      <c r="S498" s="14" t="str">
        <f t="shared" si="22"/>
        <v/>
      </c>
      <c r="T498" s="14" t="s">
        <v>72</v>
      </c>
      <c r="U498" s="14">
        <v>1076.3922807152312</v>
      </c>
      <c r="V498">
        <v>8635</v>
      </c>
      <c r="W498">
        <v>21.533593750000001</v>
      </c>
      <c r="X498">
        <v>42.840185006587703</v>
      </c>
      <c r="Y498">
        <v>1.46951461015893</v>
      </c>
      <c r="Z498" s="31">
        <v>1.1021217139347199</v>
      </c>
      <c r="AA498">
        <v>2.6440332444241901</v>
      </c>
      <c r="AB498">
        <v>0.08</v>
      </c>
      <c r="AC498">
        <v>422281.52031957201</v>
      </c>
      <c r="AD498">
        <v>483216.74370168633</v>
      </c>
      <c r="AE498">
        <v>1</v>
      </c>
      <c r="AF498">
        <v>51862.303181552117</v>
      </c>
      <c r="AG498">
        <v>420781.40981552709</v>
      </c>
    </row>
    <row r="499" spans="2:33" hidden="1" x14ac:dyDescent="0.25">
      <c r="B499">
        <v>11</v>
      </c>
      <c r="C499" t="s">
        <v>40</v>
      </c>
      <c r="D499" t="s">
        <v>41</v>
      </c>
      <c r="E499" t="s">
        <v>69</v>
      </c>
      <c r="F499">
        <v>22826</v>
      </c>
      <c r="G499">
        <v>208663</v>
      </c>
      <c r="H499">
        <v>14</v>
      </c>
      <c r="I499">
        <v>1836</v>
      </c>
      <c r="J499">
        <v>0.1109061021839042</v>
      </c>
      <c r="K499">
        <v>667808</v>
      </c>
      <c r="L499">
        <v>139946</v>
      </c>
      <c r="M499">
        <v>148</v>
      </c>
      <c r="N499">
        <v>36372</v>
      </c>
      <c r="O499" s="43">
        <v>14304114</v>
      </c>
      <c r="P499" s="14">
        <f t="shared" si="23"/>
        <v>1144329.1199999992</v>
      </c>
      <c r="Q499" s="14" t="str">
        <f t="shared" si="21"/>
        <v/>
      </c>
      <c r="R499" s="14" t="str">
        <f t="shared" si="21"/>
        <v/>
      </c>
      <c r="S499" s="14" t="str">
        <f t="shared" si="22"/>
        <v/>
      </c>
      <c r="T499" s="14" t="s">
        <v>72</v>
      </c>
      <c r="U499" s="14">
        <v>623.27294117647114</v>
      </c>
      <c r="V499">
        <v>8635</v>
      </c>
      <c r="W499">
        <v>22.018884277343702</v>
      </c>
      <c r="X499">
        <v>31.293819640808898</v>
      </c>
      <c r="Y499">
        <v>1.81966489003654</v>
      </c>
      <c r="Z499" s="31">
        <v>1.65442857568516</v>
      </c>
      <c r="AA499">
        <v>5.6126434887224397</v>
      </c>
      <c r="AB499">
        <v>0.08</v>
      </c>
      <c r="AC499">
        <v>422281.52031957201</v>
      </c>
      <c r="AD499">
        <v>483216.74370168633</v>
      </c>
      <c r="AE499">
        <v>1</v>
      </c>
      <c r="AF499">
        <v>51862.303181552117</v>
      </c>
      <c r="AG499">
        <v>420781.40981552709</v>
      </c>
    </row>
    <row r="500" spans="2:33" hidden="1" x14ac:dyDescent="0.25">
      <c r="B500">
        <v>11</v>
      </c>
      <c r="C500" t="s">
        <v>40</v>
      </c>
      <c r="D500" t="s">
        <v>41</v>
      </c>
      <c r="E500" t="s">
        <v>69</v>
      </c>
      <c r="F500">
        <v>22950</v>
      </c>
      <c r="G500">
        <v>208663</v>
      </c>
      <c r="H500">
        <v>15</v>
      </c>
      <c r="I500">
        <v>895</v>
      </c>
      <c r="J500">
        <v>6.7745599363567097E-2</v>
      </c>
      <c r="K500">
        <v>667808</v>
      </c>
      <c r="L500">
        <v>139946</v>
      </c>
      <c r="M500">
        <v>148</v>
      </c>
      <c r="N500">
        <v>36372</v>
      </c>
      <c r="O500" s="43">
        <v>15677308.944</v>
      </c>
      <c r="P500" s="14">
        <f t="shared" si="23"/>
        <v>1373194.9440000001</v>
      </c>
      <c r="Q500" s="14" t="str">
        <f t="shared" si="21"/>
        <v/>
      </c>
      <c r="R500" s="14" t="str">
        <f t="shared" si="21"/>
        <v/>
      </c>
      <c r="S500" s="14" t="str">
        <f t="shared" si="22"/>
        <v/>
      </c>
      <c r="T500" s="14" t="s">
        <v>72</v>
      </c>
      <c r="U500" s="14">
        <v>1534.2960268156426</v>
      </c>
      <c r="V500">
        <v>8635</v>
      </c>
      <c r="W500">
        <v>15.8159423828125</v>
      </c>
      <c r="X500">
        <v>66.147745610000001</v>
      </c>
      <c r="Y500">
        <v>0.60888499019379105</v>
      </c>
      <c r="Z500" s="31">
        <v>2.26121767586582</v>
      </c>
      <c r="AA500">
        <v>3.1421603781408902</v>
      </c>
      <c r="AB500">
        <v>0.08</v>
      </c>
      <c r="AC500">
        <v>422281.52031957201</v>
      </c>
      <c r="AD500">
        <v>483216.74370168633</v>
      </c>
      <c r="AE500">
        <v>1</v>
      </c>
      <c r="AF500">
        <v>51862.303181552117</v>
      </c>
      <c r="AG500">
        <v>420781.40981552709</v>
      </c>
    </row>
    <row r="501" spans="2:33" hidden="1" x14ac:dyDescent="0.25">
      <c r="B501">
        <v>11</v>
      </c>
      <c r="C501" t="s">
        <v>40</v>
      </c>
      <c r="D501" t="s">
        <v>41</v>
      </c>
      <c r="E501" t="s">
        <v>69</v>
      </c>
      <c r="F501">
        <v>23006</v>
      </c>
      <c r="G501">
        <v>208663</v>
      </c>
      <c r="H501">
        <v>16</v>
      </c>
      <c r="I501">
        <v>1621</v>
      </c>
      <c r="J501">
        <v>3.0594786809352879E-2</v>
      </c>
      <c r="K501">
        <v>667808</v>
      </c>
      <c r="L501">
        <v>139946</v>
      </c>
      <c r="M501">
        <v>148</v>
      </c>
      <c r="N501">
        <v>36372</v>
      </c>
      <c r="O501" s="43">
        <v>17050503.888</v>
      </c>
      <c r="P501" s="14">
        <f t="shared" si="23"/>
        <v>1373194.9440000001</v>
      </c>
      <c r="Q501" s="14" t="str">
        <f t="shared" si="21"/>
        <v/>
      </c>
      <c r="R501" s="14" t="str">
        <f t="shared" si="21"/>
        <v/>
      </c>
      <c r="S501" s="14" t="str">
        <f t="shared" si="22"/>
        <v/>
      </c>
      <c r="T501" s="14" t="s">
        <v>72</v>
      </c>
      <c r="U501" s="14">
        <v>847.12828130783362</v>
      </c>
      <c r="V501">
        <v>8635</v>
      </c>
      <c r="W501">
        <v>21.123681640625001</v>
      </c>
      <c r="X501">
        <v>45.105625357957301</v>
      </c>
      <c r="Y501">
        <v>1.3762890561433101</v>
      </c>
      <c r="Z501" s="31">
        <v>1.6047483174189401</v>
      </c>
      <c r="AA501">
        <v>4.9487005957646</v>
      </c>
      <c r="AB501">
        <v>0.08</v>
      </c>
      <c r="AC501">
        <v>422281.52031957201</v>
      </c>
      <c r="AD501">
        <v>483216.74370168633</v>
      </c>
      <c r="AE501">
        <v>1</v>
      </c>
      <c r="AF501">
        <v>51862.303181552117</v>
      </c>
      <c r="AG501">
        <v>420781.40981552709</v>
      </c>
    </row>
    <row r="502" spans="2:33" hidden="1" x14ac:dyDescent="0.25">
      <c r="B502">
        <v>11</v>
      </c>
      <c r="C502" t="s">
        <v>40</v>
      </c>
      <c r="D502" t="s">
        <v>41</v>
      </c>
      <c r="E502" t="s">
        <v>69</v>
      </c>
      <c r="F502">
        <v>23012</v>
      </c>
      <c r="G502">
        <v>208663</v>
      </c>
      <c r="H502">
        <v>17</v>
      </c>
      <c r="I502">
        <v>203</v>
      </c>
      <c r="J502">
        <v>3.2780128724306662E-3</v>
      </c>
      <c r="K502">
        <v>667808</v>
      </c>
      <c r="L502">
        <v>139946</v>
      </c>
      <c r="M502">
        <v>148</v>
      </c>
      <c r="N502">
        <v>36372</v>
      </c>
      <c r="O502" s="43">
        <v>18423698.831999999</v>
      </c>
      <c r="P502" s="14">
        <f t="shared" si="23"/>
        <v>1373194.9439999983</v>
      </c>
      <c r="Q502" s="14" t="str">
        <f t="shared" si="21"/>
        <v/>
      </c>
      <c r="R502" s="14" t="str">
        <f t="shared" si="21"/>
        <v/>
      </c>
      <c r="S502" s="14" t="str">
        <f t="shared" si="22"/>
        <v/>
      </c>
      <c r="T502" s="14" t="s">
        <v>72</v>
      </c>
      <c r="U502" s="14">
        <v>6764.5071133005022</v>
      </c>
      <c r="V502">
        <v>8635</v>
      </c>
      <c r="W502">
        <v>12.965478515625</v>
      </c>
      <c r="X502">
        <v>89.054774480000006</v>
      </c>
      <c r="Y502">
        <v>0.16375427589949901</v>
      </c>
      <c r="Z502" s="31">
        <v>1.5533713242927301</v>
      </c>
      <c r="AA502">
        <v>3.1959570234163501</v>
      </c>
      <c r="AB502">
        <v>0.08</v>
      </c>
      <c r="AC502">
        <v>422281.52031957201</v>
      </c>
      <c r="AD502">
        <v>483216.74370168633</v>
      </c>
      <c r="AE502">
        <v>1</v>
      </c>
      <c r="AF502">
        <v>51862.303181552117</v>
      </c>
      <c r="AG502">
        <v>420781.40981552709</v>
      </c>
    </row>
    <row r="503" spans="2:33" hidden="1" x14ac:dyDescent="0.25">
      <c r="B503">
        <v>11</v>
      </c>
      <c r="C503" t="s">
        <v>40</v>
      </c>
      <c r="D503" t="s">
        <v>41</v>
      </c>
      <c r="E503" t="s">
        <v>69</v>
      </c>
      <c r="F503">
        <v>23021</v>
      </c>
      <c r="G503">
        <v>208663</v>
      </c>
      <c r="H503">
        <v>18</v>
      </c>
      <c r="I503">
        <v>124</v>
      </c>
      <c r="J503">
        <v>4.9170193086459984E-3</v>
      </c>
      <c r="K503">
        <v>667808</v>
      </c>
      <c r="L503">
        <v>139946</v>
      </c>
      <c r="M503">
        <v>148</v>
      </c>
      <c r="N503">
        <v>36372</v>
      </c>
      <c r="O503" s="43">
        <v>19796893.776000001</v>
      </c>
      <c r="P503" s="14">
        <f t="shared" si="23"/>
        <v>1373194.944000002</v>
      </c>
      <c r="Q503" s="14" t="str">
        <f t="shared" si="21"/>
        <v/>
      </c>
      <c r="R503" s="14" t="str">
        <f t="shared" si="21"/>
        <v/>
      </c>
      <c r="S503" s="14" t="str">
        <f t="shared" si="22"/>
        <v/>
      </c>
      <c r="T503" s="14" t="s">
        <v>72</v>
      </c>
      <c r="U503" s="14">
        <v>11074.152774193535</v>
      </c>
      <c r="V503">
        <v>8635</v>
      </c>
      <c r="W503">
        <v>17.924096679687501</v>
      </c>
      <c r="X503">
        <v>46.308821575765798</v>
      </c>
      <c r="Y503">
        <v>1.1038100904080399</v>
      </c>
      <c r="Z503" s="31">
        <v>2.7513374076549502</v>
      </c>
      <c r="AA503">
        <v>7.1399108726206997</v>
      </c>
      <c r="AB503">
        <v>0.08</v>
      </c>
      <c r="AC503">
        <v>422281.52031957201</v>
      </c>
      <c r="AD503">
        <v>483216.74370168633</v>
      </c>
      <c r="AE503">
        <v>1</v>
      </c>
      <c r="AF503">
        <v>51862.303181552117</v>
      </c>
      <c r="AG503">
        <v>420781.40981552709</v>
      </c>
    </row>
    <row r="504" spans="2:33" hidden="1" x14ac:dyDescent="0.25">
      <c r="B504">
        <v>11</v>
      </c>
      <c r="C504" t="s">
        <v>40</v>
      </c>
      <c r="D504" t="s">
        <v>41</v>
      </c>
      <c r="E504" t="s">
        <v>69</v>
      </c>
      <c r="F504">
        <v>23022</v>
      </c>
      <c r="G504">
        <v>208663</v>
      </c>
      <c r="H504">
        <v>19</v>
      </c>
      <c r="I504">
        <v>56</v>
      </c>
      <c r="J504">
        <v>5.4633547873844429E-4</v>
      </c>
      <c r="K504">
        <v>667808</v>
      </c>
      <c r="L504">
        <v>139946</v>
      </c>
      <c r="M504">
        <v>148</v>
      </c>
      <c r="N504">
        <v>36372</v>
      </c>
      <c r="O504" s="43">
        <v>20826789.984000001</v>
      </c>
      <c r="P504" s="14">
        <f t="shared" si="23"/>
        <v>1029896.2080000006</v>
      </c>
      <c r="Q504" s="14" t="str">
        <f t="shared" si="21"/>
        <v/>
      </c>
      <c r="R504" s="14" t="str">
        <f t="shared" si="21"/>
        <v/>
      </c>
      <c r="S504" s="14" t="str">
        <f t="shared" si="22"/>
        <v/>
      </c>
      <c r="T504" s="14" t="s">
        <v>72</v>
      </c>
      <c r="U504" s="14">
        <v>18391.003714285725</v>
      </c>
      <c r="V504">
        <v>8635</v>
      </c>
      <c r="W504">
        <v>20.064965820312501</v>
      </c>
      <c r="X504">
        <v>26.236399109702699</v>
      </c>
      <c r="Y504">
        <v>1.7330946849256399</v>
      </c>
      <c r="Z504" s="31">
        <v>3.7866084494585599</v>
      </c>
      <c r="AA504">
        <v>9.0574829250000004</v>
      </c>
      <c r="AB504">
        <v>0.08</v>
      </c>
      <c r="AC504">
        <v>422281.52031957201</v>
      </c>
      <c r="AD504">
        <v>483216.74370168633</v>
      </c>
      <c r="AE504">
        <v>1</v>
      </c>
      <c r="AF504">
        <v>51862.303181552117</v>
      </c>
      <c r="AG504">
        <v>420781.40981552709</v>
      </c>
    </row>
    <row r="505" spans="2:33" hidden="1" x14ac:dyDescent="0.25">
      <c r="B505">
        <v>11</v>
      </c>
      <c r="C505" t="s">
        <v>40</v>
      </c>
      <c r="D505" t="s">
        <v>41</v>
      </c>
      <c r="E505" t="s">
        <v>69</v>
      </c>
      <c r="F505">
        <v>23036</v>
      </c>
      <c r="G505">
        <v>208663</v>
      </c>
      <c r="H505">
        <v>20</v>
      </c>
      <c r="I505">
        <v>6</v>
      </c>
      <c r="J505">
        <v>7.6486967023382214E-3</v>
      </c>
      <c r="K505">
        <v>667808</v>
      </c>
      <c r="L505">
        <v>139946</v>
      </c>
      <c r="M505">
        <v>148</v>
      </c>
      <c r="N505">
        <v>36372</v>
      </c>
      <c r="O505" s="43">
        <v>21856686.192000002</v>
      </c>
      <c r="P505" s="14">
        <f t="shared" si="23"/>
        <v>1029896.2080000006</v>
      </c>
      <c r="Q505" s="14" t="str">
        <f t="shared" si="21"/>
        <v/>
      </c>
      <c r="R505" s="14" t="str">
        <f t="shared" si="21"/>
        <v/>
      </c>
      <c r="S505" s="14" t="str">
        <f t="shared" si="22"/>
        <v/>
      </c>
      <c r="T505" s="14" t="s">
        <v>72</v>
      </c>
      <c r="U505" s="14">
        <v>171649.3680000001</v>
      </c>
      <c r="V505">
        <v>8635</v>
      </c>
      <c r="W505">
        <v>11.6476684570312</v>
      </c>
      <c r="X505">
        <v>72.619481024909604</v>
      </c>
      <c r="Y505">
        <v>0.37575281342606698</v>
      </c>
      <c r="Z505" s="31">
        <v>0.84195454093438404</v>
      </c>
      <c r="AA505">
        <v>2.0665843055149802</v>
      </c>
      <c r="AB505">
        <v>0.08</v>
      </c>
      <c r="AC505">
        <v>422281.52031957201</v>
      </c>
      <c r="AD505">
        <v>483216.74370168633</v>
      </c>
      <c r="AE505">
        <v>1</v>
      </c>
      <c r="AF505">
        <v>51862.303181552117</v>
      </c>
      <c r="AG505">
        <v>420781.40981552709</v>
      </c>
    </row>
    <row r="506" spans="2:33" hidden="1" x14ac:dyDescent="0.25">
      <c r="B506">
        <v>11</v>
      </c>
      <c r="C506" t="s">
        <v>40</v>
      </c>
      <c r="D506" t="s">
        <v>41</v>
      </c>
      <c r="E506" t="s">
        <v>69</v>
      </c>
      <c r="F506">
        <v>23135</v>
      </c>
      <c r="G506">
        <v>208663</v>
      </c>
      <c r="H506">
        <v>21</v>
      </c>
      <c r="I506">
        <v>9</v>
      </c>
      <c r="J506">
        <v>5.4087212395105992E-2</v>
      </c>
      <c r="K506">
        <v>667808</v>
      </c>
      <c r="L506">
        <v>139946</v>
      </c>
      <c r="M506">
        <v>148</v>
      </c>
      <c r="N506">
        <v>36372</v>
      </c>
      <c r="O506" s="43">
        <v>23001015.311999999</v>
      </c>
      <c r="P506" s="14">
        <f t="shared" si="23"/>
        <v>1144329.1199999973</v>
      </c>
      <c r="Q506" s="14" t="str">
        <f t="shared" si="21"/>
        <v/>
      </c>
      <c r="R506" s="14" t="str">
        <f t="shared" si="21"/>
        <v/>
      </c>
      <c r="S506" s="14" t="str">
        <f t="shared" si="22"/>
        <v/>
      </c>
      <c r="T506" s="14" t="s">
        <v>72</v>
      </c>
      <c r="U506" s="14">
        <v>127147.68000000011</v>
      </c>
      <c r="V506">
        <v>8635</v>
      </c>
      <c r="W506">
        <v>19.193017578125001</v>
      </c>
      <c r="X506">
        <v>30.003467041696201</v>
      </c>
      <c r="Y506">
        <v>1.5580057847892099</v>
      </c>
      <c r="Z506" s="31">
        <v>1.33155257094277</v>
      </c>
      <c r="AA506">
        <v>1.69502073693852</v>
      </c>
      <c r="AB506">
        <v>0.08</v>
      </c>
      <c r="AC506">
        <v>422281.52031957201</v>
      </c>
      <c r="AD506">
        <v>483216.74370168633</v>
      </c>
      <c r="AE506">
        <v>1</v>
      </c>
      <c r="AF506">
        <v>51862.303181552117</v>
      </c>
      <c r="AG506">
        <v>420781.40981552709</v>
      </c>
    </row>
    <row r="507" spans="2:33" hidden="1" x14ac:dyDescent="0.25">
      <c r="B507">
        <v>11</v>
      </c>
      <c r="C507" t="s">
        <v>40</v>
      </c>
      <c r="D507" t="s">
        <v>41</v>
      </c>
      <c r="E507" t="s">
        <v>69</v>
      </c>
      <c r="F507">
        <v>23903</v>
      </c>
      <c r="G507">
        <v>208663</v>
      </c>
      <c r="H507">
        <v>22</v>
      </c>
      <c r="I507">
        <v>1</v>
      </c>
      <c r="J507">
        <v>0.41958564767112522</v>
      </c>
      <c r="K507">
        <v>667808</v>
      </c>
      <c r="L507">
        <v>139946</v>
      </c>
      <c r="M507">
        <v>148</v>
      </c>
      <c r="N507">
        <v>36372</v>
      </c>
      <c r="O507" s="43">
        <v>24259777.344000001</v>
      </c>
      <c r="P507" s="14">
        <f t="shared" si="23"/>
        <v>1258762.0320000015</v>
      </c>
      <c r="Q507" s="14" t="str">
        <f t="shared" si="21"/>
        <v/>
      </c>
      <c r="R507" s="14" t="str">
        <f t="shared" si="21"/>
        <v/>
      </c>
      <c r="S507" s="14" t="str">
        <f t="shared" si="22"/>
        <v/>
      </c>
      <c r="T507" s="14" t="s">
        <v>72</v>
      </c>
      <c r="U507" s="14">
        <v>1258762.0319999978</v>
      </c>
      <c r="V507">
        <v>8635</v>
      </c>
      <c r="W507">
        <v>23.238916015625001</v>
      </c>
      <c r="X507">
        <v>24.488340534602901</v>
      </c>
      <c r="Y507">
        <v>2.1534743985731799</v>
      </c>
      <c r="Z507" s="31">
        <v>2.5454606338975299</v>
      </c>
      <c r="AA507">
        <v>6.9384681570403499</v>
      </c>
      <c r="AB507">
        <v>0.08</v>
      </c>
      <c r="AC507">
        <v>422281.52031957201</v>
      </c>
      <c r="AD507">
        <v>483216.74370168633</v>
      </c>
      <c r="AE507">
        <v>1</v>
      </c>
      <c r="AF507">
        <v>51862.303181552117</v>
      </c>
      <c r="AG507">
        <v>420781.40981552709</v>
      </c>
    </row>
    <row r="508" spans="2:33" hidden="1" x14ac:dyDescent="0.25">
      <c r="B508">
        <v>11</v>
      </c>
      <c r="C508" t="s">
        <v>40</v>
      </c>
      <c r="D508" t="s">
        <v>41</v>
      </c>
      <c r="E508" t="s">
        <v>69</v>
      </c>
      <c r="F508">
        <v>24475</v>
      </c>
      <c r="G508">
        <v>208663</v>
      </c>
      <c r="H508">
        <v>23</v>
      </c>
      <c r="I508">
        <v>14</v>
      </c>
      <c r="J508">
        <v>0.31250389383839011</v>
      </c>
      <c r="K508">
        <v>667808</v>
      </c>
      <c r="L508">
        <v>139946</v>
      </c>
      <c r="M508">
        <v>148</v>
      </c>
      <c r="N508">
        <v>36372</v>
      </c>
      <c r="O508" s="43">
        <v>25632972.287999999</v>
      </c>
      <c r="P508" s="14">
        <f t="shared" si="23"/>
        <v>1373194.9439999983</v>
      </c>
      <c r="Q508" s="14" t="str">
        <f t="shared" si="21"/>
        <v/>
      </c>
      <c r="R508" s="14" t="str">
        <f t="shared" si="21"/>
        <v/>
      </c>
      <c r="S508" s="14" t="str">
        <f t="shared" si="22"/>
        <v/>
      </c>
      <c r="T508" s="14" t="s">
        <v>72</v>
      </c>
      <c r="U508" s="14">
        <v>98085.35314285729</v>
      </c>
      <c r="V508">
        <v>8635</v>
      </c>
      <c r="W508">
        <v>19.988366699218702</v>
      </c>
      <c r="X508">
        <v>38.918269789999997</v>
      </c>
      <c r="Y508">
        <v>1.42819523749272</v>
      </c>
      <c r="Z508" s="31">
        <v>1.4629734971417401</v>
      </c>
      <c r="AA508">
        <v>1.3175394192780201</v>
      </c>
      <c r="AB508">
        <v>0.08</v>
      </c>
      <c r="AC508">
        <v>422281.52031957201</v>
      </c>
      <c r="AD508">
        <v>483216.74370168633</v>
      </c>
      <c r="AE508">
        <v>1</v>
      </c>
      <c r="AF508">
        <v>51862.303181552117</v>
      </c>
      <c r="AG508">
        <v>420781.40981552709</v>
      </c>
    </row>
    <row r="509" spans="2:33" hidden="1" x14ac:dyDescent="0.25">
      <c r="B509">
        <v>11</v>
      </c>
      <c r="C509" t="s">
        <v>40</v>
      </c>
      <c r="D509" t="s">
        <v>41</v>
      </c>
      <c r="E509" t="s">
        <v>69</v>
      </c>
      <c r="F509">
        <v>34288</v>
      </c>
      <c r="G509">
        <v>208663</v>
      </c>
      <c r="H509">
        <v>24</v>
      </c>
      <c r="I509">
        <v>99</v>
      </c>
      <c r="J509">
        <v>5.361190052860354</v>
      </c>
      <c r="K509">
        <v>667808</v>
      </c>
      <c r="L509">
        <v>139946</v>
      </c>
      <c r="M509">
        <v>148</v>
      </c>
      <c r="N509">
        <v>36372</v>
      </c>
      <c r="O509" s="43">
        <v>26891734.32</v>
      </c>
      <c r="P509" s="14">
        <f t="shared" si="23"/>
        <v>1258762.0320000015</v>
      </c>
      <c r="Q509" s="14" t="str">
        <f t="shared" si="21"/>
        <v/>
      </c>
      <c r="R509" s="14" t="str">
        <f t="shared" si="21"/>
        <v/>
      </c>
      <c r="S509" s="14" t="str">
        <f t="shared" si="22"/>
        <v/>
      </c>
      <c r="T509" s="14" t="s">
        <v>72</v>
      </c>
      <c r="U509" s="14">
        <v>12714.767999999978</v>
      </c>
      <c r="V509">
        <v>8635</v>
      </c>
      <c r="W509">
        <v>21.198815917968702</v>
      </c>
      <c r="X509">
        <v>38.631583139112003</v>
      </c>
      <c r="Y509">
        <v>1.5458298356767599</v>
      </c>
      <c r="Z509" s="31">
        <v>2.3788422605680899</v>
      </c>
      <c r="AA509">
        <v>1.9266594440177101</v>
      </c>
      <c r="AB509">
        <v>0.08</v>
      </c>
      <c r="AC509">
        <v>422281.52031957201</v>
      </c>
      <c r="AD509">
        <v>483216.74370168633</v>
      </c>
      <c r="AE509">
        <v>1</v>
      </c>
      <c r="AF509">
        <v>51862.303181552117</v>
      </c>
      <c r="AG509">
        <v>420781.40981552709</v>
      </c>
    </row>
    <row r="510" spans="2:33" hidden="1" x14ac:dyDescent="0.25">
      <c r="B510">
        <v>11</v>
      </c>
      <c r="C510" t="s">
        <v>40</v>
      </c>
      <c r="D510" t="s">
        <v>41</v>
      </c>
      <c r="E510" t="s">
        <v>69</v>
      </c>
      <c r="F510">
        <v>58975</v>
      </c>
      <c r="G510">
        <v>208663</v>
      </c>
      <c r="H510">
        <v>25</v>
      </c>
      <c r="I510">
        <v>768</v>
      </c>
      <c r="J510">
        <v>13.48738396361597</v>
      </c>
      <c r="K510">
        <v>667808</v>
      </c>
      <c r="L510">
        <v>139946</v>
      </c>
      <c r="M510">
        <v>148</v>
      </c>
      <c r="N510">
        <v>36372</v>
      </c>
      <c r="O510" s="43">
        <v>28036063.440000001</v>
      </c>
      <c r="P510" s="14">
        <f t="shared" si="23"/>
        <v>1144329.120000001</v>
      </c>
      <c r="Q510" s="14" t="str">
        <f t="shared" si="21"/>
        <v/>
      </c>
      <c r="R510" s="14" t="str">
        <f t="shared" si="21"/>
        <v/>
      </c>
      <c r="S510" s="14" t="str">
        <f t="shared" si="22"/>
        <v/>
      </c>
      <c r="T510" s="14" t="s">
        <v>72</v>
      </c>
      <c r="U510" s="14">
        <v>1490.0118750000013</v>
      </c>
      <c r="V510">
        <v>8635</v>
      </c>
      <c r="W510">
        <v>26.763452148437501</v>
      </c>
      <c r="X510">
        <v>22.3968445790629</v>
      </c>
      <c r="Y510">
        <v>2.7295169400050301</v>
      </c>
      <c r="Z510" s="31">
        <v>0.82944169105240195</v>
      </c>
      <c r="AA510">
        <v>3.2120613890811001</v>
      </c>
      <c r="AB510">
        <v>0.08</v>
      </c>
      <c r="AC510">
        <v>422281.52031957201</v>
      </c>
      <c r="AD510">
        <v>483216.74370168633</v>
      </c>
      <c r="AE510">
        <v>1</v>
      </c>
      <c r="AF510">
        <v>51862.303181552117</v>
      </c>
      <c r="AG510">
        <v>420781.40981552709</v>
      </c>
    </row>
    <row r="511" spans="2:33" hidden="1" x14ac:dyDescent="0.25">
      <c r="B511">
        <v>11</v>
      </c>
      <c r="C511" t="s">
        <v>40</v>
      </c>
      <c r="D511" t="s">
        <v>41</v>
      </c>
      <c r="E511" t="s">
        <v>69</v>
      </c>
      <c r="F511">
        <v>100714</v>
      </c>
      <c r="G511">
        <v>208663</v>
      </c>
      <c r="H511">
        <v>26</v>
      </c>
      <c r="I511">
        <v>572</v>
      </c>
      <c r="J511">
        <v>22.803496547063929</v>
      </c>
      <c r="K511">
        <v>667808</v>
      </c>
      <c r="L511">
        <v>139946</v>
      </c>
      <c r="M511">
        <v>148</v>
      </c>
      <c r="N511">
        <v>36372</v>
      </c>
      <c r="O511" s="43">
        <v>29638124.208000001</v>
      </c>
      <c r="P511" s="14">
        <f t="shared" si="23"/>
        <v>1602060.7679999992</v>
      </c>
      <c r="Q511" s="14" t="str">
        <f t="shared" si="21"/>
        <v/>
      </c>
      <c r="R511" s="14" t="str">
        <f t="shared" si="21"/>
        <v/>
      </c>
      <c r="S511" s="14" t="str">
        <f t="shared" si="22"/>
        <v/>
      </c>
      <c r="T511" s="14" t="s">
        <v>72</v>
      </c>
      <c r="U511" s="14">
        <v>2800.8055384615373</v>
      </c>
      <c r="V511">
        <v>8635</v>
      </c>
      <c r="W511">
        <v>23.911889648437501</v>
      </c>
      <c r="X511">
        <v>22.652736680516899</v>
      </c>
      <c r="Y511">
        <v>2.2969834011278598</v>
      </c>
      <c r="Z511" s="31">
        <v>0.87222955262817303</v>
      </c>
      <c r="AA511">
        <v>3.8942353207964602</v>
      </c>
      <c r="AB511">
        <v>0.08</v>
      </c>
      <c r="AC511">
        <v>422281.52031957201</v>
      </c>
      <c r="AD511">
        <v>483216.74370168633</v>
      </c>
      <c r="AE511">
        <v>1</v>
      </c>
      <c r="AF511">
        <v>51862.303181552117</v>
      </c>
      <c r="AG511">
        <v>420781.40981552709</v>
      </c>
    </row>
    <row r="512" spans="2:33" hidden="1" x14ac:dyDescent="0.25">
      <c r="B512">
        <v>11</v>
      </c>
      <c r="C512" t="s">
        <v>40</v>
      </c>
      <c r="D512" t="s">
        <v>41</v>
      </c>
      <c r="E512" t="s">
        <v>69</v>
      </c>
      <c r="F512">
        <v>102596</v>
      </c>
      <c r="G512">
        <v>208663</v>
      </c>
      <c r="H512">
        <v>27</v>
      </c>
      <c r="I512">
        <v>9813</v>
      </c>
      <c r="J512">
        <v>1.0282033709857521</v>
      </c>
      <c r="K512">
        <v>667808</v>
      </c>
      <c r="L512">
        <v>139946</v>
      </c>
      <c r="M512">
        <v>148</v>
      </c>
      <c r="N512">
        <v>36372</v>
      </c>
      <c r="O512" s="43">
        <v>31240184.976</v>
      </c>
      <c r="P512" s="14">
        <f t="shared" si="23"/>
        <v>1602060.7679999992</v>
      </c>
      <c r="Q512" s="14" t="str">
        <f t="shared" si="21"/>
        <v/>
      </c>
      <c r="R512" s="14" t="str">
        <f t="shared" si="21"/>
        <v/>
      </c>
      <c r="S512" s="14" t="str">
        <f t="shared" si="22"/>
        <v/>
      </c>
      <c r="T512" s="14" t="s">
        <v>72</v>
      </c>
      <c r="U512" s="14">
        <v>163.25902048303303</v>
      </c>
      <c r="V512">
        <v>8635</v>
      </c>
      <c r="W512">
        <v>19.406152343750001</v>
      </c>
      <c r="X512">
        <v>20.053476875947599</v>
      </c>
      <c r="Y512">
        <v>1.80327447710115</v>
      </c>
      <c r="Z512">
        <v>4.66728260734003</v>
      </c>
      <c r="AA512">
        <v>9.5560831088318494</v>
      </c>
      <c r="AB512">
        <v>0.08</v>
      </c>
      <c r="AC512">
        <v>422281.52031957201</v>
      </c>
      <c r="AD512">
        <v>483216.74370168633</v>
      </c>
      <c r="AE512">
        <v>1</v>
      </c>
      <c r="AF512">
        <v>51862.303181552117</v>
      </c>
      <c r="AG512">
        <v>420781.40981552709</v>
      </c>
    </row>
    <row r="513" spans="2:33" hidden="1" x14ac:dyDescent="0.25">
      <c r="B513">
        <v>11</v>
      </c>
      <c r="C513" t="s">
        <v>40</v>
      </c>
      <c r="D513" t="s">
        <v>41</v>
      </c>
      <c r="E513" t="s">
        <v>69</v>
      </c>
      <c r="F513">
        <v>102596</v>
      </c>
      <c r="G513">
        <v>208663</v>
      </c>
      <c r="H513">
        <v>28</v>
      </c>
      <c r="I513">
        <v>24687</v>
      </c>
      <c r="J513">
        <v>0</v>
      </c>
      <c r="K513">
        <v>667808</v>
      </c>
      <c r="L513">
        <v>139946</v>
      </c>
      <c r="M513">
        <v>148</v>
      </c>
      <c r="N513">
        <v>36372</v>
      </c>
      <c r="O513" s="43">
        <v>33185544.48</v>
      </c>
      <c r="P513" s="14">
        <f t="shared" si="23"/>
        <v>1945359.5040000007</v>
      </c>
      <c r="Q513" s="14" t="str">
        <f t="shared" si="21"/>
        <v/>
      </c>
      <c r="R513" s="14" t="str">
        <f t="shared" si="21"/>
        <v/>
      </c>
      <c r="S513" s="14" t="str">
        <f t="shared" si="22"/>
        <v/>
      </c>
      <c r="T513" s="14" t="s">
        <v>72</v>
      </c>
      <c r="U513" s="14">
        <v>78.800968282901962</v>
      </c>
      <c r="V513">
        <v>8635</v>
      </c>
      <c r="W513">
        <v>-6.3351501460000001</v>
      </c>
      <c r="X513">
        <v>100.00046663094</v>
      </c>
      <c r="Y513">
        <v>-1.7799999999999999E-6</v>
      </c>
      <c r="Z513" s="31">
        <v>2.8024939101602402</v>
      </c>
      <c r="AA513">
        <v>4.1908926528315797</v>
      </c>
      <c r="AB513">
        <v>0.08</v>
      </c>
      <c r="AC513">
        <v>422281.52031957201</v>
      </c>
      <c r="AD513">
        <v>483216.74370168633</v>
      </c>
      <c r="AE513">
        <v>1</v>
      </c>
      <c r="AF513">
        <v>51862.303181552117</v>
      </c>
      <c r="AG513">
        <v>420781.40981552709</v>
      </c>
    </row>
    <row r="514" spans="2:33" hidden="1" x14ac:dyDescent="0.25">
      <c r="B514">
        <v>11</v>
      </c>
      <c r="C514" t="s">
        <v>40</v>
      </c>
      <c r="D514" t="s">
        <v>41</v>
      </c>
      <c r="E514" t="s">
        <v>69</v>
      </c>
      <c r="F514">
        <v>102596</v>
      </c>
      <c r="G514">
        <v>208663</v>
      </c>
      <c r="H514">
        <v>29</v>
      </c>
      <c r="I514">
        <v>41739</v>
      </c>
      <c r="J514">
        <v>0</v>
      </c>
      <c r="K514">
        <v>667808</v>
      </c>
      <c r="L514">
        <v>139946</v>
      </c>
      <c r="M514">
        <v>148</v>
      </c>
      <c r="N514">
        <v>36372</v>
      </c>
      <c r="O514" s="43">
        <v>34444306.512000002</v>
      </c>
      <c r="P514" s="14">
        <f t="shared" si="23"/>
        <v>1258762.0320000015</v>
      </c>
      <c r="Q514" s="14" t="str">
        <f t="shared" si="21"/>
        <v/>
      </c>
      <c r="R514" s="14" t="str">
        <f t="shared" si="21"/>
        <v/>
      </c>
      <c r="S514" s="14" t="str">
        <f t="shared" si="22"/>
        <v/>
      </c>
      <c r="T514" s="14" t="s">
        <v>72</v>
      </c>
      <c r="U514" s="14">
        <v>30.157934593545551</v>
      </c>
      <c r="V514">
        <v>8635</v>
      </c>
      <c r="W514">
        <v>-1.1219238279999999</v>
      </c>
      <c r="X514">
        <v>95.246857621837705</v>
      </c>
      <c r="Y514">
        <v>2.6845172123874699E-2</v>
      </c>
      <c r="Z514" s="31">
        <v>1.3076861259551</v>
      </c>
      <c r="AA514">
        <v>1.95527607629485</v>
      </c>
      <c r="AB514">
        <v>0.08</v>
      </c>
      <c r="AC514">
        <v>422281.52031957201</v>
      </c>
      <c r="AD514">
        <v>483216.74370168633</v>
      </c>
      <c r="AE514">
        <v>1</v>
      </c>
      <c r="AF514">
        <v>51862.303181552117</v>
      </c>
      <c r="AG514">
        <v>420781.40981552709</v>
      </c>
    </row>
    <row r="515" spans="2:33" hidden="1" x14ac:dyDescent="0.25">
      <c r="B515">
        <v>11</v>
      </c>
      <c r="C515" t="s">
        <v>40</v>
      </c>
      <c r="D515" t="s">
        <v>41</v>
      </c>
      <c r="E515" t="s">
        <v>69</v>
      </c>
      <c r="F515">
        <v>102596</v>
      </c>
      <c r="G515">
        <v>208663</v>
      </c>
      <c r="H515">
        <v>30</v>
      </c>
      <c r="I515">
        <v>1882</v>
      </c>
      <c r="J515">
        <v>0</v>
      </c>
      <c r="K515">
        <v>667808</v>
      </c>
      <c r="L515">
        <v>139946</v>
      </c>
      <c r="M515">
        <v>148</v>
      </c>
      <c r="N515">
        <v>36372</v>
      </c>
      <c r="O515" s="43">
        <v>35069614.860661916</v>
      </c>
      <c r="P515" s="14">
        <f t="shared" si="23"/>
        <v>625308.34866191447</v>
      </c>
      <c r="Q515" s="14" t="str">
        <f t="shared" ref="Q515:R578" si="24">IF(P515&gt;=0,"",P515)</f>
        <v/>
      </c>
      <c r="R515" s="14" t="str">
        <f t="shared" si="24"/>
        <v/>
      </c>
      <c r="S515" s="14" t="str">
        <f t="shared" ref="S515:S578" si="25">IFERROR(IF(ISNA(Q515),NA(),Q515^2),"")</f>
        <v/>
      </c>
      <c r="T515" s="14" t="s">
        <v>72</v>
      </c>
      <c r="U515" s="14">
        <v>332.25735848136128</v>
      </c>
      <c r="V515">
        <v>8635</v>
      </c>
      <c r="W515">
        <v>2.0508056640625201</v>
      </c>
      <c r="X515">
        <v>92.278286261512505</v>
      </c>
      <c r="Y515">
        <v>5.4855657000000002E-2</v>
      </c>
      <c r="Z515" s="31">
        <v>1.6356510032318701</v>
      </c>
      <c r="AA515">
        <v>2.57540766521634</v>
      </c>
      <c r="AB515">
        <v>0.08</v>
      </c>
      <c r="AC515">
        <v>422281.52031957201</v>
      </c>
      <c r="AD515">
        <v>483216.74370168633</v>
      </c>
      <c r="AE515">
        <v>1</v>
      </c>
      <c r="AF515">
        <v>51862.303181552117</v>
      </c>
      <c r="AG515">
        <v>420781.40981552709</v>
      </c>
    </row>
    <row r="516" spans="2:33" hidden="1" x14ac:dyDescent="0.25">
      <c r="B516">
        <v>11</v>
      </c>
      <c r="C516" t="s">
        <v>40</v>
      </c>
      <c r="D516" t="s">
        <v>41</v>
      </c>
      <c r="E516" t="s">
        <v>69</v>
      </c>
      <c r="F516">
        <v>100824</v>
      </c>
      <c r="G516">
        <v>208663</v>
      </c>
      <c r="H516">
        <v>31</v>
      </c>
      <c r="I516">
        <v>0</v>
      </c>
      <c r="J516">
        <v>0</v>
      </c>
      <c r="K516">
        <v>667808</v>
      </c>
      <c r="L516">
        <v>139946</v>
      </c>
      <c r="M516">
        <v>148</v>
      </c>
      <c r="N516">
        <v>36372</v>
      </c>
      <c r="O516" s="43">
        <v>35069614.860661916</v>
      </c>
      <c r="P516" s="14">
        <f t="shared" ref="P516:P579" si="26">O516-O515</f>
        <v>0</v>
      </c>
      <c r="Q516" s="14" t="str">
        <f t="shared" si="24"/>
        <v/>
      </c>
      <c r="R516" s="14" t="str">
        <f t="shared" si="24"/>
        <v/>
      </c>
      <c r="S516" s="14" t="str">
        <f t="shared" si="25"/>
        <v/>
      </c>
      <c r="T516" s="14" t="s">
        <v>72</v>
      </c>
      <c r="U516" s="14">
        <v>0</v>
      </c>
      <c r="V516">
        <v>8635</v>
      </c>
      <c r="W516">
        <v>6.2520996093750201</v>
      </c>
      <c r="X516">
        <v>53.988351440000002</v>
      </c>
      <c r="Y516">
        <v>0.438821945239662</v>
      </c>
      <c r="Z516" s="31">
        <v>2.4914371960833201</v>
      </c>
      <c r="AA516">
        <v>11.5591179660194</v>
      </c>
      <c r="AB516">
        <v>0.08</v>
      </c>
      <c r="AC516">
        <v>422281.52031957201</v>
      </c>
      <c r="AD516">
        <v>483216.74370168633</v>
      </c>
      <c r="AE516">
        <v>1</v>
      </c>
      <c r="AF516">
        <v>51862.303181552117</v>
      </c>
      <c r="AG516">
        <v>420781.40981552709</v>
      </c>
    </row>
    <row r="517" spans="2:33" hidden="1" x14ac:dyDescent="0.25">
      <c r="B517">
        <v>11</v>
      </c>
      <c r="C517" t="s">
        <v>40</v>
      </c>
      <c r="D517" t="s">
        <v>41</v>
      </c>
      <c r="E517" t="s">
        <v>69</v>
      </c>
      <c r="F517">
        <v>100824</v>
      </c>
      <c r="G517">
        <v>208663</v>
      </c>
      <c r="H517">
        <v>32</v>
      </c>
      <c r="I517">
        <v>0</v>
      </c>
      <c r="J517">
        <v>0</v>
      </c>
      <c r="K517">
        <v>667808</v>
      </c>
      <c r="L517">
        <v>139946</v>
      </c>
      <c r="M517">
        <v>148</v>
      </c>
      <c r="N517">
        <v>36372</v>
      </c>
      <c r="O517" s="43">
        <v>37305129.312000006</v>
      </c>
      <c r="P517" s="14">
        <f t="shared" si="26"/>
        <v>2235514.45133809</v>
      </c>
      <c r="Q517" s="14" t="str">
        <f t="shared" si="24"/>
        <v/>
      </c>
      <c r="R517" s="14" t="str">
        <f t="shared" si="24"/>
        <v/>
      </c>
      <c r="S517" s="14" t="str">
        <f t="shared" si="25"/>
        <v/>
      </c>
      <c r="T517" s="14" t="s">
        <v>72</v>
      </c>
      <c r="U517" s="14">
        <v>0</v>
      </c>
      <c r="V517">
        <v>8635</v>
      </c>
      <c r="W517">
        <v>16.144555664062501</v>
      </c>
      <c r="X517">
        <v>34.780620103737597</v>
      </c>
      <c r="Y517">
        <v>1.1981716800318101</v>
      </c>
      <c r="Z517" s="31">
        <v>1.7818955055182599</v>
      </c>
      <c r="AA517">
        <v>2.0443347449648601</v>
      </c>
      <c r="AB517">
        <v>0.08</v>
      </c>
      <c r="AC517">
        <v>422281.52031957201</v>
      </c>
      <c r="AD517">
        <v>483216.74370168633</v>
      </c>
      <c r="AE517">
        <v>1</v>
      </c>
      <c r="AF517">
        <v>51862.303181552117</v>
      </c>
      <c r="AG517">
        <v>420781.40981552709</v>
      </c>
    </row>
    <row r="518" spans="2:33" hidden="1" x14ac:dyDescent="0.25">
      <c r="B518">
        <v>11</v>
      </c>
      <c r="C518" t="s">
        <v>40</v>
      </c>
      <c r="D518" t="s">
        <v>41</v>
      </c>
      <c r="E518" t="s">
        <v>69</v>
      </c>
      <c r="F518">
        <v>100824</v>
      </c>
      <c r="G518">
        <v>208663</v>
      </c>
      <c r="H518">
        <v>33</v>
      </c>
      <c r="I518">
        <v>0</v>
      </c>
      <c r="J518">
        <v>0</v>
      </c>
      <c r="K518">
        <v>667808</v>
      </c>
      <c r="L518">
        <v>139946</v>
      </c>
      <c r="M518">
        <v>148</v>
      </c>
      <c r="N518">
        <v>36372</v>
      </c>
      <c r="O518" s="43">
        <v>40623683.760000013</v>
      </c>
      <c r="P518" s="14">
        <f t="shared" si="26"/>
        <v>3318554.4480000064</v>
      </c>
      <c r="Q518" s="14" t="str">
        <f t="shared" si="24"/>
        <v/>
      </c>
      <c r="R518" s="14" t="str">
        <f t="shared" si="24"/>
        <v/>
      </c>
      <c r="S518" s="14" t="str">
        <f t="shared" si="25"/>
        <v/>
      </c>
      <c r="T518" s="14" t="s">
        <v>72</v>
      </c>
      <c r="U518" s="14">
        <v>0</v>
      </c>
      <c r="V518">
        <v>8635</v>
      </c>
      <c r="W518">
        <v>18.453515625000001</v>
      </c>
      <c r="X518">
        <v>34.738118988875797</v>
      </c>
      <c r="Y518">
        <v>1.3870875586025699</v>
      </c>
      <c r="Z518" s="31">
        <v>1.78065212481008</v>
      </c>
      <c r="AA518">
        <v>4.3359971071615897</v>
      </c>
      <c r="AB518">
        <v>0.08</v>
      </c>
      <c r="AC518">
        <v>422281.52031957201</v>
      </c>
      <c r="AD518">
        <v>483216.74370168633</v>
      </c>
      <c r="AE518">
        <v>1</v>
      </c>
      <c r="AF518">
        <v>51862.303181552117</v>
      </c>
      <c r="AG518">
        <v>420781.40981552709</v>
      </c>
    </row>
    <row r="519" spans="2:33" hidden="1" x14ac:dyDescent="0.25">
      <c r="B519">
        <v>11</v>
      </c>
      <c r="C519" t="s">
        <v>40</v>
      </c>
      <c r="D519" t="s">
        <v>41</v>
      </c>
      <c r="E519" t="s">
        <v>69</v>
      </c>
      <c r="F519">
        <v>100824</v>
      </c>
      <c r="G519">
        <v>208663</v>
      </c>
      <c r="H519">
        <v>34</v>
      </c>
      <c r="I519">
        <v>-1772</v>
      </c>
      <c r="J519">
        <v>0</v>
      </c>
      <c r="K519">
        <v>667808</v>
      </c>
      <c r="L519">
        <v>139946</v>
      </c>
      <c r="M519">
        <v>148</v>
      </c>
      <c r="N519">
        <v>36372</v>
      </c>
      <c r="O519" s="43">
        <v>41996878.704000004</v>
      </c>
      <c r="P519" s="14">
        <f t="shared" si="26"/>
        <v>1373194.9439999908</v>
      </c>
      <c r="Q519" s="14" t="str">
        <f t="shared" si="24"/>
        <v/>
      </c>
      <c r="R519" s="14" t="str">
        <f t="shared" si="24"/>
        <v/>
      </c>
      <c r="S519" s="14" t="str">
        <f t="shared" si="25"/>
        <v/>
      </c>
      <c r="T519" s="14" t="s">
        <v>72</v>
      </c>
      <c r="U519" s="14">
        <v>-774.94071331828343</v>
      </c>
      <c r="V519">
        <v>8635</v>
      </c>
      <c r="W519">
        <v>19.031579589843702</v>
      </c>
      <c r="X519">
        <v>43.244749062803997</v>
      </c>
      <c r="Y519">
        <v>1.2505061847922201</v>
      </c>
      <c r="Z519" s="31">
        <v>1.1018495541826001</v>
      </c>
      <c r="AA519">
        <v>2.7980644245378201</v>
      </c>
      <c r="AB519">
        <v>0.08</v>
      </c>
      <c r="AC519">
        <v>422281.52031957201</v>
      </c>
      <c r="AD519">
        <v>483216.74370168633</v>
      </c>
      <c r="AE519">
        <v>1</v>
      </c>
      <c r="AF519">
        <v>51862.303181552117</v>
      </c>
      <c r="AG519">
        <v>420781.40981552709</v>
      </c>
    </row>
    <row r="520" spans="2:33" hidden="1" x14ac:dyDescent="0.25">
      <c r="B520">
        <v>11</v>
      </c>
      <c r="C520" t="s">
        <v>40</v>
      </c>
      <c r="D520" t="s">
        <v>41</v>
      </c>
      <c r="E520" t="s">
        <v>69</v>
      </c>
      <c r="F520">
        <v>101396</v>
      </c>
      <c r="G520">
        <v>208663</v>
      </c>
      <c r="H520">
        <v>35</v>
      </c>
      <c r="I520">
        <v>0</v>
      </c>
      <c r="J520">
        <v>0.31250389383839011</v>
      </c>
      <c r="K520">
        <v>667808</v>
      </c>
      <c r="L520">
        <v>139946</v>
      </c>
      <c r="M520">
        <v>148</v>
      </c>
      <c r="N520">
        <v>36372</v>
      </c>
      <c r="O520" s="43">
        <v>43791457.970161453</v>
      </c>
      <c r="P520" s="14">
        <f t="shared" si="26"/>
        <v>1794579.2661614493</v>
      </c>
      <c r="Q520" s="14" t="str">
        <f t="shared" si="24"/>
        <v/>
      </c>
      <c r="R520" s="14" t="str">
        <f t="shared" si="24"/>
        <v/>
      </c>
      <c r="S520" s="14" t="str">
        <f t="shared" si="25"/>
        <v/>
      </c>
      <c r="T520" s="14" t="s">
        <v>72</v>
      </c>
      <c r="U520" s="14">
        <v>0</v>
      </c>
      <c r="V520">
        <v>8635</v>
      </c>
      <c r="W520">
        <v>19.455285644531202</v>
      </c>
      <c r="X520">
        <v>32.661488390000002</v>
      </c>
      <c r="Y520">
        <v>1.5234403272081201</v>
      </c>
      <c r="Z520" s="31">
        <v>1.06575888963897</v>
      </c>
      <c r="AA520">
        <v>4.5124549810000003</v>
      </c>
      <c r="AB520">
        <v>0.08</v>
      </c>
      <c r="AC520">
        <v>422281.52031957201</v>
      </c>
      <c r="AD520">
        <v>483216.74370168633</v>
      </c>
      <c r="AE520">
        <v>1</v>
      </c>
      <c r="AF520">
        <v>51862.303181552117</v>
      </c>
      <c r="AG520">
        <v>420781.40981552709</v>
      </c>
    </row>
    <row r="521" spans="2:33" hidden="1" x14ac:dyDescent="0.25">
      <c r="B521">
        <v>11</v>
      </c>
      <c r="C521" t="s">
        <v>40</v>
      </c>
      <c r="D521" t="s">
        <v>41</v>
      </c>
      <c r="E521" t="s">
        <v>69</v>
      </c>
      <c r="F521">
        <v>101396</v>
      </c>
      <c r="G521">
        <v>208663</v>
      </c>
      <c r="H521">
        <v>36</v>
      </c>
      <c r="I521">
        <v>0</v>
      </c>
      <c r="J521">
        <v>0</v>
      </c>
      <c r="K521">
        <v>667808</v>
      </c>
      <c r="L521">
        <v>139946</v>
      </c>
      <c r="M521">
        <v>148</v>
      </c>
      <c r="N521">
        <v>36372</v>
      </c>
      <c r="O521" s="43">
        <v>45512034.616461597</v>
      </c>
      <c r="P521" s="14">
        <f t="shared" si="26"/>
        <v>1720576.6463001445</v>
      </c>
      <c r="Q521" s="14" t="str">
        <f t="shared" si="24"/>
        <v/>
      </c>
      <c r="R521" s="14" t="str">
        <f t="shared" si="24"/>
        <v/>
      </c>
      <c r="S521" s="14" t="str">
        <f t="shared" si="25"/>
        <v/>
      </c>
      <c r="T521" s="14" t="s">
        <v>72</v>
      </c>
      <c r="U521" s="14">
        <v>0</v>
      </c>
      <c r="V521">
        <v>8635</v>
      </c>
      <c r="W521">
        <v>14.3966003417968</v>
      </c>
      <c r="X521">
        <v>52.370649281119398</v>
      </c>
      <c r="Y521">
        <v>0.78216372314665905</v>
      </c>
      <c r="Z521" s="31">
        <v>2.3939830331770899</v>
      </c>
      <c r="AA521">
        <v>3.3296365838127402</v>
      </c>
      <c r="AB521">
        <v>0.08</v>
      </c>
      <c r="AC521">
        <v>422281.52031957201</v>
      </c>
      <c r="AD521">
        <v>483216.74370168633</v>
      </c>
      <c r="AE521">
        <v>1</v>
      </c>
      <c r="AF521">
        <v>51862.303181552117</v>
      </c>
      <c r="AG521">
        <v>420781.40981552709</v>
      </c>
    </row>
    <row r="522" spans="2:33" hidden="1" x14ac:dyDescent="0.25">
      <c r="B522">
        <v>11</v>
      </c>
      <c r="C522" t="s">
        <v>40</v>
      </c>
      <c r="D522" t="s">
        <v>41</v>
      </c>
      <c r="E522" t="s">
        <v>69</v>
      </c>
      <c r="F522">
        <v>101396</v>
      </c>
      <c r="G522">
        <v>208663</v>
      </c>
      <c r="H522">
        <v>37</v>
      </c>
      <c r="I522">
        <v>0</v>
      </c>
      <c r="J522">
        <v>0</v>
      </c>
      <c r="K522">
        <v>667808</v>
      </c>
      <c r="L522">
        <v>139946</v>
      </c>
      <c r="M522">
        <v>148</v>
      </c>
      <c r="N522">
        <v>36372</v>
      </c>
      <c r="O522" s="43">
        <v>46459762.272</v>
      </c>
      <c r="P522" s="14">
        <f t="shared" si="26"/>
        <v>947727.6555384025</v>
      </c>
      <c r="Q522" s="14" t="str">
        <f t="shared" si="24"/>
        <v/>
      </c>
      <c r="R522" s="14" t="str">
        <f t="shared" si="24"/>
        <v/>
      </c>
      <c r="S522" s="14" t="str">
        <f t="shared" si="25"/>
        <v/>
      </c>
      <c r="T522" s="14" t="s">
        <v>72</v>
      </c>
      <c r="U522" s="14">
        <v>0</v>
      </c>
      <c r="V522">
        <v>8635</v>
      </c>
      <c r="W522">
        <v>17.015405273437501</v>
      </c>
      <c r="X522">
        <v>36.620637529863103</v>
      </c>
      <c r="Y522">
        <v>1.2305412424233899</v>
      </c>
      <c r="Z522" s="31">
        <v>2.8879845823115202</v>
      </c>
      <c r="AA522">
        <v>6.8594705825439997</v>
      </c>
      <c r="AB522">
        <v>0.08</v>
      </c>
      <c r="AC522">
        <v>422281.52031957201</v>
      </c>
      <c r="AD522">
        <v>483216.74370168633</v>
      </c>
      <c r="AE522">
        <v>1</v>
      </c>
      <c r="AF522">
        <v>51862.303181552117</v>
      </c>
      <c r="AG522">
        <v>420781.40981552709</v>
      </c>
    </row>
    <row r="523" spans="2:33" hidden="1" x14ac:dyDescent="0.25">
      <c r="B523">
        <v>11</v>
      </c>
      <c r="C523" t="s">
        <v>40</v>
      </c>
      <c r="D523" t="s">
        <v>41</v>
      </c>
      <c r="E523" t="s">
        <v>69</v>
      </c>
      <c r="F523">
        <v>101396</v>
      </c>
      <c r="G523">
        <v>208663</v>
      </c>
      <c r="H523">
        <v>38</v>
      </c>
      <c r="I523">
        <v>572</v>
      </c>
      <c r="J523">
        <v>0</v>
      </c>
      <c r="K523">
        <v>667808</v>
      </c>
      <c r="L523">
        <v>139946</v>
      </c>
      <c r="M523">
        <v>148</v>
      </c>
      <c r="N523">
        <v>36372</v>
      </c>
      <c r="O523" s="43">
        <v>49091719.248000003</v>
      </c>
      <c r="P523" s="14">
        <f t="shared" si="26"/>
        <v>2631956.9760000035</v>
      </c>
      <c r="Q523" s="14" t="str">
        <f t="shared" si="24"/>
        <v/>
      </c>
      <c r="R523" s="14" t="str">
        <f t="shared" si="24"/>
        <v/>
      </c>
      <c r="S523" s="14" t="str">
        <f t="shared" si="25"/>
        <v/>
      </c>
      <c r="T523" s="14" t="s">
        <v>72</v>
      </c>
      <c r="U523" s="14">
        <v>4601.3233846153908</v>
      </c>
      <c r="V523">
        <v>8635</v>
      </c>
      <c r="W523">
        <v>15.97158203125</v>
      </c>
      <c r="X523">
        <v>56.310839096164202</v>
      </c>
      <c r="Y523">
        <v>0.79372575082223595</v>
      </c>
      <c r="Z523" s="31">
        <v>0.92294008849676001</v>
      </c>
      <c r="AA523">
        <v>1.83154475488629</v>
      </c>
      <c r="AB523">
        <v>0.08</v>
      </c>
      <c r="AC523">
        <v>422281.52031957201</v>
      </c>
      <c r="AD523">
        <v>483216.74370168633</v>
      </c>
      <c r="AE523">
        <v>1</v>
      </c>
      <c r="AF523">
        <v>51862.303181552117</v>
      </c>
      <c r="AG523">
        <v>420781.40981552709</v>
      </c>
    </row>
    <row r="524" spans="2:33" hidden="1" x14ac:dyDescent="0.25">
      <c r="B524">
        <v>11</v>
      </c>
      <c r="C524" t="s">
        <v>40</v>
      </c>
      <c r="D524" t="s">
        <v>41</v>
      </c>
      <c r="E524" t="s">
        <v>69</v>
      </c>
      <c r="F524">
        <v>102835</v>
      </c>
      <c r="G524">
        <v>208663</v>
      </c>
      <c r="H524">
        <v>39</v>
      </c>
      <c r="I524">
        <v>0</v>
      </c>
      <c r="J524">
        <v>0.78617675390462138</v>
      </c>
      <c r="K524">
        <v>667808</v>
      </c>
      <c r="L524">
        <v>139946</v>
      </c>
      <c r="M524">
        <v>148</v>
      </c>
      <c r="N524">
        <v>36372</v>
      </c>
      <c r="O524" s="43">
        <v>50579347.104000002</v>
      </c>
      <c r="P524" s="14">
        <f t="shared" si="26"/>
        <v>1487627.8559999987</v>
      </c>
      <c r="Q524" s="14" t="str">
        <f t="shared" si="24"/>
        <v/>
      </c>
      <c r="R524" s="14" t="str">
        <f t="shared" si="24"/>
        <v/>
      </c>
      <c r="S524" s="14" t="str">
        <f t="shared" si="25"/>
        <v/>
      </c>
      <c r="T524" s="14" t="s">
        <v>72</v>
      </c>
      <c r="U524" s="14">
        <v>0</v>
      </c>
      <c r="V524">
        <v>8635</v>
      </c>
      <c r="W524">
        <v>15.238916015625</v>
      </c>
      <c r="X524">
        <v>63.041738672215601</v>
      </c>
      <c r="Y524">
        <v>0.64067741472634299</v>
      </c>
      <c r="Z524" s="31">
        <v>0.34442565938302699</v>
      </c>
      <c r="AA524">
        <v>1.43142983257687</v>
      </c>
      <c r="AB524">
        <v>0.08</v>
      </c>
      <c r="AC524">
        <v>422281.52031957201</v>
      </c>
      <c r="AD524">
        <v>483216.74370168633</v>
      </c>
      <c r="AE524">
        <v>1</v>
      </c>
      <c r="AF524">
        <v>51862.303181552117</v>
      </c>
      <c r="AG524">
        <v>420781.40981552709</v>
      </c>
    </row>
    <row r="525" spans="2:33" hidden="1" x14ac:dyDescent="0.25">
      <c r="B525">
        <v>11</v>
      </c>
      <c r="C525" t="s">
        <v>40</v>
      </c>
      <c r="D525" t="s">
        <v>41</v>
      </c>
      <c r="E525" t="s">
        <v>69</v>
      </c>
      <c r="F525">
        <v>103208</v>
      </c>
      <c r="G525">
        <v>208663</v>
      </c>
      <c r="H525">
        <v>40</v>
      </c>
      <c r="I525">
        <v>0</v>
      </c>
      <c r="J525">
        <v>0.2037831335694397</v>
      </c>
      <c r="K525">
        <v>667808</v>
      </c>
      <c r="L525">
        <v>139946</v>
      </c>
      <c r="M525">
        <v>148</v>
      </c>
      <c r="N525">
        <v>36372</v>
      </c>
      <c r="O525" s="43">
        <v>52410273.696000002</v>
      </c>
      <c r="P525" s="14">
        <f t="shared" si="26"/>
        <v>1830926.5920000002</v>
      </c>
      <c r="Q525" s="14" t="str">
        <f t="shared" si="24"/>
        <v/>
      </c>
      <c r="R525" s="14" t="str">
        <f t="shared" si="24"/>
        <v/>
      </c>
      <c r="S525" s="14" t="str">
        <f t="shared" si="25"/>
        <v/>
      </c>
      <c r="T525" s="14" t="s">
        <v>72</v>
      </c>
      <c r="U525" s="14">
        <v>0</v>
      </c>
      <c r="V525">
        <v>8635</v>
      </c>
      <c r="W525">
        <v>17.861596679687501</v>
      </c>
      <c r="X525">
        <v>43.1351563810112</v>
      </c>
      <c r="Y525">
        <v>1.1645079149905999</v>
      </c>
      <c r="Z525" s="31">
        <v>1.5464186929330701</v>
      </c>
      <c r="AA525">
        <v>6.7004573833596002</v>
      </c>
      <c r="AB525">
        <v>0.08</v>
      </c>
      <c r="AC525">
        <v>422281.52031957201</v>
      </c>
      <c r="AD525">
        <v>483216.74370168633</v>
      </c>
      <c r="AE525">
        <v>1</v>
      </c>
      <c r="AF525">
        <v>51862.303181552117</v>
      </c>
      <c r="AG525">
        <v>420781.40981552709</v>
      </c>
    </row>
    <row r="526" spans="2:33" hidden="1" x14ac:dyDescent="0.25">
      <c r="B526">
        <v>11</v>
      </c>
      <c r="C526" t="s">
        <v>40</v>
      </c>
      <c r="D526" t="s">
        <v>41</v>
      </c>
      <c r="E526" t="s">
        <v>69</v>
      </c>
      <c r="F526">
        <v>103329</v>
      </c>
      <c r="G526">
        <v>208663</v>
      </c>
      <c r="H526">
        <v>41</v>
      </c>
      <c r="I526">
        <v>0</v>
      </c>
      <c r="J526">
        <v>6.6106592927351757E-2</v>
      </c>
      <c r="K526">
        <v>667808</v>
      </c>
      <c r="L526">
        <v>139946</v>
      </c>
      <c r="M526">
        <v>148</v>
      </c>
      <c r="N526">
        <v>36372</v>
      </c>
      <c r="O526" s="43">
        <v>52410273.696000002</v>
      </c>
      <c r="P526" s="14">
        <f t="shared" si="26"/>
        <v>0</v>
      </c>
      <c r="Q526" s="14" t="str">
        <f t="shared" si="24"/>
        <v/>
      </c>
      <c r="R526" s="14" t="str">
        <f t="shared" si="24"/>
        <v/>
      </c>
      <c r="S526" s="14" t="str">
        <f t="shared" si="25"/>
        <v/>
      </c>
      <c r="T526" s="14" t="s">
        <v>72</v>
      </c>
      <c r="U526" s="14">
        <v>0</v>
      </c>
      <c r="V526">
        <v>8635</v>
      </c>
      <c r="W526">
        <v>17.038110351562501</v>
      </c>
      <c r="X526">
        <v>48.027826198624197</v>
      </c>
      <c r="Y526">
        <v>1.0104343802411699</v>
      </c>
      <c r="Z526" s="31">
        <v>1.8208282550596699</v>
      </c>
      <c r="AA526">
        <v>4.6764772885230803</v>
      </c>
      <c r="AB526">
        <v>0.08</v>
      </c>
      <c r="AC526">
        <v>422281.52031957201</v>
      </c>
      <c r="AD526">
        <v>483216.74370168633</v>
      </c>
      <c r="AE526">
        <v>1</v>
      </c>
      <c r="AF526">
        <v>51862.303181552117</v>
      </c>
      <c r="AG526">
        <v>420781.40981552709</v>
      </c>
    </row>
    <row r="527" spans="2:33" hidden="1" x14ac:dyDescent="0.25">
      <c r="B527">
        <v>11</v>
      </c>
      <c r="C527" t="s">
        <v>40</v>
      </c>
      <c r="D527" t="s">
        <v>41</v>
      </c>
      <c r="E527" t="s">
        <v>69</v>
      </c>
      <c r="F527">
        <v>103517</v>
      </c>
      <c r="G527">
        <v>208663</v>
      </c>
      <c r="H527">
        <v>42</v>
      </c>
      <c r="I527">
        <v>1439</v>
      </c>
      <c r="J527">
        <v>0.1027110700028275</v>
      </c>
      <c r="K527">
        <v>667808</v>
      </c>
      <c r="L527">
        <v>139946</v>
      </c>
      <c r="M527">
        <v>148</v>
      </c>
      <c r="N527">
        <v>36372</v>
      </c>
      <c r="O527" s="43">
        <v>56758724.352000013</v>
      </c>
      <c r="P527" s="14">
        <f t="shared" si="26"/>
        <v>4348450.6560000107</v>
      </c>
      <c r="Q527" s="14" t="str">
        <f t="shared" si="24"/>
        <v/>
      </c>
      <c r="R527" s="14" t="str">
        <f t="shared" si="24"/>
        <v/>
      </c>
      <c r="S527" s="14" t="str">
        <f t="shared" si="25"/>
        <v/>
      </c>
      <c r="T527" s="14" t="s">
        <v>72</v>
      </c>
      <c r="U527" s="14">
        <v>3021.855911049342</v>
      </c>
      <c r="V527">
        <v>8635</v>
      </c>
      <c r="W527">
        <v>15.3235107421875</v>
      </c>
      <c r="X527">
        <v>64.635841872539601</v>
      </c>
      <c r="Y527">
        <v>0.61636840880988297</v>
      </c>
      <c r="Z527" s="31">
        <v>1.3742497081784</v>
      </c>
      <c r="AA527">
        <v>3.2396145641200702</v>
      </c>
      <c r="AB527">
        <v>0.08</v>
      </c>
      <c r="AC527">
        <v>422281.52031957201</v>
      </c>
      <c r="AD527">
        <v>483216.74370168633</v>
      </c>
      <c r="AE527">
        <v>1</v>
      </c>
      <c r="AF527">
        <v>51862.303181552117</v>
      </c>
      <c r="AG527">
        <v>420781.40981552709</v>
      </c>
    </row>
    <row r="528" spans="2:33" hidden="1" x14ac:dyDescent="0.25">
      <c r="B528">
        <v>11</v>
      </c>
      <c r="C528" t="s">
        <v>40</v>
      </c>
      <c r="D528" t="s">
        <v>41</v>
      </c>
      <c r="E528" t="s">
        <v>69</v>
      </c>
      <c r="F528">
        <v>103708</v>
      </c>
      <c r="G528">
        <v>208663</v>
      </c>
      <c r="H528">
        <v>43</v>
      </c>
      <c r="I528">
        <v>373</v>
      </c>
      <c r="J528">
        <v>0.1043500764390429</v>
      </c>
      <c r="K528">
        <v>667808</v>
      </c>
      <c r="L528">
        <v>139946</v>
      </c>
      <c r="M528">
        <v>148</v>
      </c>
      <c r="N528">
        <v>36372</v>
      </c>
      <c r="O528" s="43">
        <v>58360785.119999997</v>
      </c>
      <c r="P528" s="14">
        <f t="shared" si="26"/>
        <v>1602060.7679999843</v>
      </c>
      <c r="Q528" s="14" t="str">
        <f t="shared" si="24"/>
        <v/>
      </c>
      <c r="R528" s="14" t="str">
        <f t="shared" si="24"/>
        <v/>
      </c>
      <c r="S528" s="14" t="str">
        <f t="shared" si="25"/>
        <v/>
      </c>
      <c r="T528" s="14" t="s">
        <v>72</v>
      </c>
      <c r="U528" s="14">
        <v>4295.0690831099173</v>
      </c>
      <c r="V528">
        <v>8635</v>
      </c>
      <c r="W528">
        <v>19.062158203125001</v>
      </c>
      <c r="X528">
        <v>35.1545146064066</v>
      </c>
      <c r="Y528">
        <v>1.4315912603393901</v>
      </c>
      <c r="Z528" s="31">
        <v>0.73327002070909497</v>
      </c>
      <c r="AA528">
        <v>1.4905644035899399</v>
      </c>
      <c r="AB528">
        <v>0.08</v>
      </c>
      <c r="AC528">
        <v>422281.52031957201</v>
      </c>
      <c r="AD528">
        <v>483216.74370168633</v>
      </c>
      <c r="AE528">
        <v>1</v>
      </c>
      <c r="AF528">
        <v>51862.303181552117</v>
      </c>
      <c r="AG528">
        <v>420781.40981552709</v>
      </c>
    </row>
    <row r="529" spans="2:33" hidden="1" x14ac:dyDescent="0.25">
      <c r="B529">
        <v>11</v>
      </c>
      <c r="C529" t="s">
        <v>40</v>
      </c>
      <c r="D529" t="s">
        <v>41</v>
      </c>
      <c r="E529" t="s">
        <v>69</v>
      </c>
      <c r="F529">
        <v>109940</v>
      </c>
      <c r="G529">
        <v>208663</v>
      </c>
      <c r="H529">
        <v>44</v>
      </c>
      <c r="I529">
        <v>121</v>
      </c>
      <c r="J529">
        <v>3.404762703497985</v>
      </c>
      <c r="K529">
        <v>667808</v>
      </c>
      <c r="L529">
        <v>139946</v>
      </c>
      <c r="M529">
        <v>148</v>
      </c>
      <c r="N529">
        <v>36372</v>
      </c>
      <c r="O529" s="43">
        <v>59505114.240000002</v>
      </c>
      <c r="P529" s="14">
        <f t="shared" si="26"/>
        <v>1144329.1200000048</v>
      </c>
      <c r="Q529" s="14" t="str">
        <f t="shared" si="24"/>
        <v/>
      </c>
      <c r="R529" s="14" t="str">
        <f t="shared" si="24"/>
        <v/>
      </c>
      <c r="S529" s="14" t="str">
        <f t="shared" si="25"/>
        <v/>
      </c>
      <c r="T529" s="14" t="s">
        <v>72</v>
      </c>
      <c r="U529" s="14">
        <v>-433142.75781818182</v>
      </c>
      <c r="V529">
        <v>8635</v>
      </c>
      <c r="W529">
        <v>20.421044921875001</v>
      </c>
      <c r="X529">
        <v>41.842908109197197</v>
      </c>
      <c r="Y529">
        <v>1.39655694</v>
      </c>
      <c r="Z529" s="31">
        <v>0.85077430899999995</v>
      </c>
      <c r="AA529">
        <v>1.4801892449849501</v>
      </c>
      <c r="AB529">
        <v>0.08</v>
      </c>
      <c r="AC529">
        <v>422281.52031957201</v>
      </c>
      <c r="AD529">
        <v>483216.74370168633</v>
      </c>
      <c r="AE529">
        <v>1</v>
      </c>
      <c r="AF529">
        <v>51862.303181552117</v>
      </c>
      <c r="AG529">
        <v>420781.40981552709</v>
      </c>
    </row>
    <row r="530" spans="2:33" hidden="1" x14ac:dyDescent="0.25">
      <c r="B530">
        <v>11</v>
      </c>
      <c r="C530" t="s">
        <v>40</v>
      </c>
      <c r="D530" t="s">
        <v>41</v>
      </c>
      <c r="E530" t="s">
        <v>69</v>
      </c>
      <c r="F530">
        <v>121589</v>
      </c>
      <c r="G530">
        <v>208663</v>
      </c>
      <c r="H530">
        <v>45</v>
      </c>
      <c r="I530">
        <v>188</v>
      </c>
      <c r="J530">
        <v>6.3642619918241374</v>
      </c>
      <c r="K530">
        <v>667808</v>
      </c>
      <c r="L530">
        <v>139946</v>
      </c>
      <c r="M530">
        <v>148</v>
      </c>
      <c r="N530">
        <v>36372</v>
      </c>
      <c r="O530" s="43">
        <v>62137071.216000013</v>
      </c>
      <c r="P530" s="14">
        <f t="shared" si="26"/>
        <v>2631956.976000011</v>
      </c>
      <c r="Q530" s="14" t="str">
        <f>IF(P530&gt;=0,"",P530)</f>
        <v/>
      </c>
      <c r="R530" s="14" t="str">
        <f>IF(Q530&gt;=0,"",Q530)</f>
        <v/>
      </c>
      <c r="S530" s="14" t="str">
        <f t="shared" si="25"/>
        <v/>
      </c>
      <c r="T530" s="14" t="s">
        <v>72</v>
      </c>
      <c r="U530" s="14">
        <v>298864.67974468088</v>
      </c>
      <c r="V530">
        <v>8635</v>
      </c>
      <c r="W530">
        <v>18.915795898437501</v>
      </c>
      <c r="X530">
        <v>37.724481557725802</v>
      </c>
      <c r="Y530">
        <v>1.36234638861083</v>
      </c>
      <c r="Z530" s="31">
        <v>0.65057127966697803</v>
      </c>
      <c r="AA530">
        <v>2.82642606300307</v>
      </c>
      <c r="AB530">
        <v>0.08</v>
      </c>
      <c r="AC530">
        <v>422281.52031957201</v>
      </c>
      <c r="AD530">
        <v>483216.74370168633</v>
      </c>
      <c r="AE530">
        <v>1</v>
      </c>
      <c r="AF530">
        <v>51862.303181552117</v>
      </c>
      <c r="AG530">
        <v>420781.40981552709</v>
      </c>
    </row>
    <row r="531" spans="2:33" hidden="1" x14ac:dyDescent="0.25">
      <c r="B531">
        <v>11</v>
      </c>
      <c r="C531" t="s">
        <v>40</v>
      </c>
      <c r="D531" t="s">
        <v>41</v>
      </c>
      <c r="E531" t="s">
        <v>69</v>
      </c>
      <c r="F531">
        <v>121589</v>
      </c>
      <c r="G531">
        <v>208663</v>
      </c>
      <c r="H531">
        <v>46</v>
      </c>
      <c r="I531">
        <v>191</v>
      </c>
      <c r="J531">
        <v>0</v>
      </c>
      <c r="K531">
        <v>667808</v>
      </c>
      <c r="L531">
        <v>139946</v>
      </c>
      <c r="M531">
        <v>148</v>
      </c>
      <c r="N531">
        <v>36372</v>
      </c>
      <c r="O531" s="43">
        <v>64196863.632000007</v>
      </c>
      <c r="P531" s="14">
        <f t="shared" si="26"/>
        <v>2059792.4159999937</v>
      </c>
      <c r="Q531" s="14" t="str">
        <f t="shared" si="24"/>
        <v/>
      </c>
      <c r="R531" s="14" t="str">
        <f t="shared" si="24"/>
        <v/>
      </c>
      <c r="S531" s="14" t="str">
        <f t="shared" si="25"/>
        <v/>
      </c>
      <c r="T531" s="14" t="s">
        <v>72</v>
      </c>
      <c r="U531" s="14">
        <v>10784.253486911</v>
      </c>
      <c r="V531">
        <v>8635</v>
      </c>
      <c r="W531">
        <v>16.658044433593702</v>
      </c>
      <c r="X531">
        <v>27.889507028316299</v>
      </c>
      <c r="Y531">
        <v>1.36875482427559</v>
      </c>
      <c r="Z531" s="31">
        <v>2.0526635957310599</v>
      </c>
      <c r="AA531">
        <v>7.6918908980484497</v>
      </c>
      <c r="AB531">
        <v>0.08</v>
      </c>
      <c r="AC531">
        <v>422281.52031957201</v>
      </c>
      <c r="AD531">
        <v>483216.74370168633</v>
      </c>
      <c r="AE531">
        <v>1</v>
      </c>
      <c r="AF531">
        <v>51862.303181552117</v>
      </c>
      <c r="AG531">
        <v>420781.40981552709</v>
      </c>
    </row>
    <row r="532" spans="2:33" hidden="1" x14ac:dyDescent="0.25">
      <c r="B532">
        <v>11</v>
      </c>
      <c r="C532" t="s">
        <v>40</v>
      </c>
      <c r="D532" t="s">
        <v>41</v>
      </c>
      <c r="E532" t="s">
        <v>69</v>
      </c>
      <c r="F532">
        <v>123354</v>
      </c>
      <c r="G532">
        <v>208663</v>
      </c>
      <c r="H532">
        <v>47</v>
      </c>
      <c r="I532">
        <v>6232</v>
      </c>
      <c r="J532">
        <v>0.96428211997335422</v>
      </c>
      <c r="K532">
        <v>667808</v>
      </c>
      <c r="L532">
        <v>139946</v>
      </c>
      <c r="M532">
        <v>148</v>
      </c>
      <c r="N532">
        <v>36372</v>
      </c>
      <c r="O532" s="43">
        <v>66828820.608000003</v>
      </c>
      <c r="P532" s="14">
        <f t="shared" si="26"/>
        <v>2631956.9759999961</v>
      </c>
      <c r="Q532" s="14" t="str">
        <f t="shared" si="24"/>
        <v/>
      </c>
      <c r="R532" s="14" t="str">
        <f t="shared" si="24"/>
        <v/>
      </c>
      <c r="S532" s="14" t="str">
        <f t="shared" si="25"/>
        <v/>
      </c>
      <c r="T532" s="14" t="s">
        <v>72</v>
      </c>
      <c r="U532" s="14">
        <v>422.3294249037221</v>
      </c>
      <c r="V532">
        <v>8635</v>
      </c>
      <c r="W532">
        <v>2.9759155273437101</v>
      </c>
      <c r="X532">
        <v>68.419410310000004</v>
      </c>
      <c r="Y532">
        <v>0.239576591030318</v>
      </c>
      <c r="Z532" s="31">
        <v>3.1286825710361201</v>
      </c>
      <c r="AA532">
        <v>9.1338205276950806</v>
      </c>
      <c r="AB532">
        <v>0.08</v>
      </c>
      <c r="AC532">
        <v>422281.52031957201</v>
      </c>
      <c r="AD532">
        <v>483216.74370168633</v>
      </c>
      <c r="AE532">
        <v>1</v>
      </c>
      <c r="AF532">
        <v>51862.303181552117</v>
      </c>
      <c r="AG532">
        <v>420781.40981552709</v>
      </c>
    </row>
    <row r="533" spans="2:33" hidden="1" x14ac:dyDescent="0.25">
      <c r="B533">
        <v>11</v>
      </c>
      <c r="C533" t="s">
        <v>40</v>
      </c>
      <c r="D533" t="s">
        <v>41</v>
      </c>
      <c r="E533" t="s">
        <v>69</v>
      </c>
      <c r="F533">
        <v>123760</v>
      </c>
      <c r="G533">
        <v>208663</v>
      </c>
      <c r="H533">
        <v>48</v>
      </c>
      <c r="I533">
        <v>11649</v>
      </c>
      <c r="J533">
        <v>0.22181220436780841</v>
      </c>
      <c r="K533">
        <v>667808</v>
      </c>
      <c r="L533">
        <v>139946</v>
      </c>
      <c r="M533">
        <v>148</v>
      </c>
      <c r="N533">
        <v>36372</v>
      </c>
      <c r="O533" s="43">
        <v>68659747.200000003</v>
      </c>
      <c r="P533" s="14">
        <f t="shared" si="26"/>
        <v>1830926.5920000002</v>
      </c>
      <c r="Q533" s="14" t="str">
        <f t="shared" si="24"/>
        <v/>
      </c>
      <c r="R533" s="14" t="str">
        <f t="shared" si="24"/>
        <v/>
      </c>
      <c r="S533" s="14" t="str">
        <f t="shared" si="25"/>
        <v/>
      </c>
      <c r="T533" s="14" t="s">
        <v>72</v>
      </c>
      <c r="U533" s="14">
        <v>157.17457223796035</v>
      </c>
      <c r="V533">
        <v>8635</v>
      </c>
      <c r="W533">
        <v>9.6817871093750192</v>
      </c>
      <c r="X533">
        <v>31.093568611382899</v>
      </c>
      <c r="Y533">
        <v>0.82968559377502105</v>
      </c>
      <c r="Z533" s="31">
        <v>1.32181385008893</v>
      </c>
      <c r="AA533">
        <v>5.5769212309873204</v>
      </c>
      <c r="AB533">
        <v>0.08</v>
      </c>
      <c r="AC533">
        <v>422281.52031957201</v>
      </c>
      <c r="AD533">
        <v>483216.74370168633</v>
      </c>
      <c r="AE533">
        <v>1</v>
      </c>
      <c r="AF533">
        <v>51862.303181552117</v>
      </c>
      <c r="AG533">
        <v>420781.40981552709</v>
      </c>
    </row>
    <row r="534" spans="2:33" hidden="1" x14ac:dyDescent="0.25">
      <c r="B534">
        <v>11</v>
      </c>
      <c r="C534" t="s">
        <v>40</v>
      </c>
      <c r="D534" t="s">
        <v>41</v>
      </c>
      <c r="E534" t="s">
        <v>69</v>
      </c>
      <c r="F534">
        <v>124099</v>
      </c>
      <c r="G534">
        <v>208663</v>
      </c>
      <c r="H534">
        <v>49</v>
      </c>
      <c r="I534">
        <v>0</v>
      </c>
      <c r="J534">
        <v>0.18520772729233259</v>
      </c>
      <c r="K534">
        <v>667808</v>
      </c>
      <c r="L534">
        <v>139946</v>
      </c>
      <c r="M534">
        <v>148</v>
      </c>
      <c r="N534">
        <v>36372</v>
      </c>
      <c r="O534" s="43">
        <v>69804076.320000008</v>
      </c>
      <c r="P534" s="14">
        <f t="shared" si="26"/>
        <v>1144329.1200000048</v>
      </c>
      <c r="Q534" s="14" t="str">
        <f t="shared" si="24"/>
        <v/>
      </c>
      <c r="R534" s="14" t="str">
        <f t="shared" si="24"/>
        <v/>
      </c>
      <c r="S534" s="14" t="str">
        <f t="shared" si="25"/>
        <v/>
      </c>
      <c r="T534" s="14" t="s">
        <v>72</v>
      </c>
      <c r="U534" s="14">
        <v>0</v>
      </c>
      <c r="V534">
        <v>8635</v>
      </c>
      <c r="W534">
        <v>17.537622070312501</v>
      </c>
      <c r="X534">
        <v>33.469743141446699</v>
      </c>
      <c r="Y534">
        <v>1.3350385107723</v>
      </c>
      <c r="Z534" s="31">
        <v>0.70283026511503199</v>
      </c>
      <c r="AA534">
        <v>5.2761549285863403</v>
      </c>
      <c r="AB534">
        <v>0.08</v>
      </c>
      <c r="AC534">
        <v>422281.52031957201</v>
      </c>
      <c r="AD534">
        <v>483216.74370168633</v>
      </c>
      <c r="AE534">
        <v>1</v>
      </c>
      <c r="AF534">
        <v>51862.303181552117</v>
      </c>
      <c r="AG534">
        <v>420781.40981552709</v>
      </c>
    </row>
    <row r="535" spans="2:33" hidden="1" x14ac:dyDescent="0.25">
      <c r="B535">
        <v>11</v>
      </c>
      <c r="C535" t="s">
        <v>40</v>
      </c>
      <c r="D535" t="s">
        <v>41</v>
      </c>
      <c r="E535" t="s">
        <v>69</v>
      </c>
      <c r="F535">
        <v>124426</v>
      </c>
      <c r="G535">
        <v>208663</v>
      </c>
      <c r="H535">
        <v>50</v>
      </c>
      <c r="I535">
        <v>1765</v>
      </c>
      <c r="J535">
        <v>0.17865170154747129</v>
      </c>
      <c r="K535">
        <v>667808</v>
      </c>
      <c r="L535">
        <v>139946</v>
      </c>
      <c r="M535">
        <v>148</v>
      </c>
      <c r="N535">
        <v>36372</v>
      </c>
      <c r="O535" s="43">
        <v>72207167.472000003</v>
      </c>
      <c r="P535" s="14">
        <f t="shared" si="26"/>
        <v>2403091.1519999951</v>
      </c>
      <c r="Q535" s="14" t="str">
        <f t="shared" si="24"/>
        <v/>
      </c>
      <c r="R535" s="14" t="str">
        <f t="shared" si="24"/>
        <v/>
      </c>
      <c r="S535" s="14" t="str">
        <f t="shared" si="25"/>
        <v/>
      </c>
      <c r="T535" s="14" t="s">
        <v>72</v>
      </c>
      <c r="U535" s="14">
        <v>1361.5247320113288</v>
      </c>
      <c r="V535">
        <v>8635</v>
      </c>
      <c r="W535">
        <v>12.9020629882812</v>
      </c>
      <c r="X535">
        <v>50.076520779301397</v>
      </c>
      <c r="Y535">
        <v>0.74400261252834599</v>
      </c>
      <c r="Z535" s="31">
        <v>2.0064784624949601</v>
      </c>
      <c r="AA535">
        <v>1.82347447744776</v>
      </c>
      <c r="AB535">
        <v>0.08</v>
      </c>
      <c r="AC535">
        <v>422281.52031957201</v>
      </c>
      <c r="AD535">
        <v>483216.74370168633</v>
      </c>
      <c r="AE535">
        <v>1</v>
      </c>
      <c r="AF535">
        <v>51862.303181552117</v>
      </c>
      <c r="AG535">
        <v>420781.40981552709</v>
      </c>
    </row>
    <row r="536" spans="2:33" hidden="1" x14ac:dyDescent="0.25">
      <c r="B536">
        <v>11</v>
      </c>
      <c r="C536" t="s">
        <v>40</v>
      </c>
      <c r="D536" t="s">
        <v>41</v>
      </c>
      <c r="E536" t="s">
        <v>69</v>
      </c>
      <c r="F536">
        <v>124965</v>
      </c>
      <c r="G536">
        <v>208663</v>
      </c>
      <c r="H536">
        <v>51</v>
      </c>
      <c r="I536">
        <v>406</v>
      </c>
      <c r="J536">
        <v>0.29447482304002148</v>
      </c>
      <c r="K536">
        <v>667808</v>
      </c>
      <c r="L536">
        <v>139946</v>
      </c>
      <c r="M536">
        <v>148</v>
      </c>
      <c r="N536">
        <v>36372</v>
      </c>
      <c r="O536" s="43">
        <v>74495825.712000012</v>
      </c>
      <c r="P536" s="14">
        <f t="shared" si="26"/>
        <v>2288658.2400000095</v>
      </c>
      <c r="Q536" s="14" t="str">
        <f t="shared" si="24"/>
        <v/>
      </c>
      <c r="R536" s="14" t="str">
        <f t="shared" si="24"/>
        <v/>
      </c>
      <c r="S536" s="14" t="str">
        <f t="shared" si="25"/>
        <v/>
      </c>
      <c r="T536" s="14" t="s">
        <v>72</v>
      </c>
      <c r="U536" s="14">
        <v>5637.0892610837673</v>
      </c>
      <c r="V536">
        <v>8635</v>
      </c>
      <c r="W536">
        <v>10.410302734375</v>
      </c>
      <c r="X536">
        <v>50.343843850594801</v>
      </c>
      <c r="Y536">
        <v>0.62780199351624699</v>
      </c>
      <c r="Z536" s="31">
        <v>1.24994079721591</v>
      </c>
      <c r="AA536">
        <v>2.4973679148599199</v>
      </c>
      <c r="AB536">
        <v>0.08</v>
      </c>
      <c r="AC536">
        <v>422281.52031957201</v>
      </c>
      <c r="AD536">
        <v>483216.74370168633</v>
      </c>
      <c r="AE536">
        <v>1</v>
      </c>
      <c r="AF536">
        <v>51862.303181552117</v>
      </c>
      <c r="AG536">
        <v>420781.40981552709</v>
      </c>
    </row>
    <row r="537" spans="2:33" hidden="1" x14ac:dyDescent="0.25">
      <c r="B537">
        <v>11</v>
      </c>
      <c r="C537" t="s">
        <v>40</v>
      </c>
      <c r="D537" t="s">
        <v>41</v>
      </c>
      <c r="E537" t="s">
        <v>69</v>
      </c>
      <c r="F537">
        <v>125086</v>
      </c>
      <c r="G537">
        <v>208663</v>
      </c>
      <c r="H537">
        <v>52</v>
      </c>
      <c r="I537">
        <v>339</v>
      </c>
      <c r="J537">
        <v>6.6106592927351757E-2</v>
      </c>
      <c r="K537">
        <v>667808</v>
      </c>
      <c r="L537">
        <v>139946</v>
      </c>
      <c r="M537">
        <v>148</v>
      </c>
      <c r="N537">
        <v>36372</v>
      </c>
      <c r="O537" s="43">
        <v>76097886.480000004</v>
      </c>
      <c r="P537" s="14">
        <f t="shared" si="26"/>
        <v>1602060.7679999918</v>
      </c>
      <c r="Q537" s="14" t="str">
        <f t="shared" si="24"/>
        <v/>
      </c>
      <c r="R537" s="14" t="str">
        <f t="shared" si="24"/>
        <v/>
      </c>
      <c r="S537" s="14" t="str">
        <f t="shared" si="25"/>
        <v/>
      </c>
      <c r="T537" s="14" t="s">
        <v>72</v>
      </c>
      <c r="U537" s="14">
        <v>4725.8429734513029</v>
      </c>
      <c r="V537">
        <v>8635</v>
      </c>
      <c r="W537">
        <v>14.32314453125</v>
      </c>
      <c r="X537">
        <v>31.895192415756298</v>
      </c>
      <c r="Y537">
        <v>1.1131779069455401</v>
      </c>
      <c r="Z537" s="31">
        <v>2.65591265783738</v>
      </c>
      <c r="AA537">
        <v>8.0244786614594794</v>
      </c>
      <c r="AB537">
        <v>0.08</v>
      </c>
      <c r="AC537">
        <v>422281.52031957201</v>
      </c>
      <c r="AD537">
        <v>483216.74370168633</v>
      </c>
      <c r="AE537">
        <v>1</v>
      </c>
      <c r="AF537">
        <v>51862.303181552117</v>
      </c>
      <c r="AG537">
        <v>420781.40981552709</v>
      </c>
    </row>
    <row r="538" spans="2:33" hidden="1" x14ac:dyDescent="0.25">
      <c r="B538">
        <v>11</v>
      </c>
      <c r="C538" t="s">
        <v>40</v>
      </c>
      <c r="D538" t="s">
        <v>41</v>
      </c>
      <c r="E538" t="s">
        <v>69</v>
      </c>
      <c r="F538">
        <v>125410</v>
      </c>
      <c r="G538">
        <v>208663</v>
      </c>
      <c r="H538">
        <v>53</v>
      </c>
      <c r="I538">
        <v>327</v>
      </c>
      <c r="J538">
        <v>0.17701269511125589</v>
      </c>
      <c r="K538">
        <v>667808</v>
      </c>
      <c r="L538">
        <v>139946</v>
      </c>
      <c r="M538">
        <v>148</v>
      </c>
      <c r="N538">
        <v>36372</v>
      </c>
      <c r="O538" s="43">
        <v>77928813.072000012</v>
      </c>
      <c r="P538" s="14">
        <f t="shared" si="26"/>
        <v>1830926.5920000076</v>
      </c>
      <c r="Q538" s="14" t="str">
        <f t="shared" si="24"/>
        <v/>
      </c>
      <c r="R538" s="14" t="str">
        <f t="shared" si="24"/>
        <v/>
      </c>
      <c r="S538" s="14" t="str">
        <f t="shared" si="25"/>
        <v/>
      </c>
      <c r="T538" s="14" t="s">
        <v>72</v>
      </c>
      <c r="U538" s="14">
        <v>5599.16388990828</v>
      </c>
      <c r="V538">
        <v>8635</v>
      </c>
      <c r="W538">
        <v>11.7834106445312</v>
      </c>
      <c r="X538">
        <v>44.786828981622897</v>
      </c>
      <c r="Y538">
        <v>0.76458798600077404</v>
      </c>
      <c r="Z538" s="31">
        <v>1.23036361805303</v>
      </c>
      <c r="AA538">
        <v>1.5709963287124</v>
      </c>
      <c r="AB538">
        <v>0.08</v>
      </c>
      <c r="AC538">
        <v>422281.52031957201</v>
      </c>
      <c r="AD538">
        <v>483216.74370168633</v>
      </c>
      <c r="AE538">
        <v>1</v>
      </c>
      <c r="AF538">
        <v>51862.303181552117</v>
      </c>
      <c r="AG538">
        <v>420781.40981552709</v>
      </c>
    </row>
    <row r="539" spans="2:33" hidden="1" x14ac:dyDescent="0.25">
      <c r="B539">
        <v>11</v>
      </c>
      <c r="C539" t="s">
        <v>40</v>
      </c>
      <c r="D539" t="s">
        <v>41</v>
      </c>
      <c r="E539" t="s">
        <v>69</v>
      </c>
      <c r="F539">
        <v>126989</v>
      </c>
      <c r="G539">
        <v>208663</v>
      </c>
      <c r="H539">
        <v>54</v>
      </c>
      <c r="I539">
        <v>539</v>
      </c>
      <c r="J539">
        <v>0.86266372092800359</v>
      </c>
      <c r="K539">
        <v>667808</v>
      </c>
      <c r="L539">
        <v>139946</v>
      </c>
      <c r="M539">
        <v>148</v>
      </c>
      <c r="N539">
        <v>36372</v>
      </c>
      <c r="O539" s="43">
        <v>79302008.016000003</v>
      </c>
      <c r="P539" s="14">
        <f t="shared" si="26"/>
        <v>1373194.9439999908</v>
      </c>
      <c r="Q539" s="14" t="str">
        <f t="shared" si="24"/>
        <v/>
      </c>
      <c r="R539" s="14" t="str">
        <f t="shared" si="24"/>
        <v/>
      </c>
      <c r="S539" s="14" t="str">
        <f t="shared" si="25"/>
        <v/>
      </c>
      <c r="T539" s="14" t="s">
        <v>72</v>
      </c>
      <c r="U539" s="14">
        <v>2547.6715102040648</v>
      </c>
      <c r="V539">
        <v>8635</v>
      </c>
      <c r="W539">
        <v>16.852807617187501</v>
      </c>
      <c r="X539">
        <v>47.866371401717899</v>
      </c>
      <c r="Y539">
        <v>1.0017586760923001</v>
      </c>
      <c r="Z539" s="31">
        <v>0.32829386617655998</v>
      </c>
      <c r="AA539">
        <v>5.0404293134515603</v>
      </c>
      <c r="AB539">
        <v>0.08</v>
      </c>
      <c r="AC539">
        <v>422281.52031957201</v>
      </c>
      <c r="AD539">
        <v>483216.74370168633</v>
      </c>
      <c r="AE539">
        <v>1</v>
      </c>
      <c r="AF539">
        <v>51862.303181552117</v>
      </c>
      <c r="AG539">
        <v>420781.40981552709</v>
      </c>
    </row>
    <row r="540" spans="2:33" hidden="1" x14ac:dyDescent="0.25">
      <c r="B540">
        <v>11</v>
      </c>
      <c r="C540" t="s">
        <v>40</v>
      </c>
      <c r="D540" t="s">
        <v>41</v>
      </c>
      <c r="E540" t="s">
        <v>69</v>
      </c>
      <c r="F540">
        <v>127904</v>
      </c>
      <c r="G540">
        <v>208663</v>
      </c>
      <c r="H540">
        <v>55</v>
      </c>
      <c r="I540">
        <v>121</v>
      </c>
      <c r="J540">
        <v>0.49989696304567649</v>
      </c>
      <c r="K540">
        <v>667808</v>
      </c>
      <c r="L540">
        <v>139946</v>
      </c>
      <c r="M540">
        <v>148</v>
      </c>
      <c r="N540">
        <v>36372</v>
      </c>
      <c r="O540" s="43">
        <v>81247367.520000011</v>
      </c>
      <c r="P540" s="14">
        <f t="shared" si="26"/>
        <v>1945359.5040000081</v>
      </c>
      <c r="Q540" s="14" t="str">
        <f t="shared" si="24"/>
        <v/>
      </c>
      <c r="R540" s="14" t="str">
        <f t="shared" si="24"/>
        <v/>
      </c>
      <c r="S540" s="14" t="str">
        <f t="shared" si="25"/>
        <v/>
      </c>
      <c r="T540" s="14" t="s">
        <v>72</v>
      </c>
      <c r="U540" s="14">
        <v>16077.351272727339</v>
      </c>
      <c r="V540">
        <v>8635</v>
      </c>
      <c r="W540">
        <v>15.23232421875</v>
      </c>
      <c r="X540">
        <v>30.7649126827244</v>
      </c>
      <c r="Y540">
        <v>1.1998903402821199</v>
      </c>
      <c r="Z540" s="31">
        <v>0.91185615080531002</v>
      </c>
      <c r="AA540">
        <v>1.7777130252922</v>
      </c>
      <c r="AB540">
        <v>0.08</v>
      </c>
      <c r="AC540">
        <v>422281.52031957201</v>
      </c>
      <c r="AD540">
        <v>483216.74370168633</v>
      </c>
      <c r="AE540">
        <v>1</v>
      </c>
      <c r="AF540">
        <v>51862.303181552117</v>
      </c>
      <c r="AG540">
        <v>420781.40981552709</v>
      </c>
    </row>
    <row r="541" spans="2:33" hidden="1" x14ac:dyDescent="0.25">
      <c r="B541">
        <v>11</v>
      </c>
      <c r="C541" t="s">
        <v>40</v>
      </c>
      <c r="D541" t="s">
        <v>41</v>
      </c>
      <c r="E541" t="s">
        <v>69</v>
      </c>
      <c r="F541">
        <v>130081</v>
      </c>
      <c r="G541">
        <v>208663</v>
      </c>
      <c r="H541">
        <v>56</v>
      </c>
      <c r="I541">
        <v>324</v>
      </c>
      <c r="J541">
        <v>1.1893723372135929</v>
      </c>
      <c r="K541">
        <v>667808</v>
      </c>
      <c r="L541">
        <v>139946</v>
      </c>
      <c r="M541">
        <v>148</v>
      </c>
      <c r="N541">
        <v>36372</v>
      </c>
      <c r="O541" s="43">
        <v>82963861.200000003</v>
      </c>
      <c r="P541" s="14">
        <f t="shared" si="26"/>
        <v>1716493.6799999923</v>
      </c>
      <c r="Q541" s="14" t="str">
        <f t="shared" si="24"/>
        <v/>
      </c>
      <c r="R541" s="14" t="str">
        <f t="shared" si="24"/>
        <v/>
      </c>
      <c r="S541" s="14" t="str">
        <f t="shared" si="25"/>
        <v/>
      </c>
      <c r="T541" s="14" t="s">
        <v>72</v>
      </c>
      <c r="U541" s="14">
        <v>5297.8199999999761</v>
      </c>
      <c r="V541">
        <v>8635</v>
      </c>
      <c r="W541">
        <v>19.680810546875001</v>
      </c>
      <c r="X541">
        <v>20.894954389999999</v>
      </c>
      <c r="Y541">
        <v>1.8149644187777401</v>
      </c>
      <c r="Z541" s="31">
        <v>0.33981720400040799</v>
      </c>
      <c r="AA541">
        <v>2.09769490591985</v>
      </c>
      <c r="AB541">
        <v>0.08</v>
      </c>
      <c r="AC541">
        <v>422281.52031957201</v>
      </c>
      <c r="AD541">
        <v>483216.74370168633</v>
      </c>
      <c r="AE541">
        <v>1</v>
      </c>
      <c r="AF541">
        <v>51862.303181552117</v>
      </c>
      <c r="AG541">
        <v>420781.40981552709</v>
      </c>
    </row>
    <row r="542" spans="2:33" hidden="1" x14ac:dyDescent="0.25">
      <c r="B542">
        <v>11</v>
      </c>
      <c r="C542" t="s">
        <v>40</v>
      </c>
      <c r="D542" t="s">
        <v>41</v>
      </c>
      <c r="E542" t="s">
        <v>69</v>
      </c>
      <c r="F542">
        <v>132653</v>
      </c>
      <c r="G542">
        <v>208663</v>
      </c>
      <c r="H542">
        <v>57</v>
      </c>
      <c r="I542">
        <v>1579</v>
      </c>
      <c r="J542">
        <v>1.4051748513152791</v>
      </c>
      <c r="K542">
        <v>667808</v>
      </c>
      <c r="L542">
        <v>139946</v>
      </c>
      <c r="M542">
        <v>148</v>
      </c>
      <c r="N542">
        <v>36372</v>
      </c>
      <c r="O542" s="43">
        <v>84680354.88000001</v>
      </c>
      <c r="P542" s="14">
        <f t="shared" si="26"/>
        <v>1716493.6800000072</v>
      </c>
      <c r="Q542" s="14" t="str">
        <f t="shared" si="24"/>
        <v/>
      </c>
      <c r="R542" s="14" t="str">
        <f t="shared" si="24"/>
        <v/>
      </c>
      <c r="S542" s="14" t="str">
        <f t="shared" si="25"/>
        <v/>
      </c>
      <c r="T542" s="14" t="s">
        <v>72</v>
      </c>
      <c r="U542" s="14">
        <v>1087.0764281190673</v>
      </c>
      <c r="V542">
        <v>8635</v>
      </c>
      <c r="W542">
        <v>16.674035644531202</v>
      </c>
      <c r="X542">
        <v>36.5495837016935</v>
      </c>
      <c r="Y542">
        <v>1.20556653657322</v>
      </c>
      <c r="Z542" s="31">
        <v>1.8429385934010201</v>
      </c>
      <c r="AA542">
        <v>4.0505132606353298</v>
      </c>
      <c r="AB542">
        <v>0.08</v>
      </c>
      <c r="AC542">
        <v>422281.52031957201</v>
      </c>
      <c r="AD542">
        <v>483216.74370168633</v>
      </c>
      <c r="AE542">
        <v>1</v>
      </c>
      <c r="AF542">
        <v>51862.303181552117</v>
      </c>
      <c r="AG542">
        <v>420781.40981552709</v>
      </c>
    </row>
    <row r="543" spans="2:33" hidden="1" x14ac:dyDescent="0.25">
      <c r="B543">
        <v>11</v>
      </c>
      <c r="C543" t="s">
        <v>40</v>
      </c>
      <c r="D543" t="s">
        <v>41</v>
      </c>
      <c r="E543" t="s">
        <v>69</v>
      </c>
      <c r="F543">
        <v>132653</v>
      </c>
      <c r="G543">
        <v>208663</v>
      </c>
      <c r="H543">
        <v>58</v>
      </c>
      <c r="I543">
        <v>915</v>
      </c>
      <c r="J543">
        <v>0</v>
      </c>
      <c r="K543">
        <v>667808</v>
      </c>
      <c r="L543">
        <v>139946</v>
      </c>
      <c r="M543">
        <v>148</v>
      </c>
      <c r="N543">
        <v>36372</v>
      </c>
      <c r="O543" s="43">
        <v>86625714.384000003</v>
      </c>
      <c r="P543" s="14">
        <f t="shared" si="26"/>
        <v>1945359.5039999932</v>
      </c>
      <c r="Q543" s="14" t="str">
        <f t="shared" si="24"/>
        <v/>
      </c>
      <c r="R543" s="14" t="str">
        <f t="shared" si="24"/>
        <v/>
      </c>
      <c r="S543" s="14" t="str">
        <f t="shared" si="25"/>
        <v/>
      </c>
      <c r="T543" s="14" t="s">
        <v>72</v>
      </c>
      <c r="U543" s="14">
        <v>2126.0759606557303</v>
      </c>
      <c r="V543">
        <v>8635</v>
      </c>
      <c r="W543">
        <v>16.482080078125001</v>
      </c>
      <c r="X543">
        <v>36.104454531952797</v>
      </c>
      <c r="Y543">
        <v>1.1993224565373699</v>
      </c>
      <c r="Z543" s="31">
        <v>1.8012082675557399</v>
      </c>
      <c r="AA543">
        <v>6.1203345803912601</v>
      </c>
      <c r="AB543">
        <v>0.08</v>
      </c>
      <c r="AC543">
        <v>422281.52031957201</v>
      </c>
      <c r="AD543">
        <v>483216.74370168633</v>
      </c>
      <c r="AE543">
        <v>1</v>
      </c>
      <c r="AF543">
        <v>51862.303181552117</v>
      </c>
      <c r="AG543">
        <v>420781.40981552709</v>
      </c>
    </row>
    <row r="544" spans="2:33" hidden="1" x14ac:dyDescent="0.25">
      <c r="B544">
        <v>11</v>
      </c>
      <c r="C544" t="s">
        <v>40</v>
      </c>
      <c r="D544" t="s">
        <v>41</v>
      </c>
      <c r="E544" t="s">
        <v>69</v>
      </c>
      <c r="F544">
        <v>133409</v>
      </c>
      <c r="G544">
        <v>208663</v>
      </c>
      <c r="H544">
        <v>59</v>
      </c>
      <c r="I544">
        <v>2177</v>
      </c>
      <c r="J544">
        <v>0.41302962192626391</v>
      </c>
      <c r="K544">
        <v>667808</v>
      </c>
      <c r="L544">
        <v>139946</v>
      </c>
      <c r="M544">
        <v>148</v>
      </c>
      <c r="N544">
        <v>36372</v>
      </c>
      <c r="O544" s="43">
        <v>88456640.976000011</v>
      </c>
      <c r="P544" s="14">
        <f t="shared" si="26"/>
        <v>1830926.5920000076</v>
      </c>
      <c r="Q544" s="14" t="str">
        <f t="shared" si="24"/>
        <v/>
      </c>
      <c r="R544" s="14" t="str">
        <f t="shared" si="24"/>
        <v/>
      </c>
      <c r="S544" s="14" t="str">
        <f t="shared" si="25"/>
        <v/>
      </c>
      <c r="T544" s="14" t="s">
        <v>72</v>
      </c>
      <c r="U544" s="14">
        <v>841.03196692696724</v>
      </c>
      <c r="V544">
        <v>8635</v>
      </c>
      <c r="W544">
        <v>16.514550781250001</v>
      </c>
      <c r="X544">
        <v>41.187405893005099</v>
      </c>
      <c r="Y544">
        <v>1.1061649662603701</v>
      </c>
      <c r="Z544" s="31">
        <v>0.89950996339635103</v>
      </c>
      <c r="AA544">
        <v>1.1580402954760101</v>
      </c>
      <c r="AB544">
        <v>0.08</v>
      </c>
      <c r="AC544">
        <v>422281.52031957201</v>
      </c>
      <c r="AD544">
        <v>483216.74370168633</v>
      </c>
      <c r="AE544">
        <v>1</v>
      </c>
      <c r="AF544">
        <v>51862.303181552117</v>
      </c>
      <c r="AG544">
        <v>420781.40981552709</v>
      </c>
    </row>
    <row r="545" spans="2:33" hidden="1" x14ac:dyDescent="0.25">
      <c r="B545">
        <v>11</v>
      </c>
      <c r="C545" t="s">
        <v>40</v>
      </c>
      <c r="D545" t="s">
        <v>41</v>
      </c>
      <c r="E545" t="s">
        <v>69</v>
      </c>
      <c r="F545">
        <v>133409</v>
      </c>
      <c r="G545">
        <v>208663</v>
      </c>
      <c r="H545">
        <v>60</v>
      </c>
      <c r="I545">
        <v>2572</v>
      </c>
      <c r="J545">
        <v>0</v>
      </c>
      <c r="K545">
        <v>667808</v>
      </c>
      <c r="L545">
        <v>139946</v>
      </c>
      <c r="M545">
        <v>148</v>
      </c>
      <c r="N545">
        <v>36372</v>
      </c>
      <c r="O545" s="43">
        <v>90058701.744000003</v>
      </c>
      <c r="P545" s="14">
        <f t="shared" si="26"/>
        <v>1602060.7679999918</v>
      </c>
      <c r="Q545" s="14" t="str">
        <f t="shared" si="24"/>
        <v/>
      </c>
      <c r="R545" s="14" t="str">
        <f t="shared" si="24"/>
        <v/>
      </c>
      <c r="S545" s="14" t="str">
        <f t="shared" si="25"/>
        <v/>
      </c>
      <c r="T545" s="14" t="s">
        <v>72</v>
      </c>
      <c r="U545" s="14">
        <v>622.88521306376038</v>
      </c>
      <c r="V545">
        <v>8635</v>
      </c>
      <c r="W545">
        <v>16.054956054687501</v>
      </c>
      <c r="X545">
        <v>45.061351355310698</v>
      </c>
      <c r="Y545">
        <v>1.0035034140000001</v>
      </c>
      <c r="Z545" s="31">
        <v>0.92405872133475397</v>
      </c>
      <c r="AA545">
        <v>1.89404542828897</v>
      </c>
      <c r="AB545">
        <v>0.08</v>
      </c>
      <c r="AC545">
        <v>422281.52031957201</v>
      </c>
      <c r="AD545">
        <v>483216.74370168633</v>
      </c>
      <c r="AE545">
        <v>1</v>
      </c>
      <c r="AF545">
        <v>51862.303181552117</v>
      </c>
      <c r="AG545">
        <v>420781.40981552709</v>
      </c>
    </row>
    <row r="546" spans="2:33" hidden="1" x14ac:dyDescent="0.25">
      <c r="B546">
        <v>11</v>
      </c>
      <c r="C546" t="s">
        <v>40</v>
      </c>
      <c r="D546" t="s">
        <v>41</v>
      </c>
      <c r="E546" t="s">
        <v>69</v>
      </c>
      <c r="F546">
        <v>133813</v>
      </c>
      <c r="G546">
        <v>208663</v>
      </c>
      <c r="H546">
        <v>61</v>
      </c>
      <c r="I546">
        <v>0</v>
      </c>
      <c r="J546">
        <v>0.22071953341033149</v>
      </c>
      <c r="K546">
        <v>667808</v>
      </c>
      <c r="L546">
        <v>139946</v>
      </c>
      <c r="M546">
        <v>148</v>
      </c>
      <c r="N546">
        <v>36372</v>
      </c>
      <c r="O546" s="43">
        <v>92576225.808000013</v>
      </c>
      <c r="P546" s="14">
        <f t="shared" si="26"/>
        <v>2517524.0640000105</v>
      </c>
      <c r="Q546" s="14" t="str">
        <f t="shared" si="24"/>
        <v/>
      </c>
      <c r="R546" s="14" t="str">
        <f t="shared" si="24"/>
        <v/>
      </c>
      <c r="S546" s="14" t="str">
        <f t="shared" si="25"/>
        <v/>
      </c>
      <c r="T546" s="14" t="s">
        <v>72</v>
      </c>
      <c r="U546" s="14">
        <v>0</v>
      </c>
      <c r="V546">
        <v>8635</v>
      </c>
      <c r="W546">
        <v>1.7354370117187701</v>
      </c>
      <c r="X546">
        <v>51.645590198593602</v>
      </c>
      <c r="Y546">
        <v>0.33576478279607502</v>
      </c>
      <c r="Z546" s="31">
        <v>5.1419879749334898</v>
      </c>
      <c r="AA546">
        <v>13.5356139806883</v>
      </c>
      <c r="AB546">
        <v>0.08</v>
      </c>
      <c r="AC546">
        <v>422281.52031957201</v>
      </c>
      <c r="AD546">
        <v>483216.74370168633</v>
      </c>
      <c r="AE546">
        <v>1</v>
      </c>
      <c r="AF546">
        <v>51862.303181552117</v>
      </c>
      <c r="AG546">
        <v>420781.40981552709</v>
      </c>
    </row>
    <row r="547" spans="2:33" hidden="1" x14ac:dyDescent="0.25">
      <c r="B547">
        <v>11</v>
      </c>
      <c r="C547" t="s">
        <v>40</v>
      </c>
      <c r="D547" t="s">
        <v>41</v>
      </c>
      <c r="E547" t="s">
        <v>69</v>
      </c>
      <c r="F547">
        <v>134371</v>
      </c>
      <c r="G547">
        <v>208663</v>
      </c>
      <c r="H547">
        <v>62</v>
      </c>
      <c r="I547">
        <v>756</v>
      </c>
      <c r="J547">
        <v>0.30485519713605191</v>
      </c>
      <c r="K547">
        <v>667808</v>
      </c>
      <c r="L547">
        <v>139946</v>
      </c>
      <c r="M547">
        <v>148</v>
      </c>
      <c r="N547">
        <v>36372</v>
      </c>
      <c r="O547" s="43">
        <v>93720554.928000003</v>
      </c>
      <c r="P547" s="14">
        <f t="shared" si="26"/>
        <v>1144329.1199999899</v>
      </c>
      <c r="Q547" s="14" t="str">
        <f t="shared" si="24"/>
        <v/>
      </c>
      <c r="R547" s="14" t="str">
        <f t="shared" si="24"/>
        <v/>
      </c>
      <c r="S547" s="14" t="str">
        <f t="shared" si="25"/>
        <v/>
      </c>
      <c r="T547" s="14" t="s">
        <v>72</v>
      </c>
      <c r="U547" s="14">
        <v>1513.6628571428437</v>
      </c>
      <c r="V547">
        <v>8635</v>
      </c>
      <c r="W547">
        <v>12.5588623046875</v>
      </c>
      <c r="X547">
        <v>21.0597535003002</v>
      </c>
      <c r="Y547">
        <v>1.1501984579134199</v>
      </c>
      <c r="Z547" s="31">
        <v>4.21397672703658</v>
      </c>
      <c r="AA547">
        <v>13.648993904192899</v>
      </c>
      <c r="AB547">
        <v>0.08</v>
      </c>
      <c r="AC547">
        <v>422281.52031957201</v>
      </c>
      <c r="AD547">
        <v>483216.74370168633</v>
      </c>
      <c r="AE547">
        <v>1</v>
      </c>
      <c r="AF547">
        <v>51862.303181552117</v>
      </c>
      <c r="AG547">
        <v>420781.40981552709</v>
      </c>
    </row>
    <row r="548" spans="2:33" hidden="1" x14ac:dyDescent="0.25">
      <c r="B548">
        <v>11</v>
      </c>
      <c r="C548" t="s">
        <v>40</v>
      </c>
      <c r="D548" t="s">
        <v>41</v>
      </c>
      <c r="E548" t="s">
        <v>69</v>
      </c>
      <c r="F548">
        <v>135835</v>
      </c>
      <c r="G548">
        <v>208663</v>
      </c>
      <c r="H548">
        <v>63</v>
      </c>
      <c r="I548">
        <v>0</v>
      </c>
      <c r="J548">
        <v>0.7998351408730825</v>
      </c>
      <c r="K548">
        <v>667808</v>
      </c>
      <c r="L548">
        <v>139946</v>
      </c>
      <c r="M548">
        <v>148</v>
      </c>
      <c r="N548">
        <v>36372</v>
      </c>
      <c r="O548" s="43">
        <v>96238078.992000014</v>
      </c>
      <c r="P548" s="14">
        <f t="shared" si="26"/>
        <v>2517524.0640000105</v>
      </c>
      <c r="Q548" s="14" t="str">
        <f t="shared" si="24"/>
        <v/>
      </c>
      <c r="R548" s="14" t="str">
        <f t="shared" si="24"/>
        <v/>
      </c>
      <c r="S548" s="14" t="str">
        <f t="shared" si="25"/>
        <v/>
      </c>
      <c r="T548" s="14" t="s">
        <v>72</v>
      </c>
      <c r="U548" s="14">
        <v>0</v>
      </c>
      <c r="V548">
        <v>8635</v>
      </c>
      <c r="W548">
        <v>14.468408203125</v>
      </c>
      <c r="X548">
        <v>25.050190744477099</v>
      </c>
      <c r="Y548">
        <v>1.23658291298375</v>
      </c>
      <c r="Z548" s="31">
        <v>2.2124364670736201</v>
      </c>
      <c r="AA548">
        <v>9.2415293382005999</v>
      </c>
      <c r="AB548">
        <v>0.08</v>
      </c>
      <c r="AC548">
        <v>422281.52031957201</v>
      </c>
      <c r="AD548">
        <v>483216.74370168633</v>
      </c>
      <c r="AE548">
        <v>1</v>
      </c>
      <c r="AF548">
        <v>51862.303181552117</v>
      </c>
      <c r="AG548">
        <v>420781.40981552709</v>
      </c>
    </row>
    <row r="549" spans="2:33" hidden="1" x14ac:dyDescent="0.25">
      <c r="B549">
        <v>11</v>
      </c>
      <c r="C549" t="s">
        <v>40</v>
      </c>
      <c r="D549" t="s">
        <v>41</v>
      </c>
      <c r="E549" t="s">
        <v>69</v>
      </c>
      <c r="F549">
        <v>167153</v>
      </c>
      <c r="G549">
        <v>208663</v>
      </c>
      <c r="H549">
        <v>64</v>
      </c>
      <c r="I549">
        <v>404</v>
      </c>
      <c r="J549">
        <v>17.110134523130601</v>
      </c>
      <c r="K549">
        <v>667808</v>
      </c>
      <c r="L549">
        <v>139946</v>
      </c>
      <c r="M549">
        <v>148</v>
      </c>
      <c r="N549">
        <v>36372</v>
      </c>
      <c r="O549" s="43">
        <v>98984468.88000001</v>
      </c>
      <c r="P549" s="14">
        <f t="shared" si="26"/>
        <v>2746389.8879999965</v>
      </c>
      <c r="Q549" s="14" t="str">
        <f t="shared" si="24"/>
        <v/>
      </c>
      <c r="R549" s="14" t="str">
        <f t="shared" si="24"/>
        <v/>
      </c>
      <c r="S549" s="14" t="str">
        <f t="shared" si="25"/>
        <v/>
      </c>
      <c r="T549" s="14" t="s">
        <v>72</v>
      </c>
      <c r="U549" s="14">
        <v>6797.9947722772195</v>
      </c>
      <c r="V549">
        <v>8635</v>
      </c>
      <c r="W549">
        <v>8.2415405273437106</v>
      </c>
      <c r="X549">
        <v>60.1575057761682</v>
      </c>
      <c r="Y549">
        <v>0.43537499899999998</v>
      </c>
      <c r="Z549" s="31">
        <v>1.2243953956889999</v>
      </c>
      <c r="AA549">
        <v>8.9769037471719706</v>
      </c>
      <c r="AB549">
        <v>0.08</v>
      </c>
      <c r="AC549">
        <v>422281.52031957201</v>
      </c>
      <c r="AD549">
        <v>483216.74370168633</v>
      </c>
      <c r="AE549">
        <v>1</v>
      </c>
      <c r="AF549">
        <v>51862.303181552117</v>
      </c>
      <c r="AG549">
        <v>420781.40981552709</v>
      </c>
    </row>
    <row r="550" spans="2:33" hidden="1" x14ac:dyDescent="0.25">
      <c r="B550">
        <v>11</v>
      </c>
      <c r="C550" t="s">
        <v>40</v>
      </c>
      <c r="D550" t="s">
        <v>41</v>
      </c>
      <c r="E550" t="s">
        <v>69</v>
      </c>
      <c r="F550">
        <v>187537</v>
      </c>
      <c r="G550">
        <v>208663</v>
      </c>
      <c r="H550">
        <v>65</v>
      </c>
      <c r="I550">
        <v>558</v>
      </c>
      <c r="J550">
        <v>11.136502398604449</v>
      </c>
      <c r="K550">
        <v>667808</v>
      </c>
      <c r="L550">
        <v>139946</v>
      </c>
      <c r="M550">
        <v>148</v>
      </c>
      <c r="N550">
        <v>36372</v>
      </c>
      <c r="O550" s="43">
        <v>101501992.94400001</v>
      </c>
      <c r="P550" s="14">
        <f t="shared" si="26"/>
        <v>2517524.0639999956</v>
      </c>
      <c r="Q550" s="14" t="str">
        <f t="shared" si="24"/>
        <v/>
      </c>
      <c r="R550" s="14" t="str">
        <f t="shared" si="24"/>
        <v/>
      </c>
      <c r="S550" s="14" t="str">
        <f t="shared" si="25"/>
        <v/>
      </c>
      <c r="T550" s="14" t="s">
        <v>72</v>
      </c>
      <c r="U550" s="14">
        <v>4511.6918709677338</v>
      </c>
      <c r="V550">
        <v>8635</v>
      </c>
      <c r="W550">
        <v>2.7817626953125201</v>
      </c>
      <c r="X550">
        <v>38.799039820449003</v>
      </c>
      <c r="Y550">
        <v>0.45779147824481897</v>
      </c>
      <c r="Z550" s="31">
        <v>0.99054214448522804</v>
      </c>
      <c r="AA550">
        <v>3.8899818512937498</v>
      </c>
      <c r="AB550">
        <v>0.08</v>
      </c>
      <c r="AC550">
        <v>422281.52031957201</v>
      </c>
      <c r="AD550">
        <v>483216.74370168633</v>
      </c>
      <c r="AE550">
        <v>1</v>
      </c>
      <c r="AF550">
        <v>51862.303181552117</v>
      </c>
      <c r="AG550">
        <v>420781.40981552709</v>
      </c>
    </row>
    <row r="551" spans="2:33" hidden="1" x14ac:dyDescent="0.25">
      <c r="B551">
        <v>11</v>
      </c>
      <c r="C551" t="s">
        <v>40</v>
      </c>
      <c r="D551" t="s">
        <v>41</v>
      </c>
      <c r="E551" t="s">
        <v>69</v>
      </c>
      <c r="F551">
        <v>203251</v>
      </c>
      <c r="G551">
        <v>208663</v>
      </c>
      <c r="H551">
        <v>66</v>
      </c>
      <c r="I551">
        <v>1464</v>
      </c>
      <c r="J551">
        <v>8.585115712895913</v>
      </c>
      <c r="K551">
        <v>667808</v>
      </c>
      <c r="L551">
        <v>139946</v>
      </c>
      <c r="M551">
        <v>148</v>
      </c>
      <c r="N551">
        <v>36372</v>
      </c>
      <c r="O551" s="43">
        <v>103676218.272</v>
      </c>
      <c r="P551" s="14">
        <f t="shared" si="26"/>
        <v>2174225.3279999942</v>
      </c>
      <c r="Q551" s="14" t="str">
        <f t="shared" si="24"/>
        <v/>
      </c>
      <c r="R551" s="14" t="str">
        <f t="shared" si="24"/>
        <v/>
      </c>
      <c r="S551" s="14" t="str">
        <f t="shared" si="25"/>
        <v/>
      </c>
      <c r="T551" s="14" t="s">
        <v>72</v>
      </c>
      <c r="U551" s="14">
        <v>1485.1265901639406</v>
      </c>
      <c r="V551">
        <v>8635</v>
      </c>
      <c r="W551">
        <v>9.4133544921875192</v>
      </c>
      <c r="X551">
        <v>33.677899249563801</v>
      </c>
      <c r="Y551">
        <v>0.78432063866986701</v>
      </c>
      <c r="Z551" s="31">
        <v>5.1344273545738401</v>
      </c>
      <c r="AA551">
        <v>15.4780007258748</v>
      </c>
      <c r="AB551">
        <v>0.08</v>
      </c>
      <c r="AC551">
        <v>422281.52031957201</v>
      </c>
      <c r="AD551">
        <v>483216.74370168633</v>
      </c>
      <c r="AE551">
        <v>1</v>
      </c>
      <c r="AF551">
        <v>51862.303181552117</v>
      </c>
      <c r="AG551">
        <v>420781.40981552709</v>
      </c>
    </row>
    <row r="552" spans="2:33" hidden="1" x14ac:dyDescent="0.25">
      <c r="B552">
        <v>11</v>
      </c>
      <c r="C552" t="s">
        <v>40</v>
      </c>
      <c r="D552" t="s">
        <v>41</v>
      </c>
      <c r="E552" t="s">
        <v>69</v>
      </c>
      <c r="F552">
        <v>203277</v>
      </c>
      <c r="G552">
        <v>208663</v>
      </c>
      <c r="H552">
        <v>67</v>
      </c>
      <c r="I552">
        <v>31318</v>
      </c>
      <c r="J552">
        <v>1.4204722447199549E-2</v>
      </c>
      <c r="K552">
        <v>667808</v>
      </c>
      <c r="L552">
        <v>139946</v>
      </c>
      <c r="M552">
        <v>148</v>
      </c>
      <c r="N552">
        <v>36372</v>
      </c>
      <c r="O552" s="43">
        <v>105278279.04000001</v>
      </c>
      <c r="P552" s="14">
        <f t="shared" si="26"/>
        <v>1602060.7680000067</v>
      </c>
      <c r="Q552" s="14" t="str">
        <f t="shared" si="24"/>
        <v/>
      </c>
      <c r="R552" s="14" t="str">
        <f t="shared" si="24"/>
        <v/>
      </c>
      <c r="S552" s="14" t="str">
        <f t="shared" si="25"/>
        <v/>
      </c>
      <c r="T552" s="14" t="s">
        <v>72</v>
      </c>
      <c r="U552" s="14">
        <v>51.154632096557627</v>
      </c>
      <c r="V552">
        <v>8635</v>
      </c>
      <c r="W552">
        <v>8.6741577148437106</v>
      </c>
      <c r="X552">
        <v>41.7674293059939</v>
      </c>
      <c r="Y552">
        <v>0.65521263417398201</v>
      </c>
      <c r="Z552">
        <v>2.9891607365131998</v>
      </c>
      <c r="AA552">
        <v>9.9974928139999992</v>
      </c>
      <c r="AB552">
        <v>0.08</v>
      </c>
      <c r="AC552">
        <v>422281.52031957201</v>
      </c>
      <c r="AD552">
        <v>483216.74370168633</v>
      </c>
      <c r="AE552">
        <v>1</v>
      </c>
      <c r="AF552">
        <v>51862.303181552117</v>
      </c>
      <c r="AG552">
        <v>420781.40981552709</v>
      </c>
    </row>
    <row r="553" spans="2:33" hidden="1" x14ac:dyDescent="0.25">
      <c r="B553">
        <v>11</v>
      </c>
      <c r="C553" t="s">
        <v>40</v>
      </c>
      <c r="D553" t="s">
        <v>41</v>
      </c>
      <c r="E553" t="s">
        <v>69</v>
      </c>
      <c r="F553">
        <v>205005</v>
      </c>
      <c r="G553">
        <v>208663</v>
      </c>
      <c r="H553">
        <v>68</v>
      </c>
      <c r="I553">
        <v>20384</v>
      </c>
      <c r="J553">
        <v>0.94406770726003175</v>
      </c>
      <c r="K553">
        <v>667808</v>
      </c>
      <c r="L553">
        <v>139946</v>
      </c>
      <c r="M553">
        <v>148</v>
      </c>
      <c r="N553">
        <v>36372</v>
      </c>
      <c r="O553" s="43">
        <v>107338071.456</v>
      </c>
      <c r="P553" s="14">
        <f t="shared" si="26"/>
        <v>2059792.4159999937</v>
      </c>
      <c r="Q553" s="14" t="str">
        <f t="shared" si="24"/>
        <v/>
      </c>
      <c r="R553" s="14" t="str">
        <f t="shared" si="24"/>
        <v/>
      </c>
      <c r="S553" s="14" t="str">
        <f t="shared" si="25"/>
        <v/>
      </c>
      <c r="T553" s="14" t="s">
        <v>72</v>
      </c>
      <c r="U553" s="14">
        <v>101.04947095761423</v>
      </c>
      <c r="V553">
        <v>8635</v>
      </c>
      <c r="W553">
        <v>5.6357055664062701</v>
      </c>
      <c r="X553">
        <v>74.130888958373305</v>
      </c>
      <c r="Y553">
        <v>0.236443962644936</v>
      </c>
      <c r="Z553" s="31">
        <v>0.37890696310438299</v>
      </c>
      <c r="AA553">
        <v>7.9561844991824797</v>
      </c>
      <c r="AB553">
        <v>0.08</v>
      </c>
      <c r="AC553">
        <v>422281.52031957201</v>
      </c>
      <c r="AD553">
        <v>483216.74370168633</v>
      </c>
      <c r="AE553">
        <v>1</v>
      </c>
      <c r="AF553">
        <v>51862.303181552117</v>
      </c>
      <c r="AG553">
        <v>420781.40981552709</v>
      </c>
    </row>
    <row r="554" spans="2:33" hidden="1" x14ac:dyDescent="0.25">
      <c r="B554">
        <v>11</v>
      </c>
      <c r="C554" t="s">
        <v>40</v>
      </c>
      <c r="D554" t="s">
        <v>41</v>
      </c>
      <c r="E554" t="s">
        <v>69</v>
      </c>
      <c r="F554">
        <v>205071</v>
      </c>
      <c r="G554">
        <v>208663</v>
      </c>
      <c r="H554">
        <v>69</v>
      </c>
      <c r="I554">
        <v>15714</v>
      </c>
      <c r="J554">
        <v>3.6058141596737321E-2</v>
      </c>
      <c r="K554">
        <v>667808</v>
      </c>
      <c r="L554">
        <v>139946</v>
      </c>
      <c r="M554">
        <v>148</v>
      </c>
      <c r="N554">
        <v>36372</v>
      </c>
      <c r="O554" s="43">
        <v>110313327.168</v>
      </c>
      <c r="P554" s="14">
        <f t="shared" si="26"/>
        <v>2975255.7119999975</v>
      </c>
      <c r="Q554" s="14" t="str">
        <f t="shared" si="24"/>
        <v/>
      </c>
      <c r="R554" s="14" t="str">
        <f t="shared" si="24"/>
        <v/>
      </c>
      <c r="S554" s="14" t="str">
        <f t="shared" si="25"/>
        <v/>
      </c>
      <c r="T554" s="14" t="s">
        <v>72</v>
      </c>
      <c r="U554" s="14">
        <v>189.33789690721633</v>
      </c>
      <c r="V554">
        <v>8635</v>
      </c>
      <c r="W554">
        <v>9.2965942382812692</v>
      </c>
      <c r="X554">
        <v>42.909841615168901</v>
      </c>
      <c r="Y554">
        <v>0.66990385021415699</v>
      </c>
      <c r="Z554" s="31">
        <v>0.76403832134676497</v>
      </c>
      <c r="AA554">
        <v>6.6374797894267799</v>
      </c>
      <c r="AB554">
        <v>0.08</v>
      </c>
      <c r="AC554">
        <v>422281.52031957201</v>
      </c>
      <c r="AD554">
        <v>483216.74370168633</v>
      </c>
      <c r="AE554">
        <v>1</v>
      </c>
      <c r="AF554">
        <v>51862.303181552117</v>
      </c>
      <c r="AG554">
        <v>420781.40981552709</v>
      </c>
    </row>
    <row r="555" spans="2:33" hidden="1" x14ac:dyDescent="0.25">
      <c r="B555">
        <v>11</v>
      </c>
      <c r="C555" t="s">
        <v>40</v>
      </c>
      <c r="D555" t="s">
        <v>41</v>
      </c>
      <c r="E555" t="s">
        <v>69</v>
      </c>
      <c r="F555">
        <v>206079</v>
      </c>
      <c r="G555">
        <v>208663</v>
      </c>
      <c r="H555">
        <v>70</v>
      </c>
      <c r="I555">
        <v>26</v>
      </c>
      <c r="J555">
        <v>0.55070616256835181</v>
      </c>
      <c r="K555">
        <v>667808</v>
      </c>
      <c r="L555">
        <v>139946</v>
      </c>
      <c r="M555">
        <v>148</v>
      </c>
      <c r="N555">
        <v>36372</v>
      </c>
      <c r="O555" s="43">
        <v>112830851.23199999</v>
      </c>
      <c r="P555" s="14">
        <f t="shared" si="26"/>
        <v>2517524.0639999956</v>
      </c>
      <c r="Q555" s="14" t="str">
        <f t="shared" si="24"/>
        <v/>
      </c>
      <c r="R555" s="14" t="str">
        <f t="shared" si="24"/>
        <v/>
      </c>
      <c r="S555" s="14" t="str">
        <f t="shared" si="25"/>
        <v/>
      </c>
      <c r="T555" s="14" t="s">
        <v>72</v>
      </c>
      <c r="U555" s="14">
        <v>96827.848615384442</v>
      </c>
      <c r="V555">
        <v>8635</v>
      </c>
      <c r="W555">
        <v>9.3027587890625192</v>
      </c>
      <c r="X555">
        <v>49.117307102271297</v>
      </c>
      <c r="Y555">
        <v>0.59732460499999995</v>
      </c>
      <c r="Z555" s="31">
        <v>1.8563944515141899</v>
      </c>
      <c r="AA555">
        <v>2.4433109069999999</v>
      </c>
      <c r="AB555">
        <v>0.08</v>
      </c>
      <c r="AC555">
        <v>422281.52031957201</v>
      </c>
      <c r="AD555">
        <v>483216.74370168633</v>
      </c>
      <c r="AE555">
        <v>1</v>
      </c>
      <c r="AF555">
        <v>51862.303181552117</v>
      </c>
      <c r="AG555">
        <v>420781.40981552709</v>
      </c>
    </row>
    <row r="556" spans="2:33" hidden="1" x14ac:dyDescent="0.25">
      <c r="B556">
        <v>11</v>
      </c>
      <c r="C556" t="s">
        <v>40</v>
      </c>
      <c r="D556" t="s">
        <v>41</v>
      </c>
      <c r="E556" t="s">
        <v>69</v>
      </c>
      <c r="F556">
        <v>207405</v>
      </c>
      <c r="G556">
        <v>208663</v>
      </c>
      <c r="H556">
        <v>71</v>
      </c>
      <c r="I556">
        <v>1728</v>
      </c>
      <c r="J556">
        <v>0.72444084480717719</v>
      </c>
      <c r="K556">
        <v>667808</v>
      </c>
      <c r="L556">
        <v>139946</v>
      </c>
      <c r="M556">
        <v>148</v>
      </c>
      <c r="N556">
        <v>36372</v>
      </c>
      <c r="O556" s="43">
        <v>115005076.56</v>
      </c>
      <c r="P556" s="14">
        <f t="shared" si="26"/>
        <v>2174225.3280000091</v>
      </c>
      <c r="Q556" s="14" t="str">
        <f t="shared" si="24"/>
        <v/>
      </c>
      <c r="R556" s="14" t="str">
        <f t="shared" si="24"/>
        <v/>
      </c>
      <c r="S556" s="14" t="str">
        <f t="shared" si="25"/>
        <v/>
      </c>
      <c r="T556" s="14" t="s">
        <v>72</v>
      </c>
      <c r="U556" s="14">
        <v>1258.2322499999966</v>
      </c>
      <c r="V556">
        <v>8635</v>
      </c>
      <c r="W556">
        <v>12.5201049804687</v>
      </c>
      <c r="X556">
        <v>44.303494425461302</v>
      </c>
      <c r="Y556">
        <v>0.80955541017158905</v>
      </c>
      <c r="Z556" s="31">
        <v>1.1147945368880801</v>
      </c>
      <c r="AA556">
        <v>2.9237140130000001</v>
      </c>
      <c r="AB556">
        <v>0.08</v>
      </c>
      <c r="AC556">
        <v>422281.52031957201</v>
      </c>
      <c r="AD556">
        <v>483216.74370168633</v>
      </c>
      <c r="AE556">
        <v>1</v>
      </c>
      <c r="AF556">
        <v>51862.303181552117</v>
      </c>
      <c r="AG556">
        <v>420781.40981552709</v>
      </c>
    </row>
    <row r="557" spans="2:33" hidden="1" x14ac:dyDescent="0.25">
      <c r="B557">
        <v>11</v>
      </c>
      <c r="C557" t="s">
        <v>40</v>
      </c>
      <c r="D557" t="s">
        <v>41</v>
      </c>
      <c r="E557" t="s">
        <v>69</v>
      </c>
      <c r="F557">
        <v>207464</v>
      </c>
      <c r="G557">
        <v>208663</v>
      </c>
      <c r="H557">
        <v>72</v>
      </c>
      <c r="I557">
        <v>66</v>
      </c>
      <c r="J557">
        <v>3.2233793245568222E-2</v>
      </c>
      <c r="K557">
        <v>667808</v>
      </c>
      <c r="L557">
        <v>139946</v>
      </c>
      <c r="M557">
        <v>148</v>
      </c>
      <c r="N557">
        <v>36372</v>
      </c>
      <c r="O557" s="43">
        <v>116492704.41599999</v>
      </c>
      <c r="P557" s="14">
        <f t="shared" si="26"/>
        <v>1487627.8559999913</v>
      </c>
      <c r="Q557" s="14" t="str">
        <f t="shared" si="24"/>
        <v/>
      </c>
      <c r="R557" s="14" t="str">
        <f t="shared" si="24"/>
        <v/>
      </c>
      <c r="S557" s="14" t="str">
        <f t="shared" si="25"/>
        <v/>
      </c>
      <c r="T557" s="14" t="s">
        <v>72</v>
      </c>
      <c r="U557" s="14">
        <v>22539.816000000093</v>
      </c>
      <c r="V557">
        <v>8635</v>
      </c>
      <c r="W557">
        <v>-4.5135253909999999</v>
      </c>
      <c r="X557">
        <v>89.254441046525898</v>
      </c>
      <c r="Y557">
        <v>4.7161397000000001E-2</v>
      </c>
      <c r="Z557" s="31">
        <v>2.65171898537346</v>
      </c>
      <c r="AA557">
        <v>1.5582993992493701</v>
      </c>
      <c r="AB557">
        <v>0.08</v>
      </c>
      <c r="AC557">
        <v>422281.52031957201</v>
      </c>
      <c r="AD557">
        <v>483216.74370168633</v>
      </c>
      <c r="AE557">
        <v>1</v>
      </c>
      <c r="AF557">
        <v>51862.303181552117</v>
      </c>
      <c r="AG557">
        <v>420781.40981552709</v>
      </c>
    </row>
    <row r="558" spans="2:33" hidden="1" x14ac:dyDescent="0.25">
      <c r="B558">
        <v>11</v>
      </c>
      <c r="C558" t="s">
        <v>40</v>
      </c>
      <c r="D558" t="s">
        <v>41</v>
      </c>
      <c r="E558" t="s">
        <v>69</v>
      </c>
      <c r="F558">
        <v>208220</v>
      </c>
      <c r="G558">
        <v>208663</v>
      </c>
      <c r="H558">
        <v>73</v>
      </c>
      <c r="I558">
        <v>1008</v>
      </c>
      <c r="J558">
        <v>0.41302962192626391</v>
      </c>
      <c r="K558">
        <v>667808</v>
      </c>
      <c r="L558">
        <v>139946</v>
      </c>
      <c r="M558">
        <v>148</v>
      </c>
      <c r="N558">
        <v>36372</v>
      </c>
      <c r="O558" s="43">
        <v>119239094.30400001</v>
      </c>
      <c r="P558" s="14">
        <f t="shared" si="26"/>
        <v>2746389.8880000114</v>
      </c>
      <c r="Q558" s="14" t="str">
        <f t="shared" si="24"/>
        <v/>
      </c>
      <c r="R558" s="14" t="str">
        <f t="shared" si="24"/>
        <v/>
      </c>
      <c r="S558" s="14" t="str">
        <f t="shared" si="25"/>
        <v/>
      </c>
      <c r="T558" s="14" t="s">
        <v>72</v>
      </c>
      <c r="U558" s="14">
        <v>2724.5931428571394</v>
      </c>
      <c r="V558">
        <v>8635</v>
      </c>
      <c r="W558">
        <v>-3.629675293</v>
      </c>
      <c r="X558">
        <v>74.200074499999999</v>
      </c>
      <c r="Y558">
        <v>0.120989912463573</v>
      </c>
      <c r="Z558" s="31">
        <v>1.1159674216347699</v>
      </c>
      <c r="AA558">
        <v>6.3818523340000004</v>
      </c>
      <c r="AB558">
        <v>0.08</v>
      </c>
      <c r="AC558">
        <v>422281.52031957201</v>
      </c>
      <c r="AD558">
        <v>483216.74370168633</v>
      </c>
      <c r="AE558">
        <v>1</v>
      </c>
      <c r="AF558">
        <v>51862.303181552117</v>
      </c>
      <c r="AG558">
        <v>420781.40981552709</v>
      </c>
    </row>
    <row r="559" spans="2:33" hidden="1" x14ac:dyDescent="0.25">
      <c r="B559">
        <v>11</v>
      </c>
      <c r="C559" t="s">
        <v>40</v>
      </c>
      <c r="D559" t="s">
        <v>41</v>
      </c>
      <c r="E559" t="s">
        <v>69</v>
      </c>
      <c r="F559">
        <v>208663</v>
      </c>
      <c r="G559">
        <v>208663</v>
      </c>
      <c r="H559">
        <v>74</v>
      </c>
      <c r="I559">
        <v>1326</v>
      </c>
      <c r="J559">
        <v>0.2420266170811308</v>
      </c>
      <c r="K559">
        <v>667808</v>
      </c>
      <c r="L559">
        <v>139946</v>
      </c>
      <c r="M559">
        <v>148</v>
      </c>
      <c r="N559">
        <v>36372</v>
      </c>
      <c r="O559" s="43">
        <v>121070020.896</v>
      </c>
      <c r="P559" s="14">
        <f t="shared" si="26"/>
        <v>1830926.5919999927</v>
      </c>
      <c r="Q559" s="14" t="str">
        <f t="shared" si="24"/>
        <v/>
      </c>
      <c r="R559" s="14" t="str">
        <f t="shared" si="24"/>
        <v/>
      </c>
      <c r="S559" s="14" t="str">
        <f t="shared" si="25"/>
        <v/>
      </c>
      <c r="T559" s="14" t="s">
        <v>72</v>
      </c>
      <c r="U559" s="14">
        <v>1380.7892850678791</v>
      </c>
      <c r="V559">
        <v>8635</v>
      </c>
      <c r="W559">
        <v>3.7445312500000201</v>
      </c>
      <c r="X559">
        <v>60.766479983258598</v>
      </c>
      <c r="Y559">
        <v>0.314216492550844</v>
      </c>
      <c r="Z559" s="31">
        <v>0.91185748902571595</v>
      </c>
      <c r="AA559">
        <v>2.8093378835132099</v>
      </c>
      <c r="AB559">
        <v>0.08</v>
      </c>
      <c r="AC559">
        <v>422281.52031957201</v>
      </c>
      <c r="AD559">
        <v>483216.74370168633</v>
      </c>
      <c r="AE559">
        <v>1</v>
      </c>
      <c r="AF559">
        <v>51862.303181552117</v>
      </c>
      <c r="AG559">
        <v>420781.40981552709</v>
      </c>
    </row>
    <row r="560" spans="2:33" hidden="1" x14ac:dyDescent="0.25">
      <c r="B560">
        <v>11</v>
      </c>
      <c r="C560" t="s">
        <v>40</v>
      </c>
      <c r="D560" t="s">
        <v>41</v>
      </c>
      <c r="E560" t="s">
        <v>69</v>
      </c>
      <c r="F560">
        <v>208663</v>
      </c>
      <c r="G560">
        <v>208663</v>
      </c>
      <c r="H560">
        <v>75</v>
      </c>
      <c r="I560">
        <v>59</v>
      </c>
      <c r="J560">
        <v>0</v>
      </c>
      <c r="K560">
        <v>667808</v>
      </c>
      <c r="L560">
        <v>139946</v>
      </c>
      <c r="M560">
        <v>148</v>
      </c>
      <c r="N560">
        <v>36372</v>
      </c>
      <c r="O560" s="43">
        <v>122443215.84</v>
      </c>
      <c r="P560" s="14">
        <f t="shared" si="26"/>
        <v>1373194.9440000057</v>
      </c>
      <c r="Q560" s="14" t="str">
        <f t="shared" si="24"/>
        <v/>
      </c>
      <c r="R560" s="14" t="str">
        <f t="shared" si="24"/>
        <v/>
      </c>
      <c r="S560" s="14" t="str">
        <f t="shared" si="25"/>
        <v/>
      </c>
      <c r="T560" s="14" t="s">
        <v>72</v>
      </c>
      <c r="U560" s="14">
        <v>23274.49057627103</v>
      </c>
      <c r="V560">
        <v>8635</v>
      </c>
      <c r="W560">
        <v>-19.474432369999999</v>
      </c>
      <c r="X560">
        <v>86.758846730484606</v>
      </c>
      <c r="Y560">
        <v>1.7397134103411298E-2</v>
      </c>
      <c r="Z560" s="31">
        <v>1.081686567</v>
      </c>
      <c r="AA560">
        <v>1.8973757785587899</v>
      </c>
      <c r="AB560">
        <v>0.08</v>
      </c>
      <c r="AC560">
        <v>422281.52031957201</v>
      </c>
      <c r="AD560">
        <v>483216.74370168633</v>
      </c>
      <c r="AE560">
        <v>1</v>
      </c>
      <c r="AF560">
        <v>51862.303181552117</v>
      </c>
      <c r="AG560">
        <v>420781.40981552709</v>
      </c>
    </row>
    <row r="561" spans="2:33" hidden="1" x14ac:dyDescent="0.25">
      <c r="B561">
        <v>11</v>
      </c>
      <c r="C561" t="s">
        <v>40</v>
      </c>
      <c r="D561" t="s">
        <v>41</v>
      </c>
      <c r="E561" t="s">
        <v>69</v>
      </c>
      <c r="F561">
        <v>208663</v>
      </c>
      <c r="G561">
        <v>208663</v>
      </c>
      <c r="H561">
        <v>76</v>
      </c>
      <c r="I561">
        <v>756</v>
      </c>
      <c r="J561">
        <v>0</v>
      </c>
      <c r="K561">
        <v>667808</v>
      </c>
      <c r="L561">
        <v>139946</v>
      </c>
      <c r="M561">
        <v>148</v>
      </c>
      <c r="N561">
        <v>36372</v>
      </c>
      <c r="O561" s="43">
        <v>124045276.608</v>
      </c>
      <c r="P561" s="14">
        <f t="shared" si="26"/>
        <v>1602060.7679999918</v>
      </c>
      <c r="Q561" s="14" t="str">
        <f t="shared" si="24"/>
        <v/>
      </c>
      <c r="R561" s="14" t="str">
        <f t="shared" si="24"/>
        <v/>
      </c>
      <c r="S561" s="14" t="str">
        <f t="shared" si="25"/>
        <v/>
      </c>
      <c r="T561" s="14" t="s">
        <v>72</v>
      </c>
      <c r="U561" s="14">
        <v>2119.1280000000088</v>
      </c>
      <c r="V561">
        <v>8635</v>
      </c>
      <c r="W561">
        <v>-13.450079349999999</v>
      </c>
      <c r="X561">
        <v>86.073298778808606</v>
      </c>
      <c r="Y561">
        <v>3.0320199803244699E-2</v>
      </c>
      <c r="Z561" s="31">
        <v>2.0576585400910998</v>
      </c>
      <c r="AA561">
        <v>4.7763478613220398</v>
      </c>
      <c r="AB561">
        <v>0.08</v>
      </c>
      <c r="AC561">
        <v>422281.52031957201</v>
      </c>
      <c r="AD561">
        <v>483216.74370168633</v>
      </c>
      <c r="AE561">
        <v>1</v>
      </c>
      <c r="AF561">
        <v>51862.303181552117</v>
      </c>
      <c r="AG561">
        <v>420781.40981552709</v>
      </c>
    </row>
    <row r="562" spans="2:33" hidden="1" x14ac:dyDescent="0.25">
      <c r="B562">
        <v>11</v>
      </c>
      <c r="C562" t="s">
        <v>40</v>
      </c>
      <c r="D562" t="s">
        <v>41</v>
      </c>
      <c r="E562" t="s">
        <v>69</v>
      </c>
      <c r="F562">
        <v>208663</v>
      </c>
      <c r="G562">
        <v>208663</v>
      </c>
      <c r="H562">
        <v>77</v>
      </c>
      <c r="I562">
        <v>443</v>
      </c>
      <c r="J562">
        <v>0</v>
      </c>
      <c r="K562">
        <v>667808</v>
      </c>
      <c r="L562">
        <v>139946</v>
      </c>
      <c r="M562">
        <v>148</v>
      </c>
      <c r="N562">
        <v>36372</v>
      </c>
      <c r="O562" s="43">
        <v>125761770.288</v>
      </c>
      <c r="P562" s="14">
        <f t="shared" si="26"/>
        <v>1716493.6800000072</v>
      </c>
      <c r="Q562" s="14" t="str">
        <f t="shared" si="24"/>
        <v/>
      </c>
      <c r="R562" s="14" t="str">
        <f t="shared" si="24"/>
        <v/>
      </c>
      <c r="S562" s="14" t="str">
        <f t="shared" si="25"/>
        <v/>
      </c>
      <c r="T562" s="14" t="s">
        <v>72</v>
      </c>
      <c r="U562" s="14">
        <v>3874.7035665914045</v>
      </c>
      <c r="V562">
        <v>8635</v>
      </c>
      <c r="W562">
        <v>-2.0120605469999999</v>
      </c>
      <c r="X562">
        <v>65.100881608216696</v>
      </c>
      <c r="Y562">
        <v>0.18456149236602301</v>
      </c>
      <c r="Z562" s="31">
        <v>2.16338615277001</v>
      </c>
      <c r="AA562">
        <v>4.3873019417806498</v>
      </c>
      <c r="AB562">
        <v>0.08</v>
      </c>
      <c r="AC562">
        <v>422281.52031957201</v>
      </c>
      <c r="AD562">
        <v>483216.74370168633</v>
      </c>
      <c r="AE562">
        <v>1</v>
      </c>
      <c r="AF562">
        <v>51862.303181552117</v>
      </c>
      <c r="AG562">
        <v>420781.40981552709</v>
      </c>
    </row>
    <row r="563" spans="2:33" hidden="1" x14ac:dyDescent="0.25">
      <c r="B563">
        <v>11</v>
      </c>
      <c r="C563" t="s">
        <v>40</v>
      </c>
      <c r="D563" t="s">
        <v>41</v>
      </c>
      <c r="E563" t="s">
        <v>69</v>
      </c>
      <c r="F563">
        <v>208663</v>
      </c>
      <c r="G563">
        <v>208663</v>
      </c>
      <c r="H563">
        <v>78</v>
      </c>
      <c r="I563" s="5">
        <v>0</v>
      </c>
      <c r="J563">
        <v>0</v>
      </c>
      <c r="K563">
        <v>667808</v>
      </c>
      <c r="L563">
        <v>139946</v>
      </c>
      <c r="M563">
        <v>148</v>
      </c>
      <c r="N563">
        <v>36372</v>
      </c>
      <c r="O563" s="43">
        <v>127478263.96799999</v>
      </c>
      <c r="P563" s="14">
        <f t="shared" si="26"/>
        <v>1716493.6799999923</v>
      </c>
      <c r="Q563" s="14" t="str">
        <f t="shared" si="24"/>
        <v/>
      </c>
      <c r="R563" s="14" t="str">
        <f t="shared" si="24"/>
        <v/>
      </c>
      <c r="S563" s="14" t="str">
        <f t="shared" si="25"/>
        <v/>
      </c>
      <c r="T563" s="14" t="s">
        <v>72</v>
      </c>
      <c r="U563" s="14">
        <v>0</v>
      </c>
      <c r="V563">
        <v>8635</v>
      </c>
      <c r="W563">
        <v>2.4464660644531402</v>
      </c>
      <c r="X563">
        <v>70.419400322205703</v>
      </c>
      <c r="Y563">
        <v>0.21613003096193301</v>
      </c>
      <c r="Z563" s="31">
        <v>1.07846898583318</v>
      </c>
      <c r="AA563">
        <v>2.5743298329787101</v>
      </c>
      <c r="AB563">
        <v>0.08</v>
      </c>
      <c r="AC563">
        <v>422281.52031957201</v>
      </c>
      <c r="AD563">
        <v>483216.74370168633</v>
      </c>
      <c r="AE563">
        <v>1</v>
      </c>
      <c r="AF563">
        <v>51862.303181552117</v>
      </c>
      <c r="AG563">
        <v>420781.40981552709</v>
      </c>
    </row>
    <row r="564" spans="2:33" hidden="1" x14ac:dyDescent="0.25">
      <c r="B564">
        <v>11</v>
      </c>
      <c r="C564" t="s">
        <v>40</v>
      </c>
      <c r="D564" t="s">
        <v>41</v>
      </c>
      <c r="E564" t="s">
        <v>69</v>
      </c>
      <c r="F564">
        <v>208663</v>
      </c>
      <c r="G564">
        <v>208663</v>
      </c>
      <c r="H564">
        <v>79</v>
      </c>
      <c r="I564" s="5">
        <v>0</v>
      </c>
      <c r="J564">
        <v>0</v>
      </c>
      <c r="K564">
        <v>667808</v>
      </c>
      <c r="L564">
        <v>139946</v>
      </c>
      <c r="M564">
        <v>148</v>
      </c>
      <c r="N564">
        <v>36372</v>
      </c>
      <c r="O564" s="43">
        <v>129766922.208</v>
      </c>
      <c r="P564" s="14">
        <f t="shared" si="26"/>
        <v>2288658.2400000095</v>
      </c>
      <c r="Q564" s="14" t="str">
        <f t="shared" si="24"/>
        <v/>
      </c>
      <c r="R564" s="14" t="str">
        <f t="shared" si="24"/>
        <v/>
      </c>
      <c r="S564" s="14" t="str">
        <f t="shared" si="25"/>
        <v/>
      </c>
      <c r="T564" s="14" t="s">
        <v>72</v>
      </c>
      <c r="U564" s="14">
        <v>0</v>
      </c>
      <c r="V564">
        <v>8635</v>
      </c>
      <c r="W564">
        <v>3.7852416992187701</v>
      </c>
      <c r="X564">
        <v>66.077012902680394</v>
      </c>
      <c r="Y564">
        <v>0.27247319498935202</v>
      </c>
      <c r="Z564" s="31">
        <v>2.7151129388884301</v>
      </c>
      <c r="AA564">
        <v>9.2249220822441096</v>
      </c>
      <c r="AB564">
        <v>0.08</v>
      </c>
      <c r="AC564">
        <v>422281.52031957201</v>
      </c>
      <c r="AD564">
        <v>483216.74370168633</v>
      </c>
      <c r="AE564">
        <v>1</v>
      </c>
      <c r="AF564">
        <v>51862.303181552117</v>
      </c>
      <c r="AG564">
        <v>420781.40981552709</v>
      </c>
    </row>
    <row r="565" spans="2:33" hidden="1" x14ac:dyDescent="0.25">
      <c r="B565">
        <v>11</v>
      </c>
      <c r="C565" t="s">
        <v>40</v>
      </c>
      <c r="D565" t="s">
        <v>41</v>
      </c>
      <c r="E565" t="s">
        <v>69</v>
      </c>
      <c r="F565">
        <v>208663</v>
      </c>
      <c r="G565">
        <v>208663</v>
      </c>
      <c r="H565">
        <v>80</v>
      </c>
      <c r="I565" s="5">
        <v>0</v>
      </c>
      <c r="J565">
        <v>0</v>
      </c>
      <c r="K565">
        <v>667808</v>
      </c>
      <c r="L565">
        <v>139946</v>
      </c>
      <c r="M565">
        <v>148</v>
      </c>
      <c r="N565">
        <v>36372</v>
      </c>
      <c r="O565" s="43">
        <v>131483415.888</v>
      </c>
      <c r="P565" s="14">
        <f t="shared" si="26"/>
        <v>1716493.6799999923</v>
      </c>
      <c r="Q565" s="14" t="str">
        <f t="shared" si="24"/>
        <v/>
      </c>
      <c r="R565" s="14" t="str">
        <f t="shared" si="24"/>
        <v/>
      </c>
      <c r="S565" s="14" t="str">
        <f t="shared" si="25"/>
        <v/>
      </c>
      <c r="T565" s="14" t="s">
        <v>72</v>
      </c>
      <c r="U565" s="14">
        <v>0</v>
      </c>
      <c r="V565">
        <v>8635</v>
      </c>
      <c r="W565">
        <v>4.5409179687500201</v>
      </c>
      <c r="X565">
        <v>42.608812433054403</v>
      </c>
      <c r="Y565">
        <v>0.48597401580820798</v>
      </c>
      <c r="Z565" s="31">
        <v>1.97234499625099</v>
      </c>
      <c r="AA565">
        <v>7.4451021322380901</v>
      </c>
      <c r="AB565">
        <v>0.08</v>
      </c>
      <c r="AC565">
        <v>422281.52031957201</v>
      </c>
      <c r="AD565">
        <v>483216.74370168633</v>
      </c>
      <c r="AE565">
        <v>1</v>
      </c>
      <c r="AF565">
        <v>51862.303181552117</v>
      </c>
      <c r="AG565">
        <v>420781.40981552709</v>
      </c>
    </row>
    <row r="566" spans="2:33" hidden="1" x14ac:dyDescent="0.25">
      <c r="B566">
        <v>11</v>
      </c>
      <c r="C566" t="s">
        <v>40</v>
      </c>
      <c r="D566" t="s">
        <v>41</v>
      </c>
      <c r="E566" t="s">
        <v>69</v>
      </c>
      <c r="F566">
        <v>208663</v>
      </c>
      <c r="G566">
        <v>208663</v>
      </c>
      <c r="H566">
        <v>81</v>
      </c>
      <c r="I566" s="5">
        <v>0</v>
      </c>
      <c r="J566">
        <v>0</v>
      </c>
      <c r="K566">
        <v>667808</v>
      </c>
      <c r="L566">
        <v>139946</v>
      </c>
      <c r="M566">
        <v>148</v>
      </c>
      <c r="N566">
        <v>36372</v>
      </c>
      <c r="O566" s="43">
        <v>132971043.744</v>
      </c>
      <c r="P566" s="14">
        <f t="shared" si="26"/>
        <v>1487627.8560000062</v>
      </c>
      <c r="Q566" s="14" t="str">
        <f t="shared" si="24"/>
        <v/>
      </c>
      <c r="R566" s="14" t="str">
        <f t="shared" si="24"/>
        <v/>
      </c>
      <c r="S566" s="14" t="str">
        <f t="shared" si="25"/>
        <v/>
      </c>
      <c r="T566" s="14" t="s">
        <v>72</v>
      </c>
      <c r="U566" s="14">
        <v>0</v>
      </c>
      <c r="V566">
        <v>8635</v>
      </c>
      <c r="W566">
        <v>2.5072875976562701</v>
      </c>
      <c r="X566">
        <v>57.914938482329802</v>
      </c>
      <c r="Y566">
        <v>0.30879765776623802</v>
      </c>
      <c r="Z566" s="31">
        <v>1.4620612916981699</v>
      </c>
      <c r="AA566">
        <v>5.6025225356878696</v>
      </c>
      <c r="AB566">
        <v>0.08</v>
      </c>
      <c r="AC566">
        <v>422281.52031957201</v>
      </c>
      <c r="AD566">
        <v>483216.74370168633</v>
      </c>
      <c r="AE566">
        <v>1</v>
      </c>
      <c r="AF566">
        <v>51862.303181552117</v>
      </c>
      <c r="AG566">
        <v>420781.40981552709</v>
      </c>
    </row>
    <row r="567" spans="2:33" hidden="1" x14ac:dyDescent="0.25">
      <c r="B567">
        <v>11</v>
      </c>
      <c r="C567" t="s">
        <v>40</v>
      </c>
      <c r="D567" t="s">
        <v>41</v>
      </c>
      <c r="E567" t="s">
        <v>69</v>
      </c>
      <c r="F567">
        <v>208663</v>
      </c>
      <c r="G567">
        <v>208663</v>
      </c>
      <c r="H567">
        <v>82</v>
      </c>
      <c r="I567" s="5">
        <v>0</v>
      </c>
      <c r="J567">
        <v>0</v>
      </c>
      <c r="K567">
        <v>667808</v>
      </c>
      <c r="L567">
        <v>139946</v>
      </c>
      <c r="M567">
        <v>148</v>
      </c>
      <c r="N567">
        <v>36372</v>
      </c>
      <c r="O567" s="43">
        <v>134458671.59999999</v>
      </c>
      <c r="P567" s="14">
        <f t="shared" si="26"/>
        <v>1487627.8559999913</v>
      </c>
      <c r="Q567" s="14" t="str">
        <f t="shared" si="24"/>
        <v/>
      </c>
      <c r="R567" s="14" t="str">
        <f t="shared" si="24"/>
        <v/>
      </c>
      <c r="S567" s="14" t="str">
        <f t="shared" si="25"/>
        <v/>
      </c>
      <c r="T567" s="14" t="s">
        <v>72</v>
      </c>
      <c r="U567" s="14">
        <v>0</v>
      </c>
      <c r="V567">
        <v>8635</v>
      </c>
      <c r="W567">
        <v>5.7237792968750201</v>
      </c>
      <c r="X567">
        <v>60.409710987270898</v>
      </c>
      <c r="Y567">
        <v>0.36405585568515803</v>
      </c>
      <c r="Z567" s="31">
        <v>1.9429792345078101</v>
      </c>
      <c r="AA567">
        <v>6.6228935214418101</v>
      </c>
      <c r="AB567">
        <v>0.08</v>
      </c>
      <c r="AC567">
        <v>422281.52031957201</v>
      </c>
      <c r="AD567">
        <v>483216.74370168633</v>
      </c>
      <c r="AE567">
        <v>1</v>
      </c>
      <c r="AF567">
        <v>51862.303181552117</v>
      </c>
      <c r="AG567">
        <v>420781.40981552709</v>
      </c>
    </row>
    <row r="568" spans="2:33" hidden="1" x14ac:dyDescent="0.25">
      <c r="B568">
        <v>11</v>
      </c>
      <c r="C568" t="s">
        <v>40</v>
      </c>
      <c r="D568" t="s">
        <v>41</v>
      </c>
      <c r="E568" t="s">
        <v>69</v>
      </c>
      <c r="F568">
        <v>208663</v>
      </c>
      <c r="G568">
        <v>208663</v>
      </c>
      <c r="H568">
        <v>83</v>
      </c>
      <c r="I568" s="5">
        <v>0</v>
      </c>
      <c r="J568">
        <v>0</v>
      </c>
      <c r="K568">
        <v>667808</v>
      </c>
      <c r="L568">
        <v>139946</v>
      </c>
      <c r="M568">
        <v>148</v>
      </c>
      <c r="N568">
        <v>36372</v>
      </c>
      <c r="O568" s="43">
        <v>135946299.456</v>
      </c>
      <c r="P568" s="14">
        <f t="shared" si="26"/>
        <v>1487627.8560000062</v>
      </c>
      <c r="Q568" s="14" t="str">
        <f t="shared" si="24"/>
        <v/>
      </c>
      <c r="R568" s="14" t="str">
        <f t="shared" si="24"/>
        <v/>
      </c>
      <c r="S568" s="14" t="str">
        <f t="shared" si="25"/>
        <v/>
      </c>
      <c r="T568" s="14" t="s">
        <v>72</v>
      </c>
      <c r="U568" s="14">
        <v>0</v>
      </c>
      <c r="V568">
        <v>8635</v>
      </c>
      <c r="W568">
        <v>6.5542236328125201</v>
      </c>
      <c r="X568">
        <v>50.224271544516299</v>
      </c>
      <c r="Y568">
        <v>0.48469158449456501</v>
      </c>
      <c r="Z568" s="31">
        <v>1.5622880750971799</v>
      </c>
      <c r="AA568">
        <v>5.3930459189641002</v>
      </c>
      <c r="AB568">
        <v>0.08</v>
      </c>
      <c r="AC568">
        <v>422281.52031957201</v>
      </c>
      <c r="AD568">
        <v>483216.74370168633</v>
      </c>
      <c r="AE568">
        <v>1</v>
      </c>
      <c r="AF568">
        <v>51862.303181552117</v>
      </c>
      <c r="AG568">
        <v>420781.40981552709</v>
      </c>
    </row>
    <row r="569" spans="2:33" hidden="1" x14ac:dyDescent="0.25">
      <c r="B569">
        <v>11</v>
      </c>
      <c r="C569" t="s">
        <v>40</v>
      </c>
      <c r="D569" t="s">
        <v>41</v>
      </c>
      <c r="E569" t="s">
        <v>69</v>
      </c>
      <c r="F569">
        <v>208663</v>
      </c>
      <c r="G569">
        <v>208663</v>
      </c>
      <c r="H569">
        <v>84</v>
      </c>
      <c r="I569" s="5">
        <v>0</v>
      </c>
      <c r="J569">
        <v>0</v>
      </c>
      <c r="K569">
        <v>667808</v>
      </c>
      <c r="L569">
        <v>139946</v>
      </c>
      <c r="M569">
        <v>148</v>
      </c>
      <c r="N569">
        <v>36372</v>
      </c>
      <c r="O569" s="43">
        <v>137205061.48800001</v>
      </c>
      <c r="P569" s="14">
        <f t="shared" si="26"/>
        <v>1258762.0320000052</v>
      </c>
      <c r="Q569" s="14" t="str">
        <f t="shared" si="24"/>
        <v/>
      </c>
      <c r="R569" s="14" t="str">
        <f t="shared" si="24"/>
        <v/>
      </c>
      <c r="S569" s="14" t="str">
        <f t="shared" si="25"/>
        <v/>
      </c>
      <c r="T569" s="14" t="s">
        <v>72</v>
      </c>
      <c r="U569" s="14">
        <v>0</v>
      </c>
      <c r="V569">
        <v>8635</v>
      </c>
      <c r="W569">
        <v>9.4037109375000192</v>
      </c>
      <c r="X569">
        <v>42.587217995604597</v>
      </c>
      <c r="Y569">
        <v>0.67855887880145804</v>
      </c>
      <c r="Z569" s="31">
        <v>2.1994478930951602</v>
      </c>
      <c r="AA569">
        <v>4.9057022069569696</v>
      </c>
      <c r="AB569">
        <v>0.08</v>
      </c>
      <c r="AC569">
        <v>422281.52031957201</v>
      </c>
      <c r="AD569">
        <v>483216.74370168633</v>
      </c>
      <c r="AE569">
        <v>1</v>
      </c>
      <c r="AF569">
        <v>51862.303181552117</v>
      </c>
      <c r="AG569">
        <v>420781.40981552709</v>
      </c>
    </row>
    <row r="570" spans="2:33" hidden="1" x14ac:dyDescent="0.25">
      <c r="B570">
        <v>11</v>
      </c>
      <c r="C570" t="s">
        <v>40</v>
      </c>
      <c r="D570" t="s">
        <v>41</v>
      </c>
      <c r="E570" t="s">
        <v>69</v>
      </c>
      <c r="F570">
        <v>208663</v>
      </c>
      <c r="G570">
        <v>208663</v>
      </c>
      <c r="H570">
        <v>85</v>
      </c>
      <c r="I570" s="5">
        <v>0</v>
      </c>
      <c r="J570">
        <v>0</v>
      </c>
      <c r="K570">
        <v>667808</v>
      </c>
      <c r="L570">
        <v>139946</v>
      </c>
      <c r="M570">
        <v>148</v>
      </c>
      <c r="N570">
        <v>36372</v>
      </c>
      <c r="O570" s="43">
        <v>138349390.60800001</v>
      </c>
      <c r="P570" s="14">
        <f t="shared" si="26"/>
        <v>1144329.1200000048</v>
      </c>
      <c r="Q570" s="14" t="str">
        <f t="shared" si="24"/>
        <v/>
      </c>
      <c r="R570" s="14" t="str">
        <f t="shared" si="24"/>
        <v/>
      </c>
      <c r="S570" s="14" t="str">
        <f t="shared" si="25"/>
        <v/>
      </c>
      <c r="T570" s="14" t="s">
        <v>72</v>
      </c>
      <c r="U570" s="14">
        <v>0</v>
      </c>
      <c r="V570">
        <v>8635</v>
      </c>
      <c r="W570">
        <v>9.6316162109375192</v>
      </c>
      <c r="X570">
        <v>47.315147574859601</v>
      </c>
      <c r="Y570">
        <v>0.63229281865452602</v>
      </c>
      <c r="Z570" s="31">
        <v>2.32684677517405</v>
      </c>
      <c r="AA570">
        <v>10.3748032179098</v>
      </c>
      <c r="AB570">
        <v>0.08</v>
      </c>
      <c r="AC570">
        <v>422281.52031957201</v>
      </c>
      <c r="AD570">
        <v>483216.74370168633</v>
      </c>
      <c r="AE570">
        <v>1</v>
      </c>
      <c r="AF570">
        <v>51862.303181552117</v>
      </c>
      <c r="AG570">
        <v>420781.40981552709</v>
      </c>
    </row>
    <row r="571" spans="2:33" hidden="1" x14ac:dyDescent="0.25">
      <c r="B571">
        <v>11</v>
      </c>
      <c r="C571" t="s">
        <v>40</v>
      </c>
      <c r="D571" t="s">
        <v>41</v>
      </c>
      <c r="E571" t="s">
        <v>69</v>
      </c>
      <c r="F571">
        <v>208663</v>
      </c>
      <c r="G571">
        <v>208663</v>
      </c>
      <c r="H571">
        <v>86</v>
      </c>
      <c r="I571" s="5">
        <v>0</v>
      </c>
      <c r="J571">
        <v>0</v>
      </c>
      <c r="K571">
        <v>667808</v>
      </c>
      <c r="L571">
        <v>139946</v>
      </c>
      <c r="M571">
        <v>148</v>
      </c>
      <c r="N571">
        <v>36372</v>
      </c>
      <c r="O571" s="43">
        <v>139150420.99200001</v>
      </c>
      <c r="P571" s="14">
        <f t="shared" si="26"/>
        <v>801030.38400000334</v>
      </c>
      <c r="Q571" s="14" t="str">
        <f t="shared" si="24"/>
        <v/>
      </c>
      <c r="R571" s="14" t="str">
        <f t="shared" si="24"/>
        <v/>
      </c>
      <c r="S571" s="14" t="str">
        <f t="shared" si="25"/>
        <v/>
      </c>
      <c r="T571" s="14" t="s">
        <v>72</v>
      </c>
      <c r="U571" s="14">
        <v>0</v>
      </c>
      <c r="V571">
        <v>8635</v>
      </c>
      <c r="W571">
        <v>10.49111328125</v>
      </c>
      <c r="X571">
        <v>46.576984267917503</v>
      </c>
      <c r="Y571">
        <v>0.67907142135331999</v>
      </c>
      <c r="Z571" s="31">
        <v>1.8206618096912699</v>
      </c>
      <c r="AA571">
        <v>4.8504426074639104</v>
      </c>
      <c r="AB571">
        <v>0.08</v>
      </c>
      <c r="AC571">
        <v>422281.52031957201</v>
      </c>
      <c r="AD571">
        <v>483216.74370168633</v>
      </c>
      <c r="AE571">
        <v>1</v>
      </c>
      <c r="AF571">
        <v>51862.303181552117</v>
      </c>
      <c r="AG571">
        <v>420781.40981552709</v>
      </c>
    </row>
    <row r="572" spans="2:33" hidden="1" x14ac:dyDescent="0.25">
      <c r="B572">
        <v>11</v>
      </c>
      <c r="C572" t="s">
        <v>40</v>
      </c>
      <c r="D572" t="s">
        <v>41</v>
      </c>
      <c r="E572" t="s">
        <v>69</v>
      </c>
      <c r="F572">
        <v>208663</v>
      </c>
      <c r="G572">
        <v>208663</v>
      </c>
      <c r="H572">
        <v>87</v>
      </c>
      <c r="I572" s="5">
        <v>0</v>
      </c>
      <c r="J572">
        <v>0</v>
      </c>
      <c r="K572">
        <v>667808</v>
      </c>
      <c r="L572">
        <v>139946</v>
      </c>
      <c r="M572">
        <v>148</v>
      </c>
      <c r="N572">
        <v>36372</v>
      </c>
      <c r="O572" s="43">
        <v>140799932.51128989</v>
      </c>
      <c r="P572" s="14">
        <f t="shared" si="26"/>
        <v>1649511.519289881</v>
      </c>
      <c r="Q572" s="14" t="str">
        <f t="shared" si="24"/>
        <v/>
      </c>
      <c r="R572" s="14" t="str">
        <f t="shared" si="24"/>
        <v/>
      </c>
      <c r="S572" s="14" t="str">
        <f t="shared" si="25"/>
        <v/>
      </c>
      <c r="T572" s="14" t="s">
        <v>72</v>
      </c>
      <c r="U572" s="14">
        <v>0</v>
      </c>
      <c r="V572">
        <v>8635</v>
      </c>
      <c r="W572">
        <v>9.3955322265625192</v>
      </c>
      <c r="X572">
        <v>54.602151854210703</v>
      </c>
      <c r="Y572">
        <v>0.53627556300916601</v>
      </c>
      <c r="Z572" s="31">
        <v>1.63677463359273</v>
      </c>
      <c r="AA572">
        <v>3.7771729269919798</v>
      </c>
      <c r="AB572">
        <v>0.08</v>
      </c>
      <c r="AC572">
        <v>422281.52031957201</v>
      </c>
      <c r="AD572">
        <v>483216.74370168633</v>
      </c>
      <c r="AE572">
        <v>1</v>
      </c>
      <c r="AF572">
        <v>51862.303181552117</v>
      </c>
      <c r="AG572">
        <v>420781.40981552709</v>
      </c>
    </row>
    <row r="573" spans="2:33" hidden="1" x14ac:dyDescent="0.25">
      <c r="B573">
        <v>11</v>
      </c>
      <c r="C573" t="s">
        <v>40</v>
      </c>
      <c r="D573" t="s">
        <v>41</v>
      </c>
      <c r="E573" t="s">
        <v>69</v>
      </c>
      <c r="F573">
        <v>208663</v>
      </c>
      <c r="G573">
        <v>208663</v>
      </c>
      <c r="H573">
        <v>88</v>
      </c>
      <c r="I573" s="5">
        <v>0</v>
      </c>
      <c r="J573">
        <v>0</v>
      </c>
      <c r="K573">
        <v>667808</v>
      </c>
      <c r="L573">
        <v>139946</v>
      </c>
      <c r="M573">
        <v>148</v>
      </c>
      <c r="N573">
        <v>36372</v>
      </c>
      <c r="O573" s="43">
        <v>140523615.93599999</v>
      </c>
      <c r="P573" s="14">
        <f t="shared" si="26"/>
        <v>-276316.57528990507</v>
      </c>
      <c r="Q573" s="14">
        <f t="shared" si="24"/>
        <v>-276316.57528990507</v>
      </c>
      <c r="R573" s="14">
        <f t="shared" si="24"/>
        <v>-276316.57528990507</v>
      </c>
      <c r="S573" s="14">
        <f t="shared" si="25"/>
        <v>76350849779.941772</v>
      </c>
      <c r="T573" s="14">
        <v>76350849779.941772</v>
      </c>
      <c r="U573" s="14">
        <v>0</v>
      </c>
      <c r="V573">
        <v>8635</v>
      </c>
      <c r="W573">
        <v>8.5923706054687692</v>
      </c>
      <c r="X573">
        <v>59.8691700754217</v>
      </c>
      <c r="Y573">
        <v>0.44907124648359298</v>
      </c>
      <c r="Z573" s="31">
        <v>2.0409303594875898</v>
      </c>
      <c r="AA573">
        <v>4.2006522007815201</v>
      </c>
      <c r="AB573">
        <v>0.08</v>
      </c>
      <c r="AC573">
        <v>422281.52031957201</v>
      </c>
      <c r="AD573">
        <v>483216.74370168633</v>
      </c>
      <c r="AE573">
        <v>1</v>
      </c>
      <c r="AF573">
        <v>51862.303181552117</v>
      </c>
      <c r="AG573">
        <v>420781.40981552709</v>
      </c>
    </row>
    <row r="574" spans="2:33" hidden="1" x14ac:dyDescent="0.25">
      <c r="B574">
        <v>11</v>
      </c>
      <c r="C574" t="s">
        <v>40</v>
      </c>
      <c r="D574" t="s">
        <v>41</v>
      </c>
      <c r="E574" t="s">
        <v>69</v>
      </c>
      <c r="F574">
        <v>208663</v>
      </c>
      <c r="G574">
        <v>208663</v>
      </c>
      <c r="H574">
        <v>89</v>
      </c>
      <c r="I574" s="5">
        <v>0</v>
      </c>
      <c r="J574">
        <v>0</v>
      </c>
      <c r="K574">
        <v>667808</v>
      </c>
      <c r="L574">
        <v>139946</v>
      </c>
      <c r="M574">
        <v>148</v>
      </c>
      <c r="N574">
        <v>36372</v>
      </c>
      <c r="O574" s="43">
        <v>141553512.14399999</v>
      </c>
      <c r="P574" s="14">
        <f t="shared" si="26"/>
        <v>1029896.2080000043</v>
      </c>
      <c r="Q574" s="14" t="str">
        <f t="shared" si="24"/>
        <v/>
      </c>
      <c r="R574" s="14" t="str">
        <f t="shared" si="24"/>
        <v/>
      </c>
      <c r="S574" s="14" t="str">
        <f t="shared" si="25"/>
        <v/>
      </c>
      <c r="T574" s="14" t="s">
        <v>72</v>
      </c>
      <c r="U574" s="14">
        <v>0</v>
      </c>
      <c r="V574">
        <v>8635</v>
      </c>
      <c r="W574">
        <v>1.6104980468750201</v>
      </c>
      <c r="X574">
        <v>41.475250936637302</v>
      </c>
      <c r="Y574">
        <v>0.40270398851475298</v>
      </c>
      <c r="Z574" s="31">
        <v>1.006664089</v>
      </c>
      <c r="AA574">
        <v>1.9338123989026299</v>
      </c>
      <c r="AB574">
        <v>0.08</v>
      </c>
      <c r="AC574">
        <v>422281.52031957201</v>
      </c>
      <c r="AD574">
        <v>483216.74370168633</v>
      </c>
      <c r="AE574">
        <v>1</v>
      </c>
      <c r="AF574">
        <v>51862.303181552117</v>
      </c>
      <c r="AG574">
        <v>420781.40981552709</v>
      </c>
    </row>
    <row r="575" spans="2:33" hidden="1" x14ac:dyDescent="0.25">
      <c r="B575">
        <v>11</v>
      </c>
      <c r="C575" t="s">
        <v>40</v>
      </c>
      <c r="D575" t="s">
        <v>41</v>
      </c>
      <c r="E575" t="s">
        <v>69</v>
      </c>
      <c r="F575">
        <v>208663</v>
      </c>
      <c r="G575">
        <v>208663</v>
      </c>
      <c r="H575">
        <v>90</v>
      </c>
      <c r="I575" s="5">
        <v>0</v>
      </c>
      <c r="J575">
        <v>0</v>
      </c>
      <c r="K575">
        <v>667808</v>
      </c>
      <c r="L575">
        <v>139946</v>
      </c>
      <c r="M575">
        <v>148</v>
      </c>
      <c r="N575">
        <v>36372</v>
      </c>
      <c r="O575" s="43">
        <v>142583408.352</v>
      </c>
      <c r="P575" s="14">
        <f t="shared" si="26"/>
        <v>1029896.2080000043</v>
      </c>
      <c r="Q575" s="14" t="str">
        <f t="shared" si="24"/>
        <v/>
      </c>
      <c r="R575" s="14" t="str">
        <f t="shared" si="24"/>
        <v/>
      </c>
      <c r="S575" s="14" t="str">
        <f t="shared" si="25"/>
        <v/>
      </c>
      <c r="T575" s="14" t="s">
        <v>72</v>
      </c>
      <c r="U575" s="14">
        <v>0</v>
      </c>
      <c r="V575">
        <v>8635</v>
      </c>
      <c r="W575">
        <v>-7.3382934569999998</v>
      </c>
      <c r="X575">
        <v>98.764900699731001</v>
      </c>
      <c r="Y575">
        <v>4.3695579999999999E-3</v>
      </c>
      <c r="Z575" s="31">
        <v>0.43675654329675501</v>
      </c>
      <c r="AA575">
        <v>1.6483907209895601</v>
      </c>
      <c r="AB575">
        <v>0.08</v>
      </c>
      <c r="AC575">
        <v>422281.52031957201</v>
      </c>
      <c r="AD575">
        <v>483216.74370168633</v>
      </c>
      <c r="AE575">
        <v>1</v>
      </c>
      <c r="AF575">
        <v>51862.303181552117</v>
      </c>
      <c r="AG575">
        <v>420781.40981552709</v>
      </c>
    </row>
    <row r="576" spans="2:33" hidden="1" x14ac:dyDescent="0.25">
      <c r="B576">
        <v>11</v>
      </c>
      <c r="C576" t="s">
        <v>40</v>
      </c>
      <c r="D576" t="s">
        <v>41</v>
      </c>
      <c r="E576" t="s">
        <v>69</v>
      </c>
      <c r="F576">
        <v>208663</v>
      </c>
      <c r="G576">
        <v>208663</v>
      </c>
      <c r="H576">
        <v>91</v>
      </c>
      <c r="I576" s="5">
        <v>0</v>
      </c>
      <c r="J576">
        <v>0</v>
      </c>
      <c r="K576">
        <v>667808</v>
      </c>
      <c r="L576">
        <v>139946</v>
      </c>
      <c r="M576">
        <v>148</v>
      </c>
      <c r="N576">
        <v>36372</v>
      </c>
      <c r="O576" s="43">
        <v>143503448.96448001</v>
      </c>
      <c r="P576" s="14">
        <f t="shared" si="26"/>
        <v>920040.61248001456</v>
      </c>
      <c r="Q576" s="14" t="str">
        <f t="shared" si="24"/>
        <v/>
      </c>
      <c r="R576" s="14" t="str">
        <f t="shared" si="24"/>
        <v/>
      </c>
      <c r="S576" s="14" t="str">
        <f t="shared" si="25"/>
        <v/>
      </c>
      <c r="T576" s="14" t="s">
        <v>72</v>
      </c>
      <c r="U576" s="14">
        <v>0</v>
      </c>
      <c r="V576">
        <v>8635</v>
      </c>
      <c r="W576">
        <v>-4.8156494140000001</v>
      </c>
      <c r="X576">
        <v>50.420930232735103</v>
      </c>
      <c r="Y576">
        <v>0.212557774216414</v>
      </c>
      <c r="Z576" s="31">
        <v>3.8241725866850298</v>
      </c>
      <c r="AA576">
        <v>11.7291810951857</v>
      </c>
      <c r="AB576">
        <v>0.08</v>
      </c>
      <c r="AC576">
        <v>422281.52031957201</v>
      </c>
      <c r="AD576">
        <v>483216.74370168633</v>
      </c>
      <c r="AE576">
        <v>1</v>
      </c>
      <c r="AF576">
        <v>51862.303181552117</v>
      </c>
      <c r="AG576">
        <v>420781.40981552709</v>
      </c>
    </row>
    <row r="577" spans="2:33" hidden="1" x14ac:dyDescent="0.25">
      <c r="B577">
        <v>11</v>
      </c>
      <c r="C577" t="s">
        <v>40</v>
      </c>
      <c r="D577" t="s">
        <v>41</v>
      </c>
      <c r="E577" t="s">
        <v>69</v>
      </c>
      <c r="F577">
        <v>208663</v>
      </c>
      <c r="G577">
        <v>208663</v>
      </c>
      <c r="H577">
        <v>92</v>
      </c>
      <c r="I577" s="5">
        <v>0</v>
      </c>
      <c r="J577">
        <v>0</v>
      </c>
      <c r="K577">
        <v>667808</v>
      </c>
      <c r="L577">
        <v>139946</v>
      </c>
      <c r="M577">
        <v>148</v>
      </c>
      <c r="N577">
        <v>36372</v>
      </c>
      <c r="O577" s="43">
        <v>144872066.59200001</v>
      </c>
      <c r="P577" s="14">
        <f t="shared" si="26"/>
        <v>1368617.627519995</v>
      </c>
      <c r="Q577" s="14" t="str">
        <f t="shared" si="24"/>
        <v/>
      </c>
      <c r="R577" s="14" t="str">
        <f t="shared" si="24"/>
        <v/>
      </c>
      <c r="S577" s="14" t="str">
        <f t="shared" si="25"/>
        <v/>
      </c>
      <c r="T577" s="14" t="s">
        <v>72</v>
      </c>
      <c r="U577" s="14">
        <v>0</v>
      </c>
      <c r="V577">
        <v>8635</v>
      </c>
      <c r="W577">
        <v>-1.3986572269999999</v>
      </c>
      <c r="X577">
        <v>30.505124124130798</v>
      </c>
      <c r="Y577">
        <v>0.38424036429568798</v>
      </c>
      <c r="Z577" s="31">
        <v>1.8788249223490101</v>
      </c>
      <c r="AA577">
        <v>4.6251914093583704</v>
      </c>
      <c r="AB577">
        <v>0.08</v>
      </c>
      <c r="AC577">
        <v>422281.52031957201</v>
      </c>
      <c r="AD577">
        <v>483216.74370168633</v>
      </c>
      <c r="AE577">
        <v>1</v>
      </c>
      <c r="AF577">
        <v>51862.303181552117</v>
      </c>
      <c r="AG577">
        <v>420781.40981552709</v>
      </c>
    </row>
    <row r="578" spans="2:33" hidden="1" x14ac:dyDescent="0.25">
      <c r="B578">
        <v>11</v>
      </c>
      <c r="C578" t="s">
        <v>40</v>
      </c>
      <c r="D578" t="s">
        <v>41</v>
      </c>
      <c r="E578" t="s">
        <v>69</v>
      </c>
      <c r="F578">
        <v>208663</v>
      </c>
      <c r="G578">
        <v>208663</v>
      </c>
      <c r="H578">
        <v>93</v>
      </c>
      <c r="I578" s="5">
        <v>0</v>
      </c>
      <c r="J578">
        <v>0</v>
      </c>
      <c r="K578">
        <v>667808</v>
      </c>
      <c r="L578">
        <v>139946</v>
      </c>
      <c r="M578">
        <v>148</v>
      </c>
      <c r="N578">
        <v>36372</v>
      </c>
      <c r="O578" s="43">
        <v>146130828.62400001</v>
      </c>
      <c r="P578" s="14">
        <f t="shared" si="26"/>
        <v>1258762.0320000052</v>
      </c>
      <c r="Q578" s="14" t="str">
        <f t="shared" si="24"/>
        <v/>
      </c>
      <c r="R578" s="14" t="str">
        <f t="shared" si="24"/>
        <v/>
      </c>
      <c r="S578" s="14" t="str">
        <f t="shared" si="25"/>
        <v/>
      </c>
      <c r="T578" s="14" t="s">
        <v>72</v>
      </c>
      <c r="U578" s="14">
        <v>0</v>
      </c>
      <c r="V578">
        <v>8635</v>
      </c>
      <c r="W578">
        <v>-3.5193847659999999</v>
      </c>
      <c r="X578">
        <v>29.739519093307798</v>
      </c>
      <c r="Y578">
        <v>0.33189791372312599</v>
      </c>
      <c r="Z578" s="31">
        <v>2.3384729411971601</v>
      </c>
      <c r="AA578">
        <v>7.5471653955386104</v>
      </c>
      <c r="AB578">
        <v>0.08</v>
      </c>
      <c r="AC578">
        <v>422281.52031957201</v>
      </c>
      <c r="AD578">
        <v>483216.74370168633</v>
      </c>
      <c r="AE578">
        <v>1</v>
      </c>
      <c r="AF578">
        <v>51862.303181552117</v>
      </c>
      <c r="AG578">
        <v>420781.40981552709</v>
      </c>
    </row>
    <row r="579" spans="2:33" hidden="1" x14ac:dyDescent="0.25">
      <c r="B579">
        <v>11</v>
      </c>
      <c r="C579" t="s">
        <v>40</v>
      </c>
      <c r="D579" t="s">
        <v>41</v>
      </c>
      <c r="E579" t="s">
        <v>69</v>
      </c>
      <c r="F579">
        <v>208663</v>
      </c>
      <c r="G579">
        <v>208663</v>
      </c>
      <c r="H579">
        <v>94</v>
      </c>
      <c r="I579" s="5">
        <v>0</v>
      </c>
      <c r="J579">
        <v>0</v>
      </c>
      <c r="K579">
        <v>667808</v>
      </c>
      <c r="L579">
        <v>139946</v>
      </c>
      <c r="M579">
        <v>148</v>
      </c>
      <c r="N579">
        <v>36372</v>
      </c>
      <c r="O579" s="43">
        <v>147046291.91999999</v>
      </c>
      <c r="P579" s="14">
        <f t="shared" si="26"/>
        <v>915463.29599997401</v>
      </c>
      <c r="Q579" s="14" t="str">
        <f t="shared" ref="Q579:R642" si="27">IF(P579&gt;=0,"",P579)</f>
        <v/>
      </c>
      <c r="R579" s="14" t="str">
        <f t="shared" si="27"/>
        <v/>
      </c>
      <c r="S579" s="14" t="str">
        <f t="shared" ref="S579:S642" si="28">IFERROR(IF(ISNA(Q579),NA(),Q579^2),"")</f>
        <v/>
      </c>
      <c r="T579" s="14" t="s">
        <v>72</v>
      </c>
      <c r="U579" s="14">
        <v>0</v>
      </c>
      <c r="V579">
        <v>8635</v>
      </c>
      <c r="W579">
        <v>4.8098388671875201</v>
      </c>
      <c r="X579">
        <v>32.366465979441003</v>
      </c>
      <c r="Y579">
        <v>0.58347807366759197</v>
      </c>
      <c r="Z579" s="31">
        <v>2.7494840876295599</v>
      </c>
      <c r="AA579">
        <v>10.763642704267699</v>
      </c>
      <c r="AB579">
        <v>0.08</v>
      </c>
      <c r="AC579">
        <v>422281.52031957201</v>
      </c>
      <c r="AD579">
        <v>483216.74370168633</v>
      </c>
      <c r="AE579">
        <v>1</v>
      </c>
      <c r="AF579">
        <v>51862.303181552117</v>
      </c>
      <c r="AG579">
        <v>420781.40981552709</v>
      </c>
    </row>
    <row r="580" spans="2:33" hidden="1" x14ac:dyDescent="0.25">
      <c r="B580">
        <v>11</v>
      </c>
      <c r="C580" t="s">
        <v>40</v>
      </c>
      <c r="D580" t="s">
        <v>41</v>
      </c>
      <c r="E580" t="s">
        <v>69</v>
      </c>
      <c r="F580">
        <v>208663</v>
      </c>
      <c r="G580">
        <v>208663</v>
      </c>
      <c r="H580">
        <v>95</v>
      </c>
      <c r="I580" s="5">
        <v>0</v>
      </c>
      <c r="J580">
        <v>0</v>
      </c>
      <c r="K580">
        <v>667808</v>
      </c>
      <c r="L580">
        <v>139946</v>
      </c>
      <c r="M580">
        <v>148</v>
      </c>
      <c r="N580">
        <v>36372</v>
      </c>
      <c r="O580" s="43">
        <v>147785528.53152001</v>
      </c>
      <c r="P580" s="14">
        <f t="shared" ref="P580:P643" si="29">O580-O579</f>
        <v>739236.61152002215</v>
      </c>
      <c r="Q580" s="14" t="str">
        <f t="shared" si="27"/>
        <v/>
      </c>
      <c r="R580" s="14" t="str">
        <f t="shared" si="27"/>
        <v/>
      </c>
      <c r="S580" s="14" t="str">
        <f t="shared" si="28"/>
        <v/>
      </c>
      <c r="T580" s="14" t="s">
        <v>72</v>
      </c>
      <c r="U580" s="14">
        <v>0</v>
      </c>
      <c r="V580">
        <v>8635</v>
      </c>
      <c r="W580">
        <v>-8.6103271479999997</v>
      </c>
      <c r="X580">
        <v>60.5863915655464</v>
      </c>
      <c r="Y580">
        <v>0.126227165915343</v>
      </c>
      <c r="Z580" s="31">
        <v>4.6264270490295303</v>
      </c>
      <c r="AA580">
        <v>15.923987652000701</v>
      </c>
      <c r="AB580">
        <v>0.08</v>
      </c>
      <c r="AC580">
        <v>422281.52031957201</v>
      </c>
      <c r="AD580">
        <v>483216.74370168633</v>
      </c>
      <c r="AE580">
        <v>1</v>
      </c>
      <c r="AF580">
        <v>51862.303181552117</v>
      </c>
      <c r="AG580">
        <v>420781.40981552709</v>
      </c>
    </row>
    <row r="581" spans="2:33" hidden="1" x14ac:dyDescent="0.25">
      <c r="B581">
        <v>11</v>
      </c>
      <c r="C581" t="s">
        <v>40</v>
      </c>
      <c r="D581" t="s">
        <v>41</v>
      </c>
      <c r="E581" t="s">
        <v>69</v>
      </c>
      <c r="F581">
        <v>208663</v>
      </c>
      <c r="G581">
        <v>208663</v>
      </c>
      <c r="H581">
        <v>96</v>
      </c>
      <c r="I581" s="5">
        <v>0</v>
      </c>
      <c r="J581">
        <v>0</v>
      </c>
      <c r="K581">
        <v>667808</v>
      </c>
      <c r="L581">
        <v>139946</v>
      </c>
      <c r="M581">
        <v>148</v>
      </c>
      <c r="N581">
        <v>36372</v>
      </c>
      <c r="O581" s="43">
        <v>147785528.53152001</v>
      </c>
      <c r="P581" s="14">
        <f t="shared" si="29"/>
        <v>0</v>
      </c>
      <c r="Q581" s="14" t="str">
        <f t="shared" si="27"/>
        <v/>
      </c>
      <c r="R581" s="14" t="str">
        <f t="shared" si="27"/>
        <v/>
      </c>
      <c r="S581" s="14" t="str">
        <f t="shared" si="28"/>
        <v/>
      </c>
      <c r="T581" s="14" t="s">
        <v>72</v>
      </c>
      <c r="U581" s="14">
        <v>0</v>
      </c>
      <c r="V581">
        <v>8635</v>
      </c>
      <c r="W581">
        <v>2.0691162109375201</v>
      </c>
      <c r="X581">
        <v>53.458122109980202</v>
      </c>
      <c r="Y581">
        <v>0.33098746590483902</v>
      </c>
      <c r="Z581" s="31">
        <v>5.3508725703542002</v>
      </c>
      <c r="AA581">
        <v>18.436657078781</v>
      </c>
      <c r="AB581">
        <v>0.08</v>
      </c>
      <c r="AC581">
        <v>422281.52031957201</v>
      </c>
      <c r="AD581">
        <v>483216.74370168633</v>
      </c>
      <c r="AE581">
        <v>1</v>
      </c>
      <c r="AF581">
        <v>51862.303181552117</v>
      </c>
      <c r="AG581">
        <v>420781.40981552709</v>
      </c>
    </row>
    <row r="582" spans="2:33" hidden="1" x14ac:dyDescent="0.25">
      <c r="B582">
        <v>11</v>
      </c>
      <c r="C582" t="s">
        <v>40</v>
      </c>
      <c r="D582" t="s">
        <v>41</v>
      </c>
      <c r="E582" t="s">
        <v>69</v>
      </c>
      <c r="F582">
        <v>208663</v>
      </c>
      <c r="G582">
        <v>208663</v>
      </c>
      <c r="H582">
        <v>97</v>
      </c>
      <c r="I582" s="5">
        <v>0</v>
      </c>
      <c r="J582">
        <v>0</v>
      </c>
      <c r="K582">
        <v>667808</v>
      </c>
      <c r="L582">
        <v>139946</v>
      </c>
      <c r="M582">
        <v>148</v>
      </c>
      <c r="N582">
        <v>36372</v>
      </c>
      <c r="O582" s="43">
        <v>151051443.84</v>
      </c>
      <c r="P582" s="14">
        <f t="shared" si="29"/>
        <v>3265915.3084799945</v>
      </c>
      <c r="Q582" s="14" t="str">
        <f t="shared" si="27"/>
        <v/>
      </c>
      <c r="R582" s="14" t="str">
        <f t="shared" si="27"/>
        <v/>
      </c>
      <c r="S582" s="14" t="str">
        <f t="shared" si="28"/>
        <v/>
      </c>
      <c r="T582" s="14" t="s">
        <v>72</v>
      </c>
      <c r="U582" s="14">
        <v>0</v>
      </c>
      <c r="V582">
        <v>8635</v>
      </c>
      <c r="W582">
        <v>2.2716003417968902</v>
      </c>
      <c r="X582">
        <v>56.625108631840199</v>
      </c>
      <c r="Y582">
        <v>0.31296262236290001</v>
      </c>
      <c r="Z582" s="31">
        <v>1.58632959093013</v>
      </c>
      <c r="AA582">
        <v>7.1462384930582097</v>
      </c>
      <c r="AB582">
        <v>0.08</v>
      </c>
      <c r="AC582">
        <v>422281.52031957201</v>
      </c>
      <c r="AD582">
        <v>483216.74370168633</v>
      </c>
      <c r="AE582">
        <v>1</v>
      </c>
      <c r="AF582">
        <v>51862.303181552117</v>
      </c>
      <c r="AG582">
        <v>420781.40981552709</v>
      </c>
    </row>
    <row r="583" spans="2:33" hidden="1" x14ac:dyDescent="0.25">
      <c r="B583">
        <v>11</v>
      </c>
      <c r="C583" t="s">
        <v>40</v>
      </c>
      <c r="D583" t="s">
        <v>41</v>
      </c>
      <c r="E583" t="s">
        <v>69</v>
      </c>
      <c r="F583">
        <v>208663</v>
      </c>
      <c r="G583">
        <v>208663</v>
      </c>
      <c r="H583">
        <v>98</v>
      </c>
      <c r="I583" s="5">
        <v>0</v>
      </c>
      <c r="J583">
        <v>0</v>
      </c>
      <c r="K583">
        <v>667808</v>
      </c>
      <c r="L583">
        <v>139946</v>
      </c>
      <c r="M583">
        <v>148</v>
      </c>
      <c r="N583">
        <v>36372</v>
      </c>
      <c r="O583" s="43">
        <v>149907114.72</v>
      </c>
      <c r="P583" s="14">
        <f t="shared" si="29"/>
        <v>-1144329.1200000048</v>
      </c>
      <c r="Q583" s="14">
        <f t="shared" si="27"/>
        <v>-1144329.1200000048</v>
      </c>
      <c r="R583" s="14">
        <f t="shared" si="27"/>
        <v>-1144329.1200000048</v>
      </c>
      <c r="S583" s="14">
        <f t="shared" si="28"/>
        <v>1309489134879.9854</v>
      </c>
      <c r="T583" s="14">
        <v>1309489134879.9854</v>
      </c>
      <c r="U583" s="14">
        <v>0</v>
      </c>
      <c r="V583">
        <v>8635</v>
      </c>
      <c r="W583">
        <v>5.6867309570312701</v>
      </c>
      <c r="X583">
        <v>35.129151294362302</v>
      </c>
      <c r="Y583">
        <v>0.59486845043807401</v>
      </c>
      <c r="Z583" s="31">
        <v>1.5873788772774</v>
      </c>
      <c r="AA583">
        <v>6.9070226639250203</v>
      </c>
      <c r="AB583">
        <v>0.08</v>
      </c>
      <c r="AC583">
        <v>422281.52031957201</v>
      </c>
      <c r="AD583">
        <v>483216.74370168633</v>
      </c>
      <c r="AE583">
        <v>1</v>
      </c>
      <c r="AF583">
        <v>51862.303181552117</v>
      </c>
      <c r="AG583">
        <v>420781.40981552709</v>
      </c>
    </row>
    <row r="584" spans="2:33" hidden="1" x14ac:dyDescent="0.25">
      <c r="B584">
        <v>11</v>
      </c>
      <c r="C584" t="s">
        <v>40</v>
      </c>
      <c r="D584" t="s">
        <v>41</v>
      </c>
      <c r="E584" t="s">
        <v>69</v>
      </c>
      <c r="F584">
        <v>208663</v>
      </c>
      <c r="G584">
        <v>208663</v>
      </c>
      <c r="H584">
        <v>99</v>
      </c>
      <c r="I584" s="5">
        <v>0</v>
      </c>
      <c r="J584">
        <v>0</v>
      </c>
      <c r="K584">
        <v>667808</v>
      </c>
      <c r="L584">
        <v>139946</v>
      </c>
      <c r="M584">
        <v>148</v>
      </c>
      <c r="N584">
        <v>36372</v>
      </c>
      <c r="O584" s="43">
        <v>149907114.72</v>
      </c>
      <c r="P584" s="14">
        <f t="shared" si="29"/>
        <v>0</v>
      </c>
      <c r="Q584" s="14" t="str">
        <f t="shared" si="27"/>
        <v/>
      </c>
      <c r="R584" s="14" t="str">
        <f t="shared" si="27"/>
        <v/>
      </c>
      <c r="S584" s="14" t="str">
        <f t="shared" si="28"/>
        <v/>
      </c>
      <c r="T584" s="14" t="s">
        <v>72</v>
      </c>
      <c r="U584" s="14">
        <v>0</v>
      </c>
      <c r="V584">
        <v>8635</v>
      </c>
      <c r="W584">
        <v>8.2793212890625192</v>
      </c>
      <c r="X584">
        <v>45.111122858079597</v>
      </c>
      <c r="Y584">
        <v>0.60130604228223705</v>
      </c>
      <c r="Z584" s="31">
        <v>1.92972720068901</v>
      </c>
      <c r="AA584">
        <v>8.9309458623619609</v>
      </c>
      <c r="AB584">
        <v>0.08</v>
      </c>
      <c r="AC584">
        <v>422281.52031957201</v>
      </c>
      <c r="AD584">
        <v>483216.74370168633</v>
      </c>
      <c r="AE584">
        <v>1</v>
      </c>
      <c r="AF584">
        <v>51862.303181552117</v>
      </c>
      <c r="AG584">
        <v>420781.40981552709</v>
      </c>
    </row>
    <row r="585" spans="2:33" hidden="1" x14ac:dyDescent="0.25">
      <c r="B585">
        <v>11</v>
      </c>
      <c r="C585" t="s">
        <v>40</v>
      </c>
      <c r="D585" t="s">
        <v>41</v>
      </c>
      <c r="E585" t="s">
        <v>69</v>
      </c>
      <c r="F585">
        <v>208663</v>
      </c>
      <c r="G585">
        <v>208663</v>
      </c>
      <c r="H585">
        <v>100</v>
      </c>
      <c r="I585" s="5">
        <v>0</v>
      </c>
      <c r="J585">
        <v>0</v>
      </c>
      <c r="K585">
        <v>667808</v>
      </c>
      <c r="L585">
        <v>139946</v>
      </c>
      <c r="M585">
        <v>148</v>
      </c>
      <c r="N585">
        <v>36372</v>
      </c>
      <c r="O585" s="43">
        <v>150479279.28</v>
      </c>
      <c r="P585" s="14">
        <f t="shared" si="29"/>
        <v>572164.56000000238</v>
      </c>
      <c r="Q585" s="14" t="str">
        <f t="shared" si="27"/>
        <v/>
      </c>
      <c r="R585" s="14" t="str">
        <f t="shared" si="27"/>
        <v/>
      </c>
      <c r="S585" s="14" t="str">
        <f t="shared" si="28"/>
        <v/>
      </c>
      <c r="T585" s="14" t="s">
        <v>72</v>
      </c>
      <c r="U585" s="14">
        <v>0</v>
      </c>
      <c r="V585">
        <v>8635</v>
      </c>
      <c r="W585">
        <v>3.0623413085937101</v>
      </c>
      <c r="X585">
        <v>58.232677231476899</v>
      </c>
      <c r="Y585">
        <v>0.31877732087239502</v>
      </c>
      <c r="Z585" s="31">
        <v>2.1607574834232999</v>
      </c>
      <c r="AA585">
        <v>4.6249476645352203</v>
      </c>
      <c r="AB585">
        <v>0.08</v>
      </c>
      <c r="AC585">
        <v>422281.52031957201</v>
      </c>
      <c r="AD585">
        <v>483216.74370168633</v>
      </c>
      <c r="AE585">
        <v>1</v>
      </c>
      <c r="AF585">
        <v>51862.303181552117</v>
      </c>
      <c r="AG585">
        <v>420781.40981552709</v>
      </c>
    </row>
    <row r="586" spans="2:33" hidden="1" x14ac:dyDescent="0.25">
      <c r="B586">
        <v>11</v>
      </c>
      <c r="C586" t="s">
        <v>40</v>
      </c>
      <c r="D586" t="s">
        <v>41</v>
      </c>
      <c r="E586" t="s">
        <v>69</v>
      </c>
      <c r="F586">
        <v>208663</v>
      </c>
      <c r="G586">
        <v>208663</v>
      </c>
      <c r="H586">
        <v>101</v>
      </c>
      <c r="I586" s="5">
        <v>0</v>
      </c>
      <c r="J586">
        <v>0</v>
      </c>
      <c r="K586">
        <v>667808</v>
      </c>
      <c r="L586">
        <v>139946</v>
      </c>
      <c r="M586">
        <v>148</v>
      </c>
      <c r="N586">
        <v>36372</v>
      </c>
      <c r="O586" s="43">
        <v>150708145.104</v>
      </c>
      <c r="P586" s="14">
        <f t="shared" si="29"/>
        <v>228865.82400000095</v>
      </c>
      <c r="Q586" s="14" t="str">
        <f t="shared" si="27"/>
        <v/>
      </c>
      <c r="R586" s="14" t="str">
        <f t="shared" si="27"/>
        <v/>
      </c>
      <c r="S586" s="14" t="str">
        <f t="shared" si="28"/>
        <v/>
      </c>
      <c r="T586" s="14" t="s">
        <v>72</v>
      </c>
      <c r="U586" s="14">
        <v>0</v>
      </c>
      <c r="V586">
        <v>8635</v>
      </c>
      <c r="W586">
        <v>-1.367468262</v>
      </c>
      <c r="X586">
        <v>72.599320850477497</v>
      </c>
      <c r="Y586">
        <v>0.151965880618113</v>
      </c>
      <c r="Z586" s="31">
        <v>1.7146765167378299</v>
      </c>
      <c r="AA586">
        <v>3.4304168108767898</v>
      </c>
      <c r="AB586">
        <v>0.08</v>
      </c>
      <c r="AC586">
        <v>422281.52031957201</v>
      </c>
      <c r="AD586">
        <v>483216.74370168633</v>
      </c>
      <c r="AE586">
        <v>1</v>
      </c>
      <c r="AF586">
        <v>51862.303181552117</v>
      </c>
      <c r="AG586">
        <v>420781.40981552709</v>
      </c>
    </row>
    <row r="587" spans="2:33" hidden="1" x14ac:dyDescent="0.25">
      <c r="B587">
        <v>11</v>
      </c>
      <c r="C587" t="s">
        <v>40</v>
      </c>
      <c r="D587" t="s">
        <v>41</v>
      </c>
      <c r="E587" t="s">
        <v>69</v>
      </c>
      <c r="F587">
        <v>208663</v>
      </c>
      <c r="G587">
        <v>208663</v>
      </c>
      <c r="H587">
        <v>102</v>
      </c>
      <c r="I587" s="5">
        <v>0</v>
      </c>
      <c r="J587">
        <v>0</v>
      </c>
      <c r="K587">
        <v>667808</v>
      </c>
      <c r="L587">
        <v>139946</v>
      </c>
      <c r="M587">
        <v>148</v>
      </c>
      <c r="N587">
        <v>36372</v>
      </c>
      <c r="O587" s="43">
        <v>150708145.104</v>
      </c>
      <c r="P587" s="14">
        <f t="shared" si="29"/>
        <v>0</v>
      </c>
      <c r="Q587" s="14" t="str">
        <f t="shared" si="27"/>
        <v/>
      </c>
      <c r="R587" s="14" t="str">
        <f t="shared" si="27"/>
        <v/>
      </c>
      <c r="S587" s="14" t="str">
        <f t="shared" si="28"/>
        <v/>
      </c>
      <c r="T587" s="14" t="s">
        <v>72</v>
      </c>
      <c r="U587" s="14">
        <v>0</v>
      </c>
      <c r="V587">
        <v>8635</v>
      </c>
      <c r="W587">
        <v>-1.8317626950000001</v>
      </c>
      <c r="X587">
        <v>44.2871073384703</v>
      </c>
      <c r="Y587">
        <v>0.29847608155595401</v>
      </c>
      <c r="Z587" s="31">
        <v>1.47981326990906</v>
      </c>
      <c r="AA587">
        <v>5.2385092936071702</v>
      </c>
      <c r="AB587">
        <v>0.08</v>
      </c>
      <c r="AC587">
        <v>422281.52031957201</v>
      </c>
      <c r="AD587">
        <v>483216.74370168633</v>
      </c>
      <c r="AE587">
        <v>1</v>
      </c>
      <c r="AF587">
        <v>51862.303181552117</v>
      </c>
      <c r="AG587">
        <v>420781.40981552709</v>
      </c>
    </row>
    <row r="588" spans="2:33" hidden="1" x14ac:dyDescent="0.25">
      <c r="B588">
        <v>11</v>
      </c>
      <c r="C588" t="s">
        <v>40</v>
      </c>
      <c r="D588" t="s">
        <v>41</v>
      </c>
      <c r="E588" t="s">
        <v>69</v>
      </c>
      <c r="F588">
        <v>208663</v>
      </c>
      <c r="G588">
        <v>208663</v>
      </c>
      <c r="H588">
        <v>103</v>
      </c>
      <c r="I588" s="5">
        <v>0</v>
      </c>
      <c r="J588">
        <v>0</v>
      </c>
      <c r="K588">
        <v>667808</v>
      </c>
      <c r="L588">
        <v>139946</v>
      </c>
      <c r="M588">
        <v>148</v>
      </c>
      <c r="N588">
        <v>36372</v>
      </c>
      <c r="O588" s="43">
        <v>152341102.75824001</v>
      </c>
      <c r="P588" s="14">
        <f t="shared" si="29"/>
        <v>1632957.6542400122</v>
      </c>
      <c r="Q588" s="14" t="str">
        <f t="shared" si="27"/>
        <v/>
      </c>
      <c r="R588" s="14" t="str">
        <f t="shared" si="27"/>
        <v/>
      </c>
      <c r="S588" s="14" t="str">
        <f t="shared" si="28"/>
        <v/>
      </c>
      <c r="T588" s="14" t="s">
        <v>72</v>
      </c>
      <c r="U588" s="14">
        <v>0</v>
      </c>
      <c r="V588">
        <v>8635</v>
      </c>
      <c r="W588">
        <v>-3.168737793</v>
      </c>
      <c r="X588">
        <v>47.324146743087297</v>
      </c>
      <c r="Y588">
        <v>0.25556993700000002</v>
      </c>
      <c r="Z588" s="31">
        <v>1.8946128110559299</v>
      </c>
      <c r="AA588">
        <v>4.4652232859999996</v>
      </c>
      <c r="AB588">
        <v>0.08</v>
      </c>
      <c r="AC588">
        <v>422281.52031957201</v>
      </c>
      <c r="AD588">
        <v>483216.74370168633</v>
      </c>
      <c r="AE588">
        <v>1</v>
      </c>
      <c r="AF588">
        <v>51862.303181552117</v>
      </c>
      <c r="AG588">
        <v>420781.40981552709</v>
      </c>
    </row>
    <row r="589" spans="2:33" hidden="1" x14ac:dyDescent="0.25">
      <c r="B589">
        <v>11</v>
      </c>
      <c r="C589" t="s">
        <v>40</v>
      </c>
      <c r="D589" t="s">
        <v>41</v>
      </c>
      <c r="E589" t="s">
        <v>69</v>
      </c>
      <c r="F589">
        <v>208663</v>
      </c>
      <c r="G589">
        <v>208663</v>
      </c>
      <c r="H589">
        <v>104</v>
      </c>
      <c r="I589" s="5">
        <v>0</v>
      </c>
      <c r="J589">
        <v>0</v>
      </c>
      <c r="K589">
        <v>667808</v>
      </c>
      <c r="L589">
        <v>139946</v>
      </c>
      <c r="M589">
        <v>148</v>
      </c>
      <c r="N589">
        <v>36372</v>
      </c>
      <c r="O589" s="43">
        <v>152510463.46799999</v>
      </c>
      <c r="P589" s="14">
        <f t="shared" si="29"/>
        <v>169360.70975998044</v>
      </c>
      <c r="Q589" s="14" t="str">
        <f t="shared" si="27"/>
        <v/>
      </c>
      <c r="R589" s="14" t="str">
        <f t="shared" si="27"/>
        <v/>
      </c>
      <c r="S589" s="14" t="str">
        <f t="shared" si="28"/>
        <v/>
      </c>
      <c r="T589" s="14" t="s">
        <v>72</v>
      </c>
      <c r="U589" s="14">
        <v>0</v>
      </c>
      <c r="V589">
        <v>8635</v>
      </c>
      <c r="W589">
        <v>2.1779418945312701</v>
      </c>
      <c r="X589">
        <v>57.486807916267203</v>
      </c>
      <c r="Y589">
        <v>0.30470662857223302</v>
      </c>
      <c r="Z589" s="31">
        <v>1.3791076849999999</v>
      </c>
      <c r="AA589">
        <v>4.5309756707727802</v>
      </c>
      <c r="AB589">
        <v>0.08</v>
      </c>
      <c r="AC589">
        <v>422281.52031957201</v>
      </c>
      <c r="AD589">
        <v>483216.74370168633</v>
      </c>
      <c r="AE589">
        <v>1</v>
      </c>
      <c r="AF589">
        <v>51862.303181552117</v>
      </c>
      <c r="AG589">
        <v>420781.40981552709</v>
      </c>
    </row>
    <row r="590" spans="2:33" hidden="1" x14ac:dyDescent="0.25">
      <c r="B590">
        <v>11</v>
      </c>
      <c r="C590" t="s">
        <v>40</v>
      </c>
      <c r="D590" t="s">
        <v>41</v>
      </c>
      <c r="E590" t="s">
        <v>69</v>
      </c>
      <c r="F590">
        <v>208663</v>
      </c>
      <c r="G590">
        <v>208663</v>
      </c>
      <c r="H590">
        <v>105</v>
      </c>
      <c r="I590" s="5">
        <v>0</v>
      </c>
      <c r="J590">
        <v>0</v>
      </c>
      <c r="K590">
        <v>667808</v>
      </c>
      <c r="L590">
        <v>139946</v>
      </c>
      <c r="M590">
        <v>148</v>
      </c>
      <c r="N590">
        <v>36372</v>
      </c>
      <c r="O590" s="43">
        <v>153111236.25600001</v>
      </c>
      <c r="P590" s="14">
        <f t="shared" si="29"/>
        <v>600772.7880000174</v>
      </c>
      <c r="Q590" s="14" t="str">
        <f t="shared" si="27"/>
        <v/>
      </c>
      <c r="R590" s="14" t="str">
        <f t="shared" si="27"/>
        <v/>
      </c>
      <c r="S590" s="14" t="str">
        <f t="shared" si="28"/>
        <v/>
      </c>
      <c r="T590" s="14" t="s">
        <v>72</v>
      </c>
      <c r="U590" s="14">
        <v>0</v>
      </c>
      <c r="V590">
        <v>8635</v>
      </c>
      <c r="W590">
        <v>-7.4657348629999998</v>
      </c>
      <c r="X590">
        <v>85.025574296901794</v>
      </c>
      <c r="Y590">
        <v>5.2447714236354998E-2</v>
      </c>
      <c r="Z590" s="31">
        <v>0.87133271060022699</v>
      </c>
      <c r="AA590">
        <v>3.4730384743228599</v>
      </c>
      <c r="AB590">
        <v>0.08</v>
      </c>
      <c r="AC590">
        <v>422281.52031957201</v>
      </c>
      <c r="AD590">
        <v>483216.74370168633</v>
      </c>
      <c r="AE590">
        <v>1</v>
      </c>
      <c r="AF590">
        <v>51862.303181552117</v>
      </c>
      <c r="AG590">
        <v>420781.40981552709</v>
      </c>
    </row>
    <row r="591" spans="2:33" hidden="1" x14ac:dyDescent="0.25">
      <c r="B591">
        <v>11</v>
      </c>
      <c r="C591" t="s">
        <v>40</v>
      </c>
      <c r="D591" t="s">
        <v>41</v>
      </c>
      <c r="E591" t="s">
        <v>69</v>
      </c>
      <c r="F591">
        <v>208663</v>
      </c>
      <c r="G591">
        <v>208663</v>
      </c>
      <c r="H591">
        <v>106</v>
      </c>
      <c r="I591" s="5">
        <v>0</v>
      </c>
      <c r="J591">
        <v>0</v>
      </c>
      <c r="K591">
        <v>667808</v>
      </c>
      <c r="L591">
        <v>139946</v>
      </c>
      <c r="M591">
        <v>148</v>
      </c>
      <c r="N591">
        <v>36372</v>
      </c>
      <c r="O591" s="43">
        <v>154369998.28799999</v>
      </c>
      <c r="P591" s="14">
        <f t="shared" si="29"/>
        <v>1258762.0319999754</v>
      </c>
      <c r="Q591" s="14" t="str">
        <f t="shared" si="27"/>
        <v/>
      </c>
      <c r="R591" s="14" t="str">
        <f t="shared" si="27"/>
        <v/>
      </c>
      <c r="S591" s="14" t="str">
        <f t="shared" si="28"/>
        <v/>
      </c>
      <c r="T591" s="14" t="s">
        <v>72</v>
      </c>
      <c r="U591" s="14">
        <v>0</v>
      </c>
      <c r="V591">
        <v>8635</v>
      </c>
      <c r="W591">
        <v>-3.2001708980000001</v>
      </c>
      <c r="X591">
        <v>58.0237784545849</v>
      </c>
      <c r="Y591">
        <v>0.20322347361586399</v>
      </c>
      <c r="Z591" s="31">
        <v>2.3542405611180399</v>
      </c>
      <c r="AA591">
        <v>8.1671090967372795</v>
      </c>
      <c r="AB591">
        <v>0.08</v>
      </c>
      <c r="AC591">
        <v>422281.52031957201</v>
      </c>
      <c r="AD591">
        <v>483216.74370168633</v>
      </c>
      <c r="AE591">
        <v>1</v>
      </c>
      <c r="AF591">
        <v>51862.303181552117</v>
      </c>
      <c r="AG591">
        <v>420781.40981552709</v>
      </c>
    </row>
    <row r="592" spans="2:33" hidden="1" x14ac:dyDescent="0.25">
      <c r="B592">
        <v>11</v>
      </c>
      <c r="C592" t="s">
        <v>40</v>
      </c>
      <c r="D592" t="s">
        <v>41</v>
      </c>
      <c r="E592" t="s">
        <v>69</v>
      </c>
      <c r="F592">
        <v>208663</v>
      </c>
      <c r="G592">
        <v>208663</v>
      </c>
      <c r="H592">
        <v>107</v>
      </c>
      <c r="I592" s="5">
        <v>0</v>
      </c>
      <c r="J592">
        <v>0</v>
      </c>
      <c r="K592">
        <v>667808</v>
      </c>
      <c r="L592">
        <v>139946</v>
      </c>
      <c r="M592">
        <v>148</v>
      </c>
      <c r="N592">
        <v>36372</v>
      </c>
      <c r="O592" s="43">
        <v>154598864.11199999</v>
      </c>
      <c r="P592" s="14">
        <f t="shared" si="29"/>
        <v>228865.82400000095</v>
      </c>
      <c r="Q592" s="14" t="str">
        <f t="shared" si="27"/>
        <v/>
      </c>
      <c r="R592" s="14" t="str">
        <f t="shared" si="27"/>
        <v/>
      </c>
      <c r="S592" s="14" t="str">
        <f t="shared" si="28"/>
        <v/>
      </c>
      <c r="T592" s="14" t="s">
        <v>72</v>
      </c>
      <c r="U592" s="14">
        <v>0</v>
      </c>
      <c r="V592">
        <v>8635</v>
      </c>
      <c r="W592">
        <v>-5.7588256839999996</v>
      </c>
      <c r="X592">
        <v>76.896280619039004</v>
      </c>
      <c r="Y592">
        <v>9.2247365999999997E-2</v>
      </c>
      <c r="Z592" s="31">
        <v>1.58819331245202</v>
      </c>
      <c r="AA592">
        <v>2.73977264170649</v>
      </c>
      <c r="AB592">
        <v>0.08</v>
      </c>
      <c r="AC592">
        <v>422281.52031957201</v>
      </c>
      <c r="AD592">
        <v>483216.74370168633</v>
      </c>
      <c r="AE592">
        <v>1</v>
      </c>
      <c r="AF592">
        <v>51862.303181552117</v>
      </c>
      <c r="AG592">
        <v>420781.40981552709</v>
      </c>
    </row>
    <row r="593" spans="1:33" hidden="1" x14ac:dyDescent="0.25">
      <c r="B593">
        <v>11</v>
      </c>
      <c r="C593" t="s">
        <v>40</v>
      </c>
      <c r="D593" t="s">
        <v>41</v>
      </c>
      <c r="E593" t="s">
        <v>69</v>
      </c>
      <c r="F593">
        <v>208663</v>
      </c>
      <c r="G593">
        <v>208663</v>
      </c>
      <c r="H593">
        <v>108</v>
      </c>
      <c r="I593" s="5">
        <v>0</v>
      </c>
      <c r="J593">
        <v>0</v>
      </c>
      <c r="K593">
        <v>667808</v>
      </c>
      <c r="L593">
        <v>139946</v>
      </c>
      <c r="M593">
        <v>148</v>
      </c>
      <c r="N593">
        <v>36372</v>
      </c>
      <c r="O593" s="43">
        <v>154791111.40415999</v>
      </c>
      <c r="P593" s="14">
        <f t="shared" si="29"/>
        <v>192247.29216000438</v>
      </c>
      <c r="Q593" s="14" t="str">
        <f t="shared" si="27"/>
        <v/>
      </c>
      <c r="R593" s="14" t="str">
        <f t="shared" si="27"/>
        <v/>
      </c>
      <c r="S593" s="14" t="str">
        <f t="shared" si="28"/>
        <v/>
      </c>
      <c r="T593" s="14" t="s">
        <v>72</v>
      </c>
      <c r="U593" s="14">
        <v>0</v>
      </c>
      <c r="V593">
        <v>8635</v>
      </c>
      <c r="W593">
        <v>-7.8280090329999998</v>
      </c>
      <c r="X593">
        <v>56.880968493437301</v>
      </c>
      <c r="Y593">
        <v>0.14676222705893799</v>
      </c>
      <c r="Z593" s="31">
        <v>1.8503549664513901</v>
      </c>
      <c r="AA593">
        <v>1.89724604000301</v>
      </c>
      <c r="AB593">
        <v>0.08</v>
      </c>
      <c r="AC593">
        <v>422281.52031957201</v>
      </c>
      <c r="AD593">
        <v>483216.74370168633</v>
      </c>
      <c r="AE593">
        <v>1</v>
      </c>
      <c r="AF593">
        <v>51862.303181552117</v>
      </c>
      <c r="AG593">
        <v>420781.40981552709</v>
      </c>
    </row>
    <row r="594" spans="1:33" hidden="1" x14ac:dyDescent="0.25">
      <c r="B594">
        <v>11</v>
      </c>
      <c r="C594" t="s">
        <v>40</v>
      </c>
      <c r="D594" t="s">
        <v>41</v>
      </c>
      <c r="E594" t="s">
        <v>69</v>
      </c>
      <c r="F594">
        <v>208663</v>
      </c>
      <c r="G594">
        <v>208663</v>
      </c>
      <c r="H594">
        <v>109</v>
      </c>
      <c r="I594" s="5">
        <v>0</v>
      </c>
      <c r="J594">
        <v>0</v>
      </c>
      <c r="K594">
        <v>667808</v>
      </c>
      <c r="L594">
        <v>139946</v>
      </c>
      <c r="M594">
        <v>148</v>
      </c>
      <c r="N594">
        <v>36372</v>
      </c>
      <c r="O594" s="43">
        <v>155068039.0512</v>
      </c>
      <c r="P594" s="14">
        <f t="shared" si="29"/>
        <v>276927.6470400095</v>
      </c>
      <c r="Q594" s="14" t="str">
        <f t="shared" si="27"/>
        <v/>
      </c>
      <c r="R594" s="14" t="str">
        <f t="shared" si="27"/>
        <v/>
      </c>
      <c r="S594" s="14" t="str">
        <f t="shared" si="28"/>
        <v/>
      </c>
      <c r="T594" s="14" t="s">
        <v>72</v>
      </c>
      <c r="U594" s="14">
        <v>0</v>
      </c>
      <c r="V594">
        <v>8635</v>
      </c>
      <c r="W594">
        <v>-1.6968749999999999</v>
      </c>
      <c r="X594">
        <v>58.070450383345197</v>
      </c>
      <c r="Y594">
        <v>0.22693523768931601</v>
      </c>
      <c r="Z594" s="31">
        <v>2.26290752039771</v>
      </c>
      <c r="AA594">
        <v>4.5460667303721403</v>
      </c>
      <c r="AB594">
        <v>0.08</v>
      </c>
      <c r="AC594">
        <v>422281.52031957201</v>
      </c>
      <c r="AD594">
        <v>483216.74370168633</v>
      </c>
      <c r="AE594">
        <v>1</v>
      </c>
      <c r="AF594">
        <v>51862.303181552117</v>
      </c>
      <c r="AG594">
        <v>420781.40981552709</v>
      </c>
    </row>
    <row r="595" spans="1:33" hidden="1" x14ac:dyDescent="0.25">
      <c r="B595">
        <v>11</v>
      </c>
      <c r="C595" t="s">
        <v>40</v>
      </c>
      <c r="D595" t="s">
        <v>41</v>
      </c>
      <c r="E595" t="s">
        <v>69</v>
      </c>
      <c r="F595">
        <v>208663</v>
      </c>
      <c r="G595">
        <v>208663</v>
      </c>
      <c r="H595">
        <v>110</v>
      </c>
      <c r="I595" s="5">
        <v>0</v>
      </c>
      <c r="J595">
        <v>0</v>
      </c>
      <c r="K595">
        <v>667808</v>
      </c>
      <c r="L595">
        <v>139946</v>
      </c>
      <c r="M595">
        <v>148</v>
      </c>
      <c r="N595">
        <v>36372</v>
      </c>
      <c r="O595" s="43">
        <v>152539071.69600001</v>
      </c>
      <c r="P595" s="14">
        <f t="shared" si="29"/>
        <v>-2528967.3551999927</v>
      </c>
      <c r="Q595" s="14">
        <f t="shared" si="27"/>
        <v>-2528967.3551999927</v>
      </c>
      <c r="R595" s="14">
        <f t="shared" si="27"/>
        <v>-2528967.3551999927</v>
      </c>
      <c r="S595" s="14">
        <f t="shared" si="28"/>
        <v>6395675883667.2461</v>
      </c>
      <c r="T595" s="14">
        <v>6395675883667.2461</v>
      </c>
      <c r="U595" s="14">
        <v>0</v>
      </c>
      <c r="V595">
        <v>8635</v>
      </c>
      <c r="W595">
        <v>-5.1370605469999999</v>
      </c>
      <c r="X595">
        <v>55.366762676322097</v>
      </c>
      <c r="Y595">
        <v>0.18676985424661499</v>
      </c>
      <c r="Z595" s="31">
        <v>0.69918711200000006</v>
      </c>
      <c r="AA595">
        <v>3.9548893967092802</v>
      </c>
      <c r="AB595">
        <v>0.08</v>
      </c>
      <c r="AC595">
        <v>422281.52031957201</v>
      </c>
      <c r="AD595">
        <v>483216.74370168633</v>
      </c>
      <c r="AE595">
        <v>1</v>
      </c>
      <c r="AF595">
        <v>51862.303181552117</v>
      </c>
      <c r="AG595">
        <v>420781.40981552709</v>
      </c>
    </row>
    <row r="596" spans="1:33" hidden="1" x14ac:dyDescent="0.25">
      <c r="A596" t="s">
        <v>100</v>
      </c>
      <c r="B596">
        <v>12</v>
      </c>
      <c r="C596" t="s">
        <v>42</v>
      </c>
      <c r="D596" t="s">
        <v>28</v>
      </c>
      <c r="E596" t="s">
        <v>67</v>
      </c>
      <c r="F596">
        <v>1300</v>
      </c>
      <c r="G596">
        <v>91810</v>
      </c>
      <c r="H596">
        <v>1</v>
      </c>
      <c r="I596" s="5">
        <v>0</v>
      </c>
      <c r="J596">
        <v>0.39647097266093018</v>
      </c>
      <c r="K596">
        <v>2599</v>
      </c>
      <c r="L596">
        <v>330210</v>
      </c>
      <c r="M596">
        <v>14366</v>
      </c>
      <c r="N596">
        <v>55220</v>
      </c>
      <c r="O596" s="43">
        <v>339228</v>
      </c>
      <c r="P596" s="14">
        <v>0</v>
      </c>
      <c r="Q596" s="14" t="str">
        <f t="shared" si="27"/>
        <v/>
      </c>
      <c r="R596" s="14" t="str">
        <f t="shared" si="27"/>
        <v/>
      </c>
      <c r="S596" s="14" t="str">
        <f t="shared" si="28"/>
        <v/>
      </c>
      <c r="T596" s="14" t="s">
        <v>72</v>
      </c>
      <c r="U596" s="14">
        <v>0</v>
      </c>
      <c r="V596">
        <v>6719</v>
      </c>
      <c r="W596">
        <v>31.050683593750001</v>
      </c>
      <c r="X596">
        <v>8.4861213511339209</v>
      </c>
      <c r="Y596">
        <v>4.1244660475661998</v>
      </c>
      <c r="Z596" s="31">
        <v>2.34882715302478</v>
      </c>
      <c r="AA596">
        <v>4.5909068224318199</v>
      </c>
      <c r="AB596">
        <v>0.09</v>
      </c>
      <c r="AC596">
        <v>174843.22861728599</v>
      </c>
      <c r="AD596">
        <v>197712.72292042701</v>
      </c>
      <c r="AE596">
        <v>1</v>
      </c>
      <c r="AF596">
        <v>398.97776448128269</v>
      </c>
      <c r="AG596">
        <v>6070.3446782746314</v>
      </c>
    </row>
    <row r="597" spans="1:33" hidden="1" x14ac:dyDescent="0.25">
      <c r="B597">
        <v>12</v>
      </c>
      <c r="C597" t="s">
        <v>42</v>
      </c>
      <c r="D597" t="s">
        <v>28</v>
      </c>
      <c r="E597" t="s">
        <v>67</v>
      </c>
      <c r="F597">
        <v>27392</v>
      </c>
      <c r="G597">
        <v>91810</v>
      </c>
      <c r="H597">
        <v>2</v>
      </c>
      <c r="I597" s="5">
        <v>0</v>
      </c>
      <c r="J597">
        <v>7.9574773989761471</v>
      </c>
      <c r="K597">
        <v>2599</v>
      </c>
      <c r="L597">
        <v>330210</v>
      </c>
      <c r="M597">
        <v>14366</v>
      </c>
      <c r="N597">
        <v>55220</v>
      </c>
      <c r="O597" s="43">
        <v>339228</v>
      </c>
      <c r="P597" s="14">
        <f>O597-O596</f>
        <v>0</v>
      </c>
      <c r="Q597" s="14" t="str">
        <f t="shared" si="27"/>
        <v/>
      </c>
      <c r="R597" s="14" t="str">
        <f t="shared" si="27"/>
        <v/>
      </c>
      <c r="S597" s="14" t="str">
        <f t="shared" si="28"/>
        <v/>
      </c>
      <c r="T597" s="14" t="s">
        <v>72</v>
      </c>
      <c r="U597" s="14">
        <v>0</v>
      </c>
      <c r="V597">
        <v>6719</v>
      </c>
      <c r="W597">
        <v>30.473596191406301</v>
      </c>
      <c r="X597">
        <v>16.513426778349899</v>
      </c>
      <c r="Y597">
        <v>3.64046939702714</v>
      </c>
      <c r="Z597" s="31">
        <v>3.18784274984217</v>
      </c>
      <c r="AA597">
        <v>6.122256914257</v>
      </c>
      <c r="AB597">
        <v>0.09</v>
      </c>
      <c r="AC597">
        <v>174843.22861728599</v>
      </c>
      <c r="AD597">
        <v>197712.72292042701</v>
      </c>
      <c r="AE597">
        <v>1</v>
      </c>
      <c r="AF597">
        <v>398.97776448128269</v>
      </c>
      <c r="AG597">
        <v>6070.3446782746314</v>
      </c>
    </row>
    <row r="598" spans="1:33" hidden="1" x14ac:dyDescent="0.25">
      <c r="B598">
        <v>12</v>
      </c>
      <c r="C598" t="s">
        <v>42</v>
      </c>
      <c r="D598" t="s">
        <v>28</v>
      </c>
      <c r="E598" t="s">
        <v>67</v>
      </c>
      <c r="F598">
        <v>83339</v>
      </c>
      <c r="G598">
        <v>91810</v>
      </c>
      <c r="H598">
        <v>3</v>
      </c>
      <c r="I598" s="5">
        <v>0</v>
      </c>
      <c r="J598">
        <v>17.062585774970049</v>
      </c>
      <c r="K598">
        <v>2599</v>
      </c>
      <c r="L598">
        <v>330210</v>
      </c>
      <c r="M598">
        <v>14366</v>
      </c>
      <c r="N598">
        <v>55220</v>
      </c>
      <c r="O598" s="43">
        <v>559726.19999999995</v>
      </c>
      <c r="P598" s="14">
        <f t="shared" si="29"/>
        <v>220498.19999999995</v>
      </c>
      <c r="Q598" s="14" t="str">
        <f t="shared" si="27"/>
        <v/>
      </c>
      <c r="R598" s="14" t="str">
        <f t="shared" si="27"/>
        <v/>
      </c>
      <c r="S598" s="14" t="str">
        <f t="shared" si="28"/>
        <v/>
      </c>
      <c r="T598" s="14" t="s">
        <v>72</v>
      </c>
      <c r="U598" s="14">
        <v>0</v>
      </c>
      <c r="V598">
        <v>6719</v>
      </c>
      <c r="W598">
        <v>29.471307373046901</v>
      </c>
      <c r="X598">
        <v>20.611603512421599</v>
      </c>
      <c r="Y598">
        <v>3.26824245807145</v>
      </c>
      <c r="Z598" s="31">
        <v>4.2273687677876</v>
      </c>
      <c r="AA598">
        <v>9.2926538069740499</v>
      </c>
      <c r="AB598">
        <v>0.09</v>
      </c>
      <c r="AC598">
        <v>174843.22861728599</v>
      </c>
      <c r="AD598">
        <v>197712.72292042701</v>
      </c>
      <c r="AE598">
        <v>1</v>
      </c>
      <c r="AF598">
        <v>398.97776448128269</v>
      </c>
      <c r="AG598">
        <v>6070.3446782746314</v>
      </c>
    </row>
    <row r="599" spans="1:33" hidden="1" x14ac:dyDescent="0.25">
      <c r="B599">
        <v>12</v>
      </c>
      <c r="C599" t="s">
        <v>42</v>
      </c>
      <c r="D599" t="s">
        <v>28</v>
      </c>
      <c r="E599" t="s">
        <v>67</v>
      </c>
      <c r="F599">
        <v>85901</v>
      </c>
      <c r="G599">
        <v>91810</v>
      </c>
      <c r="H599">
        <v>4</v>
      </c>
      <c r="I599">
        <v>1300</v>
      </c>
      <c r="J599">
        <v>0.78135279381331013</v>
      </c>
      <c r="K599">
        <v>2599</v>
      </c>
      <c r="L599">
        <v>330210</v>
      </c>
      <c r="M599">
        <v>14366</v>
      </c>
      <c r="N599">
        <v>55220</v>
      </c>
      <c r="O599" s="43">
        <v>2967872.9799600001</v>
      </c>
      <c r="P599" s="14">
        <f t="shared" si="29"/>
        <v>2408146.77996</v>
      </c>
      <c r="Q599" s="14" t="str">
        <f t="shared" si="27"/>
        <v/>
      </c>
      <c r="R599" s="14" t="str">
        <f t="shared" si="27"/>
        <v/>
      </c>
      <c r="S599" s="14" t="str">
        <f t="shared" si="28"/>
        <v/>
      </c>
      <c r="T599" s="14" t="s">
        <v>72</v>
      </c>
      <c r="U599" s="14">
        <v>1852.4205999692308</v>
      </c>
      <c r="V599">
        <v>6719</v>
      </c>
      <c r="W599">
        <v>25.345788574218801</v>
      </c>
      <c r="X599">
        <v>27.095141692347401</v>
      </c>
      <c r="Y599">
        <v>2.35827582610563</v>
      </c>
      <c r="Z599" s="31">
        <v>4.3673870526712397</v>
      </c>
      <c r="AA599">
        <v>15.2581134990298</v>
      </c>
      <c r="AB599">
        <v>0.09</v>
      </c>
      <c r="AC599">
        <v>174843.22861728599</v>
      </c>
      <c r="AD599">
        <v>197712.72292042701</v>
      </c>
      <c r="AE599">
        <v>1</v>
      </c>
      <c r="AF599">
        <v>398.97776448128269</v>
      </c>
      <c r="AG599">
        <v>6070.3446782746314</v>
      </c>
    </row>
    <row r="600" spans="1:33" hidden="1" x14ac:dyDescent="0.25">
      <c r="B600">
        <v>12</v>
      </c>
      <c r="C600" t="s">
        <v>42</v>
      </c>
      <c r="D600" t="s">
        <v>28</v>
      </c>
      <c r="E600" t="s">
        <v>67</v>
      </c>
      <c r="F600">
        <v>86170</v>
      </c>
      <c r="G600">
        <v>91810</v>
      </c>
      <c r="H600">
        <v>5</v>
      </c>
      <c r="I600">
        <v>26092</v>
      </c>
      <c r="J600">
        <v>8.2038993573684785E-2</v>
      </c>
      <c r="K600">
        <v>2599</v>
      </c>
      <c r="L600">
        <v>330210</v>
      </c>
      <c r="M600">
        <v>14366</v>
      </c>
      <c r="N600">
        <v>55220</v>
      </c>
      <c r="O600" s="43">
        <v>4594762.9760400001</v>
      </c>
      <c r="P600" s="14">
        <f t="shared" si="29"/>
        <v>1626889.99608</v>
      </c>
      <c r="Q600" s="14" t="str">
        <f t="shared" si="27"/>
        <v/>
      </c>
      <c r="R600" s="14" t="str">
        <f t="shared" si="27"/>
        <v/>
      </c>
      <c r="S600" s="14" t="str">
        <f t="shared" si="28"/>
        <v/>
      </c>
      <c r="T600" s="14" t="s">
        <v>72</v>
      </c>
      <c r="U600" s="14">
        <v>62.352061784455003</v>
      </c>
      <c r="V600">
        <v>6719</v>
      </c>
      <c r="W600">
        <v>16.912530517578102</v>
      </c>
      <c r="X600">
        <v>74.294399015531795</v>
      </c>
      <c r="Y600">
        <v>0.495681470679048</v>
      </c>
      <c r="Z600" s="31">
        <v>2.7403849051360201</v>
      </c>
      <c r="AA600">
        <v>8.5439031947554405</v>
      </c>
      <c r="AB600">
        <v>0.09</v>
      </c>
      <c r="AC600">
        <v>174843.22861728599</v>
      </c>
      <c r="AD600">
        <v>197712.72292042701</v>
      </c>
      <c r="AE600">
        <v>1</v>
      </c>
      <c r="AF600">
        <v>398.97776448128269</v>
      </c>
      <c r="AG600">
        <v>6070.3446782746314</v>
      </c>
    </row>
    <row r="601" spans="1:33" hidden="1" x14ac:dyDescent="0.25">
      <c r="B601">
        <v>12</v>
      </c>
      <c r="C601" t="s">
        <v>42</v>
      </c>
      <c r="D601" t="s">
        <v>28</v>
      </c>
      <c r="E601" t="s">
        <v>67</v>
      </c>
      <c r="F601">
        <v>86282</v>
      </c>
      <c r="G601">
        <v>91810</v>
      </c>
      <c r="H601">
        <v>6</v>
      </c>
      <c r="I601">
        <v>55947</v>
      </c>
      <c r="J601">
        <v>3.4157499183095533E-2</v>
      </c>
      <c r="K601">
        <v>2599</v>
      </c>
      <c r="L601">
        <v>330210</v>
      </c>
      <c r="M601">
        <v>14366</v>
      </c>
      <c r="N601">
        <v>55220</v>
      </c>
      <c r="O601" s="43">
        <v>5865676.1550000003</v>
      </c>
      <c r="P601" s="14">
        <f t="shared" si="29"/>
        <v>1270913.1789600002</v>
      </c>
      <c r="Q601" s="14" t="str">
        <f t="shared" si="27"/>
        <v/>
      </c>
      <c r="R601" s="14" t="str">
        <f t="shared" si="27"/>
        <v/>
      </c>
      <c r="S601" s="14" t="str">
        <f t="shared" si="28"/>
        <v/>
      </c>
      <c r="T601" s="14" t="s">
        <v>72</v>
      </c>
      <c r="U601" s="14">
        <v>22.716377624537511</v>
      </c>
      <c r="V601">
        <v>6719</v>
      </c>
      <c r="W601">
        <v>23.366052246093702</v>
      </c>
      <c r="X601">
        <v>31.587123334646201</v>
      </c>
      <c r="Y601">
        <v>1.9658553251055699</v>
      </c>
      <c r="Z601" s="31">
        <v>0.47147021000758299</v>
      </c>
      <c r="AA601">
        <v>3.0788475112764599</v>
      </c>
      <c r="AB601">
        <v>0.09</v>
      </c>
      <c r="AC601">
        <v>174843.22861728599</v>
      </c>
      <c r="AD601">
        <v>197712.72292042701</v>
      </c>
      <c r="AE601">
        <v>1</v>
      </c>
      <c r="AF601">
        <v>398.97776448128269</v>
      </c>
      <c r="AG601">
        <v>6070.3446782746314</v>
      </c>
    </row>
    <row r="602" spans="1:33" hidden="1" x14ac:dyDescent="0.25">
      <c r="B602">
        <v>12</v>
      </c>
      <c r="C602" t="s">
        <v>42</v>
      </c>
      <c r="D602" t="s">
        <v>28</v>
      </c>
      <c r="E602" t="s">
        <v>67</v>
      </c>
      <c r="F602">
        <v>86412</v>
      </c>
      <c r="G602">
        <v>91810</v>
      </c>
      <c r="H602">
        <v>7</v>
      </c>
      <c r="I602">
        <v>2562</v>
      </c>
      <c r="J602">
        <v>3.9647097266093022E-2</v>
      </c>
      <c r="K602">
        <v>2599</v>
      </c>
      <c r="L602">
        <v>330210</v>
      </c>
      <c r="M602">
        <v>14366</v>
      </c>
      <c r="N602">
        <v>55220</v>
      </c>
      <c r="O602" s="43">
        <v>7492585.3739999998</v>
      </c>
      <c r="P602" s="14">
        <f t="shared" si="29"/>
        <v>1626909.2189999996</v>
      </c>
      <c r="Q602" s="14" t="str">
        <f t="shared" si="27"/>
        <v/>
      </c>
      <c r="R602" s="14" t="str">
        <f t="shared" si="27"/>
        <v/>
      </c>
      <c r="S602" s="14" t="str">
        <f t="shared" si="28"/>
        <v/>
      </c>
      <c r="T602" s="14" t="s">
        <v>72</v>
      </c>
      <c r="U602" s="14">
        <v>635.01530796252916</v>
      </c>
      <c r="V602">
        <v>6719</v>
      </c>
      <c r="W602">
        <v>25.141442871093702</v>
      </c>
      <c r="X602">
        <v>25.376462744926801</v>
      </c>
      <c r="Y602">
        <v>2.3848226443359302</v>
      </c>
      <c r="Z602" s="31">
        <v>3.05695129699457</v>
      </c>
      <c r="AA602">
        <v>6.2867154454123</v>
      </c>
      <c r="AB602">
        <v>0.09</v>
      </c>
      <c r="AC602">
        <v>174843.22861728599</v>
      </c>
      <c r="AD602">
        <v>197712.72292042701</v>
      </c>
      <c r="AE602">
        <v>1</v>
      </c>
      <c r="AF602">
        <v>398.97776448128269</v>
      </c>
      <c r="AG602">
        <v>6070.3446782746314</v>
      </c>
    </row>
    <row r="603" spans="1:33" hidden="1" x14ac:dyDescent="0.25">
      <c r="B603">
        <v>12</v>
      </c>
      <c r="C603" t="s">
        <v>42</v>
      </c>
      <c r="D603" t="s">
        <v>28</v>
      </c>
      <c r="E603" t="s">
        <v>67</v>
      </c>
      <c r="F603">
        <v>87019</v>
      </c>
      <c r="G603">
        <v>91810</v>
      </c>
      <c r="H603">
        <v>8</v>
      </c>
      <c r="I603">
        <v>269</v>
      </c>
      <c r="J603">
        <v>0.18512144646552661</v>
      </c>
      <c r="K603">
        <v>2599</v>
      </c>
      <c r="L603">
        <v>330210</v>
      </c>
      <c r="M603">
        <v>14366</v>
      </c>
      <c r="N603">
        <v>55220</v>
      </c>
      <c r="O603" s="43">
        <v>9231274.742039999</v>
      </c>
      <c r="P603" s="14">
        <f t="shared" si="29"/>
        <v>1738689.3680399992</v>
      </c>
      <c r="Q603" s="14" t="str">
        <f t="shared" si="27"/>
        <v/>
      </c>
      <c r="R603" s="14" t="str">
        <f t="shared" si="27"/>
        <v/>
      </c>
      <c r="S603" s="14" t="str">
        <f t="shared" si="28"/>
        <v/>
      </c>
      <c r="T603" s="14" t="s">
        <v>72</v>
      </c>
      <c r="U603" s="14">
        <v>6463.5292492193275</v>
      </c>
      <c r="V603">
        <v>6719</v>
      </c>
      <c r="W603">
        <v>23.543237304687501</v>
      </c>
      <c r="X603">
        <v>28.8500565819255</v>
      </c>
      <c r="Y603">
        <v>2.06650387595369</v>
      </c>
      <c r="Z603" s="31">
        <v>2.9757280421041301</v>
      </c>
      <c r="AA603">
        <v>3.4273057627534702</v>
      </c>
      <c r="AB603">
        <v>0.09</v>
      </c>
      <c r="AC603">
        <v>174843.22861728599</v>
      </c>
      <c r="AD603">
        <v>197712.72292042701</v>
      </c>
      <c r="AE603">
        <v>1</v>
      </c>
      <c r="AF603">
        <v>398.97776448128269</v>
      </c>
      <c r="AG603">
        <v>6070.3446782746314</v>
      </c>
    </row>
    <row r="604" spans="1:33" hidden="1" x14ac:dyDescent="0.25">
      <c r="B604">
        <v>12</v>
      </c>
      <c r="C604" t="s">
        <v>42</v>
      </c>
      <c r="D604" t="s">
        <v>28</v>
      </c>
      <c r="E604" t="s">
        <v>67</v>
      </c>
      <c r="F604">
        <v>87349</v>
      </c>
      <c r="G604">
        <v>91810</v>
      </c>
      <c r="H604">
        <v>9</v>
      </c>
      <c r="I604">
        <v>112</v>
      </c>
      <c r="J604">
        <v>0.1006426315216207</v>
      </c>
      <c r="K604">
        <v>2599</v>
      </c>
      <c r="L604">
        <v>330210</v>
      </c>
      <c r="M604">
        <v>14366</v>
      </c>
      <c r="N604">
        <v>55220</v>
      </c>
      <c r="O604" s="43">
        <v>11025577.148399999</v>
      </c>
      <c r="P604" s="14">
        <f t="shared" si="29"/>
        <v>1794302.4063600004</v>
      </c>
      <c r="Q604" s="14" t="str">
        <f t="shared" si="27"/>
        <v/>
      </c>
      <c r="R604" s="14" t="str">
        <f t="shared" si="27"/>
        <v/>
      </c>
      <c r="S604" s="14" t="str">
        <f t="shared" si="28"/>
        <v/>
      </c>
      <c r="T604" s="14" t="s">
        <v>72</v>
      </c>
      <c r="U604" s="14">
        <v>16020.557199642861</v>
      </c>
      <c r="V604">
        <v>6719</v>
      </c>
      <c r="W604">
        <v>27.186914062500001</v>
      </c>
      <c r="X604">
        <v>13.5649798592755</v>
      </c>
      <c r="Y604">
        <v>3.1169520911878799</v>
      </c>
      <c r="Z604" s="31">
        <v>0.91232092079223404</v>
      </c>
      <c r="AA604">
        <v>3.58092873915909</v>
      </c>
      <c r="AB604">
        <v>0.09</v>
      </c>
      <c r="AC604">
        <v>174843.22861728599</v>
      </c>
      <c r="AD604">
        <v>197712.72292042701</v>
      </c>
      <c r="AE604">
        <v>1</v>
      </c>
      <c r="AF604">
        <v>398.97776448128269</v>
      </c>
      <c r="AG604">
        <v>6070.3446782746314</v>
      </c>
    </row>
    <row r="605" spans="1:33" hidden="1" x14ac:dyDescent="0.25">
      <c r="B605">
        <v>12</v>
      </c>
      <c r="C605" t="s">
        <v>42</v>
      </c>
      <c r="D605" t="s">
        <v>28</v>
      </c>
      <c r="E605" t="s">
        <v>67</v>
      </c>
      <c r="F605">
        <v>87755</v>
      </c>
      <c r="G605">
        <v>91810</v>
      </c>
      <c r="H605">
        <v>10</v>
      </c>
      <c r="I605">
        <v>130</v>
      </c>
      <c r="J605">
        <v>0.1238209345387213</v>
      </c>
      <c r="K605">
        <v>2599</v>
      </c>
      <c r="L605">
        <v>330210</v>
      </c>
      <c r="M605">
        <v>14366</v>
      </c>
      <c r="N605">
        <v>55220</v>
      </c>
      <c r="O605" s="43">
        <v>9980084.3677200004</v>
      </c>
      <c r="P605" s="14">
        <f t="shared" si="29"/>
        <v>-1045492.7806799989</v>
      </c>
      <c r="Q605" s="14">
        <f t="shared" si="27"/>
        <v>-1045492.7806799989</v>
      </c>
      <c r="R605" s="14">
        <f t="shared" si="27"/>
        <v>-1045492.7806799989</v>
      </c>
      <c r="S605" s="14">
        <f t="shared" si="28"/>
        <v>1093055154453.9963</v>
      </c>
      <c r="T605" s="14">
        <v>1093055154453.9963</v>
      </c>
      <c r="U605" s="14">
        <v>-8042.2521590769147</v>
      </c>
      <c r="V605">
        <v>6719</v>
      </c>
      <c r="W605">
        <v>25.884698486328102</v>
      </c>
      <c r="X605">
        <v>20.081227414207099</v>
      </c>
      <c r="Y605">
        <v>2.6692646259367701</v>
      </c>
      <c r="Z605" s="31">
        <v>3.3937329432441801</v>
      </c>
      <c r="AA605">
        <v>6.8104852712441604</v>
      </c>
      <c r="AB605">
        <v>0.09</v>
      </c>
      <c r="AC605">
        <v>174843.22861728599</v>
      </c>
      <c r="AD605">
        <v>197712.72292042701</v>
      </c>
      <c r="AE605">
        <v>1</v>
      </c>
      <c r="AF605">
        <v>398.97776448128269</v>
      </c>
      <c r="AG605">
        <v>6070.3446782746314</v>
      </c>
    </row>
    <row r="606" spans="1:33" hidden="1" x14ac:dyDescent="0.25">
      <c r="B606">
        <v>12</v>
      </c>
      <c r="C606" t="s">
        <v>42</v>
      </c>
      <c r="D606" t="s">
        <v>28</v>
      </c>
      <c r="E606" t="s">
        <v>67</v>
      </c>
      <c r="F606">
        <v>89203</v>
      </c>
      <c r="G606">
        <v>91810</v>
      </c>
      <c r="H606">
        <v>11</v>
      </c>
      <c r="I606">
        <v>607</v>
      </c>
      <c r="J606">
        <v>0.44160766801002072</v>
      </c>
      <c r="K606">
        <v>2599</v>
      </c>
      <c r="L606">
        <v>330210</v>
      </c>
      <c r="M606">
        <v>14366</v>
      </c>
      <c r="N606">
        <v>55220</v>
      </c>
      <c r="O606" s="43">
        <v>11816334.5778</v>
      </c>
      <c r="P606" s="14">
        <f t="shared" si="29"/>
        <v>1836250.2100799996</v>
      </c>
      <c r="Q606" s="14" t="str">
        <f t="shared" si="27"/>
        <v/>
      </c>
      <c r="R606" s="14" t="str">
        <f t="shared" si="27"/>
        <v/>
      </c>
      <c r="S606" s="14" t="str">
        <f t="shared" si="28"/>
        <v/>
      </c>
      <c r="T606" s="14" t="s">
        <v>72</v>
      </c>
      <c r="U606" s="14">
        <v>3025.1239045799007</v>
      </c>
      <c r="V606">
        <v>6719</v>
      </c>
      <c r="W606">
        <v>19.797937011718801</v>
      </c>
      <c r="X606">
        <v>16.575577468416299</v>
      </c>
      <c r="Y606">
        <v>1.92800190210842</v>
      </c>
      <c r="Z606" s="31">
        <v>2.1480002527272699</v>
      </c>
      <c r="AA606">
        <v>4.4954948809702904</v>
      </c>
      <c r="AB606">
        <v>0.09</v>
      </c>
      <c r="AC606">
        <v>174843.22861728599</v>
      </c>
      <c r="AD606">
        <v>197712.72292042701</v>
      </c>
      <c r="AE606">
        <v>1</v>
      </c>
      <c r="AF606">
        <v>398.97776448128269</v>
      </c>
      <c r="AG606">
        <v>6070.3446782746314</v>
      </c>
    </row>
    <row r="607" spans="1:33" hidden="1" x14ac:dyDescent="0.25">
      <c r="B607">
        <v>12</v>
      </c>
      <c r="C607" t="s">
        <v>42</v>
      </c>
      <c r="D607" t="s">
        <v>28</v>
      </c>
      <c r="E607" t="s">
        <v>67</v>
      </c>
      <c r="F607">
        <v>89203</v>
      </c>
      <c r="G607">
        <v>91810</v>
      </c>
      <c r="H607">
        <v>12</v>
      </c>
      <c r="I607">
        <v>330</v>
      </c>
      <c r="J607">
        <v>0</v>
      </c>
      <c r="K607">
        <v>2599</v>
      </c>
      <c r="L607">
        <v>330210</v>
      </c>
      <c r="M607">
        <v>14366</v>
      </c>
      <c r="N607">
        <v>55220</v>
      </c>
      <c r="O607" s="43">
        <v>11816334.5778</v>
      </c>
      <c r="P607" s="14">
        <f t="shared" si="29"/>
        <v>0</v>
      </c>
      <c r="Q607" s="14" t="str">
        <f t="shared" si="27"/>
        <v/>
      </c>
      <c r="R607" s="14" t="str">
        <f t="shared" si="27"/>
        <v/>
      </c>
      <c r="S607" s="14" t="str">
        <f t="shared" si="28"/>
        <v/>
      </c>
      <c r="T607" s="14" t="s">
        <v>72</v>
      </c>
      <c r="U607" s="14">
        <v>0</v>
      </c>
      <c r="V607">
        <v>6719</v>
      </c>
      <c r="W607">
        <v>26.847467041015602</v>
      </c>
      <c r="X607">
        <v>12.003718833393799</v>
      </c>
      <c r="Y607">
        <v>3.1107841627597099</v>
      </c>
      <c r="Z607" s="31">
        <v>5.60436713562245</v>
      </c>
      <c r="AA607">
        <v>12.2328670861381</v>
      </c>
      <c r="AB607">
        <v>0.09</v>
      </c>
      <c r="AC607">
        <v>174843.22861728599</v>
      </c>
      <c r="AD607">
        <v>197712.72292042701</v>
      </c>
      <c r="AE607">
        <v>1</v>
      </c>
      <c r="AF607">
        <v>398.97776448128269</v>
      </c>
      <c r="AG607">
        <v>6070.3446782746314</v>
      </c>
    </row>
    <row r="608" spans="1:33" hidden="1" x14ac:dyDescent="0.25">
      <c r="B608">
        <v>12</v>
      </c>
      <c r="C608" t="s">
        <v>42</v>
      </c>
      <c r="D608" t="s">
        <v>28</v>
      </c>
      <c r="E608" t="s">
        <v>67</v>
      </c>
      <c r="F608">
        <v>90784</v>
      </c>
      <c r="G608">
        <v>91810</v>
      </c>
      <c r="H608">
        <v>13</v>
      </c>
      <c r="I608">
        <v>406</v>
      </c>
      <c r="J608">
        <v>0.48216969828994671</v>
      </c>
      <c r="K608">
        <v>2599</v>
      </c>
      <c r="L608">
        <v>330210</v>
      </c>
      <c r="M608">
        <v>14366</v>
      </c>
      <c r="N608">
        <v>55220</v>
      </c>
      <c r="O608" s="43">
        <v>15050065.0644</v>
      </c>
      <c r="P608" s="14">
        <f t="shared" si="29"/>
        <v>3233730.4866000004</v>
      </c>
      <c r="Q608" s="14" t="str">
        <f t="shared" si="27"/>
        <v/>
      </c>
      <c r="R608" s="14" t="str">
        <f t="shared" si="27"/>
        <v/>
      </c>
      <c r="S608" s="14" t="str">
        <f t="shared" si="28"/>
        <v/>
      </c>
      <c r="T608" s="14" t="s">
        <v>72</v>
      </c>
      <c r="U608" s="14">
        <v>7964.8534152709371</v>
      </c>
      <c r="V608">
        <v>6719</v>
      </c>
      <c r="W608">
        <v>11.857568359375</v>
      </c>
      <c r="X608">
        <v>82.877858951310799</v>
      </c>
      <c r="Y608">
        <v>0.23823294737992101</v>
      </c>
      <c r="Z608" s="31">
        <v>7.0800680555896802</v>
      </c>
      <c r="AA608">
        <v>22.637189427496502</v>
      </c>
      <c r="AB608">
        <v>0.09</v>
      </c>
      <c r="AC608">
        <v>174843.22861728599</v>
      </c>
      <c r="AD608">
        <v>197712.72292042701</v>
      </c>
      <c r="AE608">
        <v>1</v>
      </c>
      <c r="AF608">
        <v>398.97776448128269</v>
      </c>
      <c r="AG608">
        <v>6070.3446782746314</v>
      </c>
    </row>
    <row r="609" spans="1:33" hidden="1" x14ac:dyDescent="0.25">
      <c r="B609">
        <v>12</v>
      </c>
      <c r="C609" t="s">
        <v>42</v>
      </c>
      <c r="D609" t="s">
        <v>28</v>
      </c>
      <c r="E609" t="s">
        <v>67</v>
      </c>
      <c r="F609">
        <v>91392</v>
      </c>
      <c r="G609">
        <v>91810</v>
      </c>
      <c r="H609">
        <v>14</v>
      </c>
      <c r="I609">
        <v>1448</v>
      </c>
      <c r="J609">
        <v>0.1854264241368043</v>
      </c>
      <c r="K609">
        <v>2599</v>
      </c>
      <c r="L609">
        <v>330210</v>
      </c>
      <c r="M609">
        <v>14366</v>
      </c>
      <c r="N609">
        <v>55220</v>
      </c>
      <c r="O609" s="43">
        <v>16294307.007239999</v>
      </c>
      <c r="P609" s="14">
        <f t="shared" si="29"/>
        <v>1244241.9428399988</v>
      </c>
      <c r="Q609" s="14" t="str">
        <f t="shared" si="27"/>
        <v/>
      </c>
      <c r="R609" s="14" t="str">
        <f t="shared" si="27"/>
        <v/>
      </c>
      <c r="S609" s="14" t="str">
        <f t="shared" si="28"/>
        <v/>
      </c>
      <c r="T609" s="14" t="s">
        <v>72</v>
      </c>
      <c r="U609" s="14">
        <v>859.28310969613176</v>
      </c>
      <c r="V609">
        <v>6719</v>
      </c>
      <c r="W609">
        <v>13.7924133300781</v>
      </c>
      <c r="X609">
        <v>35.766374018682598</v>
      </c>
      <c r="Y609">
        <v>1.0144303862213599</v>
      </c>
      <c r="Z609" s="31">
        <v>3.6194653962981902</v>
      </c>
      <c r="AA609">
        <v>7.4998839153616803</v>
      </c>
      <c r="AB609">
        <v>0.09</v>
      </c>
      <c r="AC609">
        <v>174843.22861728599</v>
      </c>
      <c r="AD609">
        <v>197712.72292042701</v>
      </c>
      <c r="AE609">
        <v>1</v>
      </c>
      <c r="AF609">
        <v>398.97776448128269</v>
      </c>
      <c r="AG609">
        <v>6070.3446782746314</v>
      </c>
    </row>
    <row r="610" spans="1:33" hidden="1" x14ac:dyDescent="0.25">
      <c r="B610">
        <v>12</v>
      </c>
      <c r="C610" t="s">
        <v>42</v>
      </c>
      <c r="D610" t="s">
        <v>28</v>
      </c>
      <c r="E610" t="s">
        <v>67</v>
      </c>
      <c r="F610">
        <v>91339</v>
      </c>
      <c r="G610">
        <v>91810</v>
      </c>
      <c r="H610">
        <v>15</v>
      </c>
      <c r="I610">
        <v>0</v>
      </c>
      <c r="J610">
        <v>0</v>
      </c>
      <c r="K610">
        <v>2599</v>
      </c>
      <c r="L610">
        <v>330210</v>
      </c>
      <c r="M610">
        <v>14366</v>
      </c>
      <c r="N610">
        <v>55220</v>
      </c>
      <c r="O610" s="43">
        <v>17654566.056839999</v>
      </c>
      <c r="P610" s="14">
        <f t="shared" si="29"/>
        <v>1360259.0495999996</v>
      </c>
      <c r="Q610" s="14" t="str">
        <f t="shared" si="27"/>
        <v/>
      </c>
      <c r="R610" s="14" t="str">
        <f t="shared" si="27"/>
        <v/>
      </c>
      <c r="S610" s="14" t="str">
        <f t="shared" si="28"/>
        <v/>
      </c>
      <c r="T610" s="14" t="s">
        <v>72</v>
      </c>
      <c r="U610" s="14">
        <v>0</v>
      </c>
      <c r="V610">
        <v>6719</v>
      </c>
      <c r="W610">
        <v>17.526086425781301</v>
      </c>
      <c r="X610">
        <v>33.573345030813002</v>
      </c>
      <c r="Y610">
        <v>1.3319903044349299</v>
      </c>
      <c r="Z610" s="31">
        <v>1.94196931842692</v>
      </c>
      <c r="AA610">
        <v>7.9530262046583804</v>
      </c>
      <c r="AB610">
        <v>0.09</v>
      </c>
      <c r="AC610">
        <v>174843.22861728599</v>
      </c>
      <c r="AD610">
        <v>197712.72292042701</v>
      </c>
      <c r="AE610">
        <v>1</v>
      </c>
      <c r="AF610">
        <v>398.97776448128269</v>
      </c>
      <c r="AG610">
        <v>6070.3446782746314</v>
      </c>
    </row>
    <row r="611" spans="1:33" hidden="1" x14ac:dyDescent="0.25">
      <c r="B611">
        <v>12</v>
      </c>
      <c r="C611" t="s">
        <v>42</v>
      </c>
      <c r="D611" t="s">
        <v>28</v>
      </c>
      <c r="E611" t="s">
        <v>67</v>
      </c>
      <c r="F611">
        <v>91332</v>
      </c>
      <c r="G611">
        <v>91810</v>
      </c>
      <c r="H611">
        <v>16</v>
      </c>
      <c r="I611">
        <v>1581</v>
      </c>
      <c r="J611">
        <v>0</v>
      </c>
      <c r="K611">
        <v>2599</v>
      </c>
      <c r="L611">
        <v>330210</v>
      </c>
      <c r="M611">
        <v>14366</v>
      </c>
      <c r="N611">
        <v>55220</v>
      </c>
      <c r="O611" s="43">
        <v>19044134.405639999</v>
      </c>
      <c r="P611" s="14">
        <f t="shared" si="29"/>
        <v>1389568.3487999998</v>
      </c>
      <c r="Q611" s="14" t="str">
        <f t="shared" si="27"/>
        <v/>
      </c>
      <c r="R611" s="14" t="str">
        <f t="shared" si="27"/>
        <v/>
      </c>
      <c r="S611" s="14" t="str">
        <f t="shared" si="28"/>
        <v/>
      </c>
      <c r="T611" s="14" t="s">
        <v>72</v>
      </c>
      <c r="U611" s="14">
        <v>878.91736166982912</v>
      </c>
      <c r="V611">
        <v>6719</v>
      </c>
      <c r="W611">
        <v>24.203973388671901</v>
      </c>
      <c r="X611">
        <v>22.684011226610099</v>
      </c>
      <c r="Y611">
        <v>2.3365949832633399</v>
      </c>
      <c r="Z611" s="31">
        <v>3.0528391362023299</v>
      </c>
      <c r="AA611">
        <v>7.0673077203955197</v>
      </c>
      <c r="AB611">
        <v>0.09</v>
      </c>
      <c r="AC611">
        <v>174843.22861728599</v>
      </c>
      <c r="AD611">
        <v>197712.72292042701</v>
      </c>
      <c r="AE611">
        <v>1</v>
      </c>
      <c r="AF611">
        <v>398.97776448128269</v>
      </c>
      <c r="AG611">
        <v>6070.3446782746314</v>
      </c>
    </row>
    <row r="612" spans="1:33" hidden="1" x14ac:dyDescent="0.25">
      <c r="B612">
        <v>12</v>
      </c>
      <c r="C612" t="s">
        <v>42</v>
      </c>
      <c r="D612" t="s">
        <v>28</v>
      </c>
      <c r="E612" t="s">
        <v>67</v>
      </c>
      <c r="F612">
        <v>91334</v>
      </c>
      <c r="G612">
        <v>91810</v>
      </c>
      <c r="H612">
        <v>17</v>
      </c>
      <c r="I612" s="2">
        <v>608</v>
      </c>
      <c r="J612">
        <v>6.0995534255527725E-4</v>
      </c>
      <c r="K612">
        <v>2599</v>
      </c>
      <c r="L612">
        <v>330210</v>
      </c>
      <c r="M612">
        <v>14366</v>
      </c>
      <c r="N612">
        <v>55220</v>
      </c>
      <c r="O612" s="43">
        <v>20919060</v>
      </c>
      <c r="P612" s="14">
        <f t="shared" si="29"/>
        <v>1874925.5943600014</v>
      </c>
      <c r="Q612" s="14" t="str">
        <f t="shared" si="27"/>
        <v/>
      </c>
      <c r="R612" s="14" t="str">
        <f t="shared" si="27"/>
        <v/>
      </c>
      <c r="S612" s="14" t="str">
        <f t="shared" si="28"/>
        <v/>
      </c>
      <c r="T612" s="14" t="s">
        <v>72</v>
      </c>
      <c r="U612" s="14">
        <v>3083.7592012500022</v>
      </c>
      <c r="V612">
        <v>6719</v>
      </c>
      <c r="W612">
        <v>22.013330078125001</v>
      </c>
      <c r="X612">
        <v>24.406908083276999</v>
      </c>
      <c r="Y612">
        <v>2.0015295301437699</v>
      </c>
      <c r="Z612" s="31">
        <v>5.2428659856417799</v>
      </c>
      <c r="AA612">
        <v>10.445349839646401</v>
      </c>
      <c r="AB612">
        <v>0.09</v>
      </c>
      <c r="AC612">
        <v>174843.22861728599</v>
      </c>
      <c r="AD612">
        <v>197712.72292042701</v>
      </c>
      <c r="AE612">
        <v>1</v>
      </c>
      <c r="AF612">
        <v>398.97776448128269</v>
      </c>
      <c r="AG612">
        <v>6070.3446782746314</v>
      </c>
    </row>
    <row r="613" spans="1:33" hidden="1" x14ac:dyDescent="0.25">
      <c r="B613">
        <v>12</v>
      </c>
      <c r="C613" t="s">
        <v>42</v>
      </c>
      <c r="D613" t="s">
        <v>28</v>
      </c>
      <c r="E613" t="s">
        <v>67</v>
      </c>
      <c r="F613">
        <v>91334</v>
      </c>
      <c r="G613">
        <v>91810</v>
      </c>
      <c r="H613">
        <v>18</v>
      </c>
      <c r="I613" s="2">
        <v>-53</v>
      </c>
      <c r="J613">
        <v>0</v>
      </c>
      <c r="K613">
        <v>2599</v>
      </c>
      <c r="L613">
        <v>330210</v>
      </c>
      <c r="M613">
        <v>14366</v>
      </c>
      <c r="N613">
        <v>55220</v>
      </c>
      <c r="O613" s="43">
        <v>21936744</v>
      </c>
      <c r="P613" s="14">
        <f t="shared" si="29"/>
        <v>1017684</v>
      </c>
      <c r="Q613" s="14" t="str">
        <f t="shared" si="27"/>
        <v/>
      </c>
      <c r="R613" s="14" t="str">
        <f t="shared" si="27"/>
        <v/>
      </c>
      <c r="S613" s="14" t="str">
        <f t="shared" si="28"/>
        <v/>
      </c>
      <c r="T613" s="14" t="s">
        <v>72</v>
      </c>
      <c r="U613" s="14">
        <v>-19201.584905660377</v>
      </c>
      <c r="V613">
        <v>6719</v>
      </c>
      <c r="W613">
        <v>20.432702636718801</v>
      </c>
      <c r="X613">
        <v>33.796999549602504</v>
      </c>
      <c r="Y613">
        <v>1.59105120310207</v>
      </c>
      <c r="Z613" s="31">
        <v>2.7998786872997901</v>
      </c>
      <c r="AA613">
        <v>6.3086562917180897</v>
      </c>
      <c r="AB613">
        <v>0.09</v>
      </c>
      <c r="AC613">
        <v>174843.22861728599</v>
      </c>
      <c r="AD613">
        <v>197712.72292042701</v>
      </c>
      <c r="AE613">
        <v>1</v>
      </c>
      <c r="AF613">
        <v>398.97776448128269</v>
      </c>
      <c r="AG613">
        <v>6070.3446782746314</v>
      </c>
    </row>
    <row r="614" spans="1:33" hidden="1" x14ac:dyDescent="0.25">
      <c r="B614">
        <v>12</v>
      </c>
      <c r="C614" t="s">
        <v>42</v>
      </c>
      <c r="D614" t="s">
        <v>28</v>
      </c>
      <c r="E614" t="s">
        <v>67</v>
      </c>
      <c r="F614">
        <v>91730</v>
      </c>
      <c r="G614">
        <v>91810</v>
      </c>
      <c r="H614">
        <v>19</v>
      </c>
      <c r="I614" s="2">
        <v>-7</v>
      </c>
      <c r="J614">
        <v>0.1207711578259449</v>
      </c>
      <c r="K614">
        <v>2599</v>
      </c>
      <c r="L614">
        <v>330210</v>
      </c>
      <c r="M614">
        <v>14366</v>
      </c>
      <c r="N614">
        <v>55220</v>
      </c>
      <c r="O614" s="43">
        <v>22954428</v>
      </c>
      <c r="P614" s="14">
        <f t="shared" si="29"/>
        <v>1017684</v>
      </c>
      <c r="Q614" s="14" t="str">
        <f t="shared" si="27"/>
        <v/>
      </c>
      <c r="R614" s="14" t="str">
        <f t="shared" si="27"/>
        <v/>
      </c>
      <c r="S614" s="14" t="str">
        <f t="shared" si="28"/>
        <v/>
      </c>
      <c r="T614" s="14" t="s">
        <v>72</v>
      </c>
      <c r="U614" s="14">
        <v>-145383.42857142858</v>
      </c>
      <c r="V614">
        <v>6719</v>
      </c>
      <c r="W614">
        <v>26.452020263671901</v>
      </c>
      <c r="X614">
        <v>16.525011182797499</v>
      </c>
      <c r="Y614">
        <v>2.8830352282201401</v>
      </c>
      <c r="Z614" s="31">
        <v>1.50534733986465</v>
      </c>
      <c r="AA614">
        <v>3.2522524541269102</v>
      </c>
      <c r="AB614">
        <v>0.09</v>
      </c>
      <c r="AC614">
        <v>174843.22861728599</v>
      </c>
      <c r="AD614">
        <v>197712.72292042701</v>
      </c>
      <c r="AE614">
        <v>1</v>
      </c>
      <c r="AF614">
        <v>398.97776448128269</v>
      </c>
      <c r="AG614">
        <v>6070.3446782746314</v>
      </c>
    </row>
    <row r="615" spans="1:33" hidden="1" x14ac:dyDescent="0.25">
      <c r="B615">
        <v>12</v>
      </c>
      <c r="C615" t="s">
        <v>42</v>
      </c>
      <c r="D615" t="s">
        <v>28</v>
      </c>
      <c r="E615" t="s">
        <v>67</v>
      </c>
      <c r="F615">
        <v>91730</v>
      </c>
      <c r="G615">
        <v>91810</v>
      </c>
      <c r="H615">
        <v>20</v>
      </c>
      <c r="I615" s="2">
        <v>2</v>
      </c>
      <c r="J615">
        <v>0</v>
      </c>
      <c r="K615">
        <v>2599</v>
      </c>
      <c r="L615">
        <v>330210</v>
      </c>
      <c r="M615">
        <v>14366</v>
      </c>
      <c r="N615">
        <v>55220</v>
      </c>
      <c r="O615" s="43">
        <v>23745960</v>
      </c>
      <c r="P615" s="14">
        <f t="shared" si="29"/>
        <v>791532</v>
      </c>
      <c r="Q615" s="14" t="str">
        <f t="shared" si="27"/>
        <v/>
      </c>
      <c r="R615" s="14" t="str">
        <f t="shared" si="27"/>
        <v/>
      </c>
      <c r="S615" s="14" t="str">
        <f t="shared" si="28"/>
        <v/>
      </c>
      <c r="T615" s="14" t="s">
        <v>72</v>
      </c>
      <c r="U615" s="14">
        <v>395766</v>
      </c>
      <c r="V615">
        <v>6719</v>
      </c>
      <c r="W615">
        <v>26.618676757812501</v>
      </c>
      <c r="X615">
        <v>15.806549920008999</v>
      </c>
      <c r="Y615">
        <v>2.9365175915021999</v>
      </c>
      <c r="Z615" s="31">
        <v>3.6329633805772699</v>
      </c>
      <c r="AA615">
        <v>7.8160467884028799</v>
      </c>
      <c r="AB615">
        <v>0.09</v>
      </c>
      <c r="AC615">
        <v>174843.22861728599</v>
      </c>
      <c r="AD615">
        <v>197712.72292042701</v>
      </c>
      <c r="AE615">
        <v>1</v>
      </c>
      <c r="AF615">
        <v>398.97776448128269</v>
      </c>
      <c r="AG615">
        <v>6070.3446782746314</v>
      </c>
    </row>
    <row r="616" spans="1:33" hidden="1" x14ac:dyDescent="0.25">
      <c r="B616">
        <v>12</v>
      </c>
      <c r="C616" t="s">
        <v>42</v>
      </c>
      <c r="D616" t="s">
        <v>28</v>
      </c>
      <c r="E616" t="s">
        <v>67</v>
      </c>
      <c r="F616">
        <v>91730</v>
      </c>
      <c r="G616">
        <v>91810</v>
      </c>
      <c r="H616">
        <v>21</v>
      </c>
      <c r="I616" s="2">
        <v>0</v>
      </c>
      <c r="J616">
        <v>0</v>
      </c>
      <c r="K616">
        <v>2599</v>
      </c>
      <c r="L616">
        <v>330210</v>
      </c>
      <c r="M616">
        <v>14366</v>
      </c>
      <c r="N616">
        <v>55220</v>
      </c>
      <c r="O616" s="43">
        <v>24876720</v>
      </c>
      <c r="P616" s="14">
        <f t="shared" si="29"/>
        <v>1130760</v>
      </c>
      <c r="Q616" s="14" t="str">
        <f t="shared" si="27"/>
        <v/>
      </c>
      <c r="R616" s="14" t="str">
        <f t="shared" si="27"/>
        <v/>
      </c>
      <c r="S616" s="14" t="str">
        <f t="shared" si="28"/>
        <v/>
      </c>
      <c r="T616" s="14" t="s">
        <v>72</v>
      </c>
      <c r="U616" s="14">
        <v>0</v>
      </c>
      <c r="V616">
        <v>6719</v>
      </c>
      <c r="W616">
        <v>24.864953613281301</v>
      </c>
      <c r="X616">
        <v>14.204370996116101</v>
      </c>
      <c r="Y616">
        <v>2.6974590151395601</v>
      </c>
      <c r="Z616" s="31">
        <v>5.3063810077781204</v>
      </c>
      <c r="AA616">
        <v>11.760646428840699</v>
      </c>
      <c r="AB616">
        <v>0.09</v>
      </c>
      <c r="AC616">
        <v>174843.22861728599</v>
      </c>
      <c r="AD616">
        <v>197712.72292042701</v>
      </c>
      <c r="AE616">
        <v>1</v>
      </c>
      <c r="AF616">
        <v>398.97776448128269</v>
      </c>
      <c r="AG616">
        <v>6070.3446782746314</v>
      </c>
    </row>
    <row r="617" spans="1:33" hidden="1" x14ac:dyDescent="0.25">
      <c r="B617">
        <v>12</v>
      </c>
      <c r="C617" t="s">
        <v>42</v>
      </c>
      <c r="D617" t="s">
        <v>28</v>
      </c>
      <c r="E617" t="s">
        <v>67</v>
      </c>
      <c r="F617">
        <v>91730</v>
      </c>
      <c r="G617">
        <v>91810</v>
      </c>
      <c r="H617">
        <v>22</v>
      </c>
      <c r="I617" s="2">
        <v>396</v>
      </c>
      <c r="J617">
        <v>0</v>
      </c>
      <c r="K617">
        <v>2599</v>
      </c>
      <c r="L617">
        <v>330210</v>
      </c>
      <c r="M617">
        <v>14366</v>
      </c>
      <c r="N617">
        <v>55220</v>
      </c>
      <c r="O617" s="43">
        <v>26572860</v>
      </c>
      <c r="P617" s="14">
        <f t="shared" si="29"/>
        <v>1696140</v>
      </c>
      <c r="Q617" s="14" t="str">
        <f t="shared" si="27"/>
        <v/>
      </c>
      <c r="R617" s="14" t="str">
        <f t="shared" si="27"/>
        <v/>
      </c>
      <c r="S617" s="14" t="str">
        <f t="shared" si="28"/>
        <v/>
      </c>
      <c r="T617" s="14" t="s">
        <v>72</v>
      </c>
      <c r="U617" s="14">
        <v>4283.181818181818</v>
      </c>
      <c r="V617">
        <v>6719</v>
      </c>
      <c r="W617">
        <v>16.848718261718801</v>
      </c>
      <c r="X617">
        <v>47.715702366230303</v>
      </c>
      <c r="Y617">
        <v>1.0043948815805199</v>
      </c>
      <c r="Z617" s="31">
        <v>8.8517613206071406</v>
      </c>
      <c r="AA617">
        <v>20.608548649322898</v>
      </c>
      <c r="AB617">
        <v>0.09</v>
      </c>
      <c r="AC617">
        <v>174843.22861728599</v>
      </c>
      <c r="AD617">
        <v>197712.72292042701</v>
      </c>
      <c r="AE617">
        <v>1</v>
      </c>
      <c r="AF617">
        <v>398.97776448128269</v>
      </c>
      <c r="AG617">
        <v>6070.3446782746314</v>
      </c>
    </row>
    <row r="618" spans="1:33" hidden="1" x14ac:dyDescent="0.25">
      <c r="B618">
        <v>12</v>
      </c>
      <c r="C618" t="s">
        <v>42</v>
      </c>
      <c r="D618" t="s">
        <v>28</v>
      </c>
      <c r="E618" t="s">
        <v>67</v>
      </c>
      <c r="F618">
        <v>91795</v>
      </c>
      <c r="G618">
        <v>91810</v>
      </c>
      <c r="H618">
        <v>23</v>
      </c>
      <c r="I618" s="2">
        <v>0</v>
      </c>
      <c r="J618">
        <v>1.9823548633046511E-2</v>
      </c>
      <c r="K618">
        <v>2599</v>
      </c>
      <c r="L618">
        <v>330210</v>
      </c>
      <c r="M618">
        <v>14366</v>
      </c>
      <c r="N618">
        <v>55220</v>
      </c>
      <c r="O618" s="43">
        <v>26799012</v>
      </c>
      <c r="P618" s="14">
        <f t="shared" si="29"/>
        <v>226152</v>
      </c>
      <c r="Q618" s="14" t="str">
        <f t="shared" si="27"/>
        <v/>
      </c>
      <c r="R618" s="14" t="str">
        <f t="shared" si="27"/>
        <v/>
      </c>
      <c r="S618" s="14" t="str">
        <f t="shared" si="28"/>
        <v/>
      </c>
      <c r="T618" s="14" t="s">
        <v>72</v>
      </c>
      <c r="U618" s="14">
        <v>0</v>
      </c>
      <c r="V618">
        <v>6719</v>
      </c>
      <c r="W618">
        <v>10.9164367675781</v>
      </c>
      <c r="X618">
        <v>40.934196119364998</v>
      </c>
      <c r="Y618">
        <v>0.77233257255480103</v>
      </c>
      <c r="Z618" s="31">
        <v>0.78396426676625297</v>
      </c>
      <c r="AA618">
        <v>2.35367251749742</v>
      </c>
      <c r="AB618">
        <v>0.09</v>
      </c>
      <c r="AC618">
        <v>174843.22861728599</v>
      </c>
      <c r="AD618">
        <v>197712.72292042701</v>
      </c>
      <c r="AE618">
        <v>1</v>
      </c>
      <c r="AF618">
        <v>398.97776448128269</v>
      </c>
      <c r="AG618">
        <v>6070.3446782746314</v>
      </c>
    </row>
    <row r="619" spans="1:33" hidden="1" x14ac:dyDescent="0.25">
      <c r="B619">
        <v>12</v>
      </c>
      <c r="C619" t="s">
        <v>42</v>
      </c>
      <c r="D619" t="s">
        <v>28</v>
      </c>
      <c r="E619" t="s">
        <v>67</v>
      </c>
      <c r="F619">
        <v>91795</v>
      </c>
      <c r="G619">
        <v>91810</v>
      </c>
      <c r="H619">
        <v>24</v>
      </c>
      <c r="I619" s="2">
        <v>0</v>
      </c>
      <c r="J619">
        <v>0</v>
      </c>
      <c r="K619">
        <v>2599</v>
      </c>
      <c r="L619">
        <v>330210</v>
      </c>
      <c r="M619">
        <v>14366</v>
      </c>
      <c r="N619">
        <v>55220</v>
      </c>
      <c r="O619" s="43">
        <v>27760158</v>
      </c>
      <c r="P619" s="14">
        <f t="shared" si="29"/>
        <v>961146</v>
      </c>
      <c r="Q619" s="14" t="str">
        <f t="shared" si="27"/>
        <v/>
      </c>
      <c r="R619" s="14" t="str">
        <f t="shared" si="27"/>
        <v/>
      </c>
      <c r="S619" s="14" t="str">
        <f t="shared" si="28"/>
        <v/>
      </c>
      <c r="T619" s="14" t="s">
        <v>72</v>
      </c>
      <c r="U619" s="14">
        <v>0</v>
      </c>
      <c r="V619">
        <v>6719</v>
      </c>
      <c r="W619">
        <v>16.869714355468801</v>
      </c>
      <c r="X619">
        <v>25.158253891960602</v>
      </c>
      <c r="Y619">
        <v>1.4397924164857701</v>
      </c>
      <c r="Z619" s="31">
        <v>0.83546334064661198</v>
      </c>
      <c r="AA619">
        <v>4.1201704466678404</v>
      </c>
      <c r="AB619">
        <v>0.09</v>
      </c>
      <c r="AC619">
        <v>174843.22861728599</v>
      </c>
      <c r="AD619">
        <v>197712.72292042701</v>
      </c>
      <c r="AE619">
        <v>1</v>
      </c>
      <c r="AF619">
        <v>398.97776448128269</v>
      </c>
      <c r="AG619">
        <v>6070.3446782746314</v>
      </c>
    </row>
    <row r="620" spans="1:33" hidden="1" x14ac:dyDescent="0.25">
      <c r="B620">
        <v>12</v>
      </c>
      <c r="C620" t="s">
        <v>42</v>
      </c>
      <c r="D620" t="s">
        <v>28</v>
      </c>
      <c r="E620" t="s">
        <v>67</v>
      </c>
      <c r="F620">
        <v>91795</v>
      </c>
      <c r="G620">
        <v>91810</v>
      </c>
      <c r="H620">
        <v>25</v>
      </c>
      <c r="I620" s="2">
        <v>0</v>
      </c>
      <c r="J620">
        <v>0</v>
      </c>
      <c r="K620">
        <v>2599</v>
      </c>
      <c r="L620">
        <v>330210</v>
      </c>
      <c r="M620">
        <v>14366</v>
      </c>
      <c r="N620">
        <v>55220</v>
      </c>
      <c r="O620" s="43">
        <v>28834380</v>
      </c>
      <c r="P620" s="14">
        <f t="shared" si="29"/>
        <v>1074222</v>
      </c>
      <c r="Q620" s="14" t="str">
        <f t="shared" si="27"/>
        <v/>
      </c>
      <c r="R620" s="14" t="str">
        <f t="shared" si="27"/>
        <v/>
      </c>
      <c r="S620" s="14" t="str">
        <f t="shared" si="28"/>
        <v/>
      </c>
      <c r="T620" s="14" t="s">
        <v>72</v>
      </c>
      <c r="U620" s="14">
        <v>0</v>
      </c>
      <c r="V620">
        <v>6719</v>
      </c>
      <c r="W620">
        <v>20.793725585937501</v>
      </c>
      <c r="X620">
        <v>21.525533172061401</v>
      </c>
      <c r="Y620">
        <v>1.92851094478325</v>
      </c>
      <c r="Z620" s="31">
        <v>0.67700003167315503</v>
      </c>
      <c r="AA620">
        <v>3.4494575429844301</v>
      </c>
      <c r="AB620">
        <v>0.09</v>
      </c>
      <c r="AC620">
        <v>174843.22861728599</v>
      </c>
      <c r="AD620">
        <v>197712.72292042701</v>
      </c>
      <c r="AE620">
        <v>1</v>
      </c>
      <c r="AF620">
        <v>398.97776448128269</v>
      </c>
      <c r="AG620">
        <v>6070.3446782746314</v>
      </c>
    </row>
    <row r="621" spans="1:33" hidden="1" x14ac:dyDescent="0.25">
      <c r="B621">
        <v>12</v>
      </c>
      <c r="C621" t="s">
        <v>42</v>
      </c>
      <c r="D621" t="s">
        <v>28</v>
      </c>
      <c r="E621" t="s">
        <v>67</v>
      </c>
      <c r="F621">
        <v>91795</v>
      </c>
      <c r="G621">
        <v>91810</v>
      </c>
      <c r="H621">
        <v>26</v>
      </c>
      <c r="I621" s="2">
        <v>65</v>
      </c>
      <c r="J621">
        <v>0</v>
      </c>
      <c r="K621">
        <v>2599</v>
      </c>
      <c r="L621">
        <v>330210</v>
      </c>
      <c r="M621">
        <v>14366</v>
      </c>
      <c r="N621">
        <v>55220</v>
      </c>
      <c r="O621" s="43">
        <v>28947456</v>
      </c>
      <c r="P621" s="14">
        <f t="shared" si="29"/>
        <v>113076</v>
      </c>
      <c r="Q621" s="14" t="str">
        <f t="shared" si="27"/>
        <v/>
      </c>
      <c r="R621" s="14" t="str">
        <f t="shared" si="27"/>
        <v/>
      </c>
      <c r="S621" s="14" t="str">
        <f t="shared" si="28"/>
        <v/>
      </c>
      <c r="T621" s="14" t="s">
        <v>72</v>
      </c>
      <c r="U621" s="14">
        <v>1739.6307692307691</v>
      </c>
      <c r="V621">
        <v>6719</v>
      </c>
      <c r="W621">
        <v>19.420983886718801</v>
      </c>
      <c r="X621">
        <v>37.005899150099502</v>
      </c>
      <c r="Y621">
        <v>1.42206889920736</v>
      </c>
      <c r="Z621" s="31">
        <v>1.35261815877854</v>
      </c>
      <c r="AA621">
        <v>2.1744416901850498</v>
      </c>
      <c r="AB621">
        <v>0.09</v>
      </c>
      <c r="AC621">
        <v>174843.22861728599</v>
      </c>
      <c r="AD621">
        <v>197712.72292042701</v>
      </c>
      <c r="AE621">
        <v>1</v>
      </c>
      <c r="AF621">
        <v>398.97776448128269</v>
      </c>
      <c r="AG621">
        <v>6070.3446782746314</v>
      </c>
    </row>
    <row r="622" spans="1:33" hidden="1" x14ac:dyDescent="0.25">
      <c r="B622">
        <v>12</v>
      </c>
      <c r="C622" t="s">
        <v>42</v>
      </c>
      <c r="D622" t="s">
        <v>28</v>
      </c>
      <c r="E622" t="s">
        <v>67</v>
      </c>
      <c r="F622">
        <v>91795</v>
      </c>
      <c r="G622">
        <v>91810</v>
      </c>
      <c r="H622">
        <v>27</v>
      </c>
      <c r="I622" s="2">
        <v>0</v>
      </c>
      <c r="J622">
        <v>0</v>
      </c>
      <c r="K622">
        <v>2599</v>
      </c>
      <c r="L622">
        <v>330210</v>
      </c>
      <c r="M622">
        <v>14366</v>
      </c>
      <c r="N622">
        <v>55220</v>
      </c>
      <c r="O622" s="43">
        <v>29060532</v>
      </c>
      <c r="P622" s="14">
        <f t="shared" si="29"/>
        <v>113076</v>
      </c>
      <c r="Q622" s="14" t="str">
        <f t="shared" si="27"/>
        <v/>
      </c>
      <c r="R622" s="14" t="str">
        <f t="shared" si="27"/>
        <v/>
      </c>
      <c r="S622" s="14" t="str">
        <f t="shared" si="28"/>
        <v/>
      </c>
      <c r="T622" s="14" t="s">
        <v>72</v>
      </c>
      <c r="U622" s="14">
        <v>0</v>
      </c>
      <c r="V622">
        <v>6719</v>
      </c>
      <c r="W622">
        <v>23.290155029296901</v>
      </c>
      <c r="X622">
        <v>18.548976117303599</v>
      </c>
      <c r="Y622">
        <v>2.3301699172858501</v>
      </c>
      <c r="Z622" s="31">
        <v>1.1105586986242799</v>
      </c>
      <c r="AA622">
        <v>2.7243639762407899</v>
      </c>
      <c r="AB622">
        <v>0.09</v>
      </c>
      <c r="AC622">
        <v>174843.22861728599</v>
      </c>
      <c r="AD622">
        <v>197712.72292042701</v>
      </c>
      <c r="AE622">
        <v>1</v>
      </c>
      <c r="AF622">
        <v>398.97776448128269</v>
      </c>
      <c r="AG622">
        <v>6070.3446782746314</v>
      </c>
    </row>
    <row r="623" spans="1:33" hidden="1" x14ac:dyDescent="0.25">
      <c r="B623">
        <v>12</v>
      </c>
      <c r="C623" t="s">
        <v>42</v>
      </c>
      <c r="D623" t="s">
        <v>28</v>
      </c>
      <c r="E623" t="s">
        <v>67</v>
      </c>
      <c r="F623">
        <v>91810</v>
      </c>
      <c r="G623">
        <v>91810</v>
      </c>
      <c r="H623">
        <v>28</v>
      </c>
      <c r="I623" s="2">
        <v>0</v>
      </c>
      <c r="J623">
        <v>4.5746650691645789E-3</v>
      </c>
      <c r="K623">
        <v>2599</v>
      </c>
      <c r="L623">
        <v>330210</v>
      </c>
      <c r="M623">
        <v>14366</v>
      </c>
      <c r="N623">
        <v>55220</v>
      </c>
      <c r="O623" s="43">
        <v>29399760</v>
      </c>
      <c r="P623" s="14">
        <f t="shared" si="29"/>
        <v>339228</v>
      </c>
      <c r="Q623" s="14" t="str">
        <f t="shared" si="27"/>
        <v/>
      </c>
      <c r="R623" s="14" t="str">
        <f t="shared" si="27"/>
        <v/>
      </c>
      <c r="S623" s="14" t="str">
        <f t="shared" si="28"/>
        <v/>
      </c>
      <c r="T623" s="14" t="s">
        <v>72</v>
      </c>
      <c r="U623" s="14">
        <v>0</v>
      </c>
      <c r="V623">
        <v>6719</v>
      </c>
      <c r="W623">
        <v>25.066430664062501</v>
      </c>
      <c r="X623">
        <v>13.609616633169701</v>
      </c>
      <c r="Y623">
        <v>2.7489395917058999</v>
      </c>
      <c r="Z623" s="31">
        <v>2.2111986677578299</v>
      </c>
      <c r="AA623">
        <v>4.1646174398564897</v>
      </c>
      <c r="AB623">
        <v>0.09</v>
      </c>
      <c r="AC623">
        <v>174843.22861728599</v>
      </c>
      <c r="AD623">
        <v>197712.72292042701</v>
      </c>
      <c r="AE623">
        <v>1</v>
      </c>
      <c r="AF623">
        <v>398.97776448128269</v>
      </c>
      <c r="AG623">
        <v>6070.3446782746314</v>
      </c>
    </row>
    <row r="624" spans="1:33" hidden="1" x14ac:dyDescent="0.25">
      <c r="A624" t="s">
        <v>109</v>
      </c>
      <c r="B624">
        <v>13</v>
      </c>
      <c r="C624" t="s">
        <v>43</v>
      </c>
      <c r="D624" t="s">
        <v>26</v>
      </c>
      <c r="E624" t="s">
        <v>69</v>
      </c>
      <c r="F624">
        <v>0</v>
      </c>
      <c r="G624">
        <v>379895</v>
      </c>
      <c r="H624">
        <v>1</v>
      </c>
      <c r="I624" s="2">
        <v>0</v>
      </c>
      <c r="J624">
        <v>0</v>
      </c>
      <c r="K624">
        <v>533489</v>
      </c>
      <c r="L624">
        <v>457214</v>
      </c>
      <c r="M624">
        <v>339178</v>
      </c>
      <c r="N624">
        <v>38593</v>
      </c>
      <c r="O624" s="43">
        <v>3432987.36</v>
      </c>
      <c r="P624" s="14">
        <v>0</v>
      </c>
      <c r="Q624" s="14" t="str">
        <f t="shared" si="27"/>
        <v/>
      </c>
      <c r="R624" s="14" t="str">
        <f t="shared" si="27"/>
        <v/>
      </c>
      <c r="S624" s="14" t="str">
        <f t="shared" si="28"/>
        <v/>
      </c>
      <c r="T624" s="14" t="s">
        <v>72</v>
      </c>
      <c r="U624" s="14">
        <v>0</v>
      </c>
      <c r="V624">
        <v>7303</v>
      </c>
      <c r="W624">
        <v>28.132958984375001</v>
      </c>
      <c r="X624">
        <v>26.375777258187298</v>
      </c>
      <c r="Y624">
        <v>2.8049610496651498</v>
      </c>
      <c r="Z624" s="31">
        <v>2.2630866993940399</v>
      </c>
      <c r="AA624">
        <v>1.8392305597556999</v>
      </c>
      <c r="AB624">
        <v>7.0000000000000007E-2</v>
      </c>
      <c r="AC624">
        <v>286994.32546822098</v>
      </c>
      <c r="AD624">
        <v>328407.60663328529</v>
      </c>
      <c r="AE624">
        <v>1</v>
      </c>
      <c r="AF624">
        <v>11857.558901934521</v>
      </c>
      <c r="AG624">
        <v>90527.76100156318</v>
      </c>
    </row>
    <row r="625" spans="1:33" hidden="1" x14ac:dyDescent="0.25">
      <c r="A625" t="s">
        <v>101</v>
      </c>
      <c r="B625">
        <v>13</v>
      </c>
      <c r="C625" t="s">
        <v>43</v>
      </c>
      <c r="D625" t="s">
        <v>26</v>
      </c>
      <c r="E625" t="s">
        <v>69</v>
      </c>
      <c r="F625">
        <v>45020</v>
      </c>
      <c r="G625">
        <v>379895</v>
      </c>
      <c r="H625">
        <v>2</v>
      </c>
      <c r="I625" s="2">
        <v>0</v>
      </c>
      <c r="J625">
        <v>6.6069856180000004</v>
      </c>
      <c r="K625">
        <v>533489</v>
      </c>
      <c r="L625">
        <v>457214</v>
      </c>
      <c r="M625">
        <v>339178</v>
      </c>
      <c r="N625">
        <v>38593</v>
      </c>
      <c r="O625" s="43">
        <v>4577316.4800000004</v>
      </c>
      <c r="P625" s="14">
        <f t="shared" si="29"/>
        <v>1144329.1200000006</v>
      </c>
      <c r="Q625" s="14" t="str">
        <f t="shared" si="27"/>
        <v/>
      </c>
      <c r="R625" s="14" t="str">
        <f t="shared" si="27"/>
        <v/>
      </c>
      <c r="S625" s="14" t="str">
        <f t="shared" si="28"/>
        <v/>
      </c>
      <c r="T625" s="14" t="s">
        <v>72</v>
      </c>
      <c r="U625" s="14">
        <v>0</v>
      </c>
      <c r="V625">
        <v>7303</v>
      </c>
      <c r="W625">
        <v>30.048486328125001</v>
      </c>
      <c r="X625">
        <v>17.351262234305398</v>
      </c>
      <c r="Y625">
        <v>3.5173134938111299</v>
      </c>
      <c r="Z625" s="31">
        <v>1.8871008484098399</v>
      </c>
      <c r="AA625">
        <v>3.1899791736022398</v>
      </c>
      <c r="AB625">
        <v>7.0000000000000007E-2</v>
      </c>
      <c r="AC625">
        <v>286994.32546822098</v>
      </c>
      <c r="AD625">
        <v>328407.60663328529</v>
      </c>
      <c r="AE625">
        <v>1</v>
      </c>
      <c r="AF625">
        <v>11857.558901934521</v>
      </c>
      <c r="AG625">
        <v>90527.76100156318</v>
      </c>
    </row>
    <row r="626" spans="1:33" hidden="1" x14ac:dyDescent="0.25">
      <c r="A626" t="s">
        <v>102</v>
      </c>
      <c r="B626">
        <v>13</v>
      </c>
      <c r="C626" t="s">
        <v>43</v>
      </c>
      <c r="D626" t="s">
        <v>26</v>
      </c>
      <c r="E626" t="s">
        <v>69</v>
      </c>
      <c r="F626">
        <v>80940</v>
      </c>
      <c r="G626">
        <v>379895</v>
      </c>
      <c r="H626">
        <v>3</v>
      </c>
      <c r="I626" s="2">
        <v>15</v>
      </c>
      <c r="J626">
        <v>5.2714998529999999</v>
      </c>
      <c r="K626">
        <v>533489</v>
      </c>
      <c r="L626">
        <v>457214</v>
      </c>
      <c r="M626">
        <v>339178</v>
      </c>
      <c r="N626">
        <v>38593</v>
      </c>
      <c r="O626" s="43">
        <v>4053710.3818780798</v>
      </c>
      <c r="P626" s="14">
        <f t="shared" si="29"/>
        <v>-523606.0981219206</v>
      </c>
      <c r="Q626" s="14">
        <f t="shared" si="27"/>
        <v>-523606.0981219206</v>
      </c>
      <c r="R626" s="14">
        <f t="shared" si="27"/>
        <v>-523606.0981219206</v>
      </c>
      <c r="S626" s="14">
        <f t="shared" si="28"/>
        <v>274163345990.46234</v>
      </c>
      <c r="T626" s="14">
        <v>274163345990.46234</v>
      </c>
      <c r="U626" s="14">
        <v>-34907.073208128008</v>
      </c>
      <c r="V626">
        <v>7303</v>
      </c>
      <c r="W626">
        <v>30.427514648437501</v>
      </c>
      <c r="X626">
        <v>15.639414370369501</v>
      </c>
      <c r="Y626">
        <v>3.6689780206941598</v>
      </c>
      <c r="Z626" s="31">
        <v>2.26186647513329</v>
      </c>
      <c r="AA626">
        <v>4.6415969930925698</v>
      </c>
      <c r="AB626">
        <v>7.0000000000000007E-2</v>
      </c>
      <c r="AC626">
        <v>286994.32546822098</v>
      </c>
      <c r="AD626">
        <v>328407.60663328529</v>
      </c>
      <c r="AE626">
        <v>1</v>
      </c>
      <c r="AF626">
        <v>11857.558901934521</v>
      </c>
      <c r="AG626">
        <v>90527.76100156318</v>
      </c>
    </row>
    <row r="627" spans="1:33" hidden="1" x14ac:dyDescent="0.25">
      <c r="A627" t="s">
        <v>103</v>
      </c>
      <c r="B627">
        <v>13</v>
      </c>
      <c r="C627" t="s">
        <v>43</v>
      </c>
      <c r="D627" t="s">
        <v>26</v>
      </c>
      <c r="E627" t="s">
        <v>69</v>
      </c>
      <c r="F627">
        <v>123693</v>
      </c>
      <c r="G627">
        <v>379895</v>
      </c>
      <c r="H627">
        <v>4</v>
      </c>
      <c r="I627">
        <v>0</v>
      </c>
      <c r="J627">
        <v>6.2742882299999998</v>
      </c>
      <c r="K627">
        <v>533489</v>
      </c>
      <c r="L627">
        <v>457214</v>
      </c>
      <c r="M627">
        <v>339178</v>
      </c>
      <c r="N627">
        <v>38593</v>
      </c>
      <c r="O627" s="43">
        <v>5950511.4240000006</v>
      </c>
      <c r="P627" s="14">
        <f t="shared" si="29"/>
        <v>1896801.0421219207</v>
      </c>
      <c r="Q627" s="14" t="str">
        <f t="shared" si="27"/>
        <v/>
      </c>
      <c r="R627" s="14" t="str">
        <f t="shared" si="27"/>
        <v/>
      </c>
      <c r="S627" s="14" t="str">
        <f t="shared" si="28"/>
        <v/>
      </c>
      <c r="T627" s="14" t="s">
        <v>72</v>
      </c>
      <c r="U627" s="14">
        <v>0</v>
      </c>
      <c r="V627">
        <v>7303</v>
      </c>
      <c r="W627">
        <v>30.257714843750001</v>
      </c>
      <c r="X627">
        <v>13.195888789550599</v>
      </c>
      <c r="Y627">
        <v>3.7389556193425801</v>
      </c>
      <c r="Z627" s="31">
        <v>2.5317740025386799</v>
      </c>
      <c r="AA627">
        <v>2.5570506770358001</v>
      </c>
      <c r="AB627">
        <v>7.0000000000000007E-2</v>
      </c>
      <c r="AC627">
        <v>286994.32546822098</v>
      </c>
      <c r="AD627">
        <v>328407.60663328529</v>
      </c>
      <c r="AE627">
        <v>1</v>
      </c>
      <c r="AF627">
        <v>11857.558901934521</v>
      </c>
      <c r="AG627">
        <v>90527.76100156318</v>
      </c>
    </row>
    <row r="628" spans="1:33" hidden="1" x14ac:dyDescent="0.25">
      <c r="B628">
        <v>13</v>
      </c>
      <c r="C628" t="s">
        <v>43</v>
      </c>
      <c r="D628" t="s">
        <v>26</v>
      </c>
      <c r="E628" t="s">
        <v>69</v>
      </c>
      <c r="F628">
        <v>159699</v>
      </c>
      <c r="G628">
        <v>379895</v>
      </c>
      <c r="H628">
        <v>5</v>
      </c>
      <c r="I628">
        <v>45020</v>
      </c>
      <c r="J628">
        <v>5.2841209280000001</v>
      </c>
      <c r="K628">
        <v>533489</v>
      </c>
      <c r="L628">
        <v>457214</v>
      </c>
      <c r="M628">
        <v>339178</v>
      </c>
      <c r="N628">
        <v>38593</v>
      </c>
      <c r="O628" s="43">
        <v>12016589.79015792</v>
      </c>
      <c r="P628" s="14">
        <f t="shared" si="29"/>
        <v>6066078.3661579192</v>
      </c>
      <c r="Q628" s="14" t="str">
        <f t="shared" si="27"/>
        <v/>
      </c>
      <c r="R628" s="14" t="str">
        <f t="shared" si="27"/>
        <v/>
      </c>
      <c r="S628" s="14" t="str">
        <f t="shared" si="28"/>
        <v/>
      </c>
      <c r="T628" s="14" t="s">
        <v>72</v>
      </c>
      <c r="U628" s="14">
        <v>134.74185620075346</v>
      </c>
      <c r="V628">
        <v>7303</v>
      </c>
      <c r="W628">
        <v>28.296777343750001</v>
      </c>
      <c r="X628">
        <v>17.742806550114501</v>
      </c>
      <c r="Y628">
        <v>3.1643386961324</v>
      </c>
      <c r="Z628" s="31">
        <v>3.9146635097420899</v>
      </c>
      <c r="AA628">
        <v>8.0158981842439907</v>
      </c>
      <c r="AB628">
        <v>7.0000000000000007E-2</v>
      </c>
      <c r="AC628">
        <v>286994.32546822098</v>
      </c>
      <c r="AD628">
        <v>328407.60663328529</v>
      </c>
      <c r="AE628">
        <v>1</v>
      </c>
      <c r="AF628">
        <v>11857.558901934521</v>
      </c>
      <c r="AG628">
        <v>90527.76100156318</v>
      </c>
    </row>
    <row r="629" spans="1:33" hidden="1" x14ac:dyDescent="0.25">
      <c r="B629">
        <v>13</v>
      </c>
      <c r="C629" t="s">
        <v>43</v>
      </c>
      <c r="D629" t="s">
        <v>26</v>
      </c>
      <c r="E629" t="s">
        <v>69</v>
      </c>
      <c r="F629">
        <v>171819</v>
      </c>
      <c r="G629">
        <v>379895</v>
      </c>
      <c r="H629">
        <v>6</v>
      </c>
      <c r="I629">
        <v>35920</v>
      </c>
      <c r="J629">
        <v>1.77869093</v>
      </c>
      <c r="K629">
        <v>533489</v>
      </c>
      <c r="L629">
        <v>457214</v>
      </c>
      <c r="M629">
        <v>339178</v>
      </c>
      <c r="N629">
        <v>38593</v>
      </c>
      <c r="O629" s="43">
        <v>17346621.934382401</v>
      </c>
      <c r="P629" s="14">
        <f t="shared" si="29"/>
        <v>5330032.1442244817</v>
      </c>
      <c r="Q629" s="14" t="str">
        <f t="shared" si="27"/>
        <v/>
      </c>
      <c r="R629" s="14" t="str">
        <f t="shared" si="27"/>
        <v/>
      </c>
      <c r="S629" s="14" t="str">
        <f t="shared" si="28"/>
        <v/>
      </c>
      <c r="T629" s="14" t="s">
        <v>72</v>
      </c>
      <c r="U629" s="14">
        <v>148.38619555190644</v>
      </c>
      <c r="V629">
        <v>7303</v>
      </c>
      <c r="W629">
        <v>26.260644531250001</v>
      </c>
      <c r="X629">
        <v>15.5162716489654</v>
      </c>
      <c r="Y629">
        <v>2.8852026727802098</v>
      </c>
      <c r="Z629" s="31">
        <v>1.2085926772546201</v>
      </c>
      <c r="AA629">
        <v>3.5302749231805</v>
      </c>
      <c r="AB629">
        <v>7.0000000000000007E-2</v>
      </c>
      <c r="AC629">
        <v>286994.32546822098</v>
      </c>
      <c r="AD629">
        <v>328407.60663328529</v>
      </c>
      <c r="AE629">
        <v>1</v>
      </c>
      <c r="AF629">
        <v>11857.558901934521</v>
      </c>
      <c r="AG629">
        <v>90527.76100156318</v>
      </c>
    </row>
    <row r="630" spans="1:33" hidden="1" x14ac:dyDescent="0.25">
      <c r="B630">
        <v>13</v>
      </c>
      <c r="C630" t="s">
        <v>43</v>
      </c>
      <c r="D630" t="s">
        <v>26</v>
      </c>
      <c r="E630" t="s">
        <v>69</v>
      </c>
      <c r="F630">
        <v>177613</v>
      </c>
      <c r="G630">
        <v>379895</v>
      </c>
      <c r="H630">
        <v>7</v>
      </c>
      <c r="I630">
        <v>42753</v>
      </c>
      <c r="J630">
        <v>0.85030818900000005</v>
      </c>
      <c r="K630">
        <v>533489</v>
      </c>
      <c r="L630">
        <v>457214</v>
      </c>
      <c r="M630">
        <v>339178</v>
      </c>
      <c r="N630">
        <v>38593</v>
      </c>
      <c r="O630" s="43">
        <v>23151978.642497759</v>
      </c>
      <c r="P630" s="14">
        <f t="shared" si="29"/>
        <v>5805356.7081153579</v>
      </c>
      <c r="Q630" s="14" t="str">
        <f t="shared" si="27"/>
        <v/>
      </c>
      <c r="R630" s="14" t="str">
        <f t="shared" si="27"/>
        <v/>
      </c>
      <c r="S630" s="14" t="str">
        <f t="shared" si="28"/>
        <v/>
      </c>
      <c r="T630" s="14" t="s">
        <v>72</v>
      </c>
      <c r="U630" s="14">
        <v>135.7882887309747</v>
      </c>
      <c r="V630">
        <v>7303</v>
      </c>
      <c r="W630">
        <v>20.946435546875001</v>
      </c>
      <c r="X630">
        <v>26.076218624612501</v>
      </c>
      <c r="Y630">
        <v>1.8337443699811999</v>
      </c>
      <c r="Z630" s="31">
        <v>2.4599769636910298</v>
      </c>
      <c r="AA630">
        <v>4.7875292476229196</v>
      </c>
      <c r="AB630">
        <v>7.0000000000000007E-2</v>
      </c>
      <c r="AC630">
        <v>286994.32546822098</v>
      </c>
      <c r="AD630">
        <v>328407.60663328529</v>
      </c>
      <c r="AE630">
        <v>1</v>
      </c>
      <c r="AF630">
        <v>11857.558901934521</v>
      </c>
      <c r="AG630">
        <v>90527.76100156318</v>
      </c>
    </row>
    <row r="631" spans="1:33" hidden="1" x14ac:dyDescent="0.25">
      <c r="B631">
        <v>13</v>
      </c>
      <c r="C631" t="s">
        <v>43</v>
      </c>
      <c r="D631" t="s">
        <v>26</v>
      </c>
      <c r="E631" t="s">
        <v>69</v>
      </c>
      <c r="F631">
        <v>185234</v>
      </c>
      <c r="G631">
        <v>379895</v>
      </c>
      <c r="H631">
        <v>8</v>
      </c>
      <c r="I631">
        <v>36006</v>
      </c>
      <c r="J631">
        <v>1.1184326389999999</v>
      </c>
      <c r="K631">
        <v>533489</v>
      </c>
      <c r="L631">
        <v>457214</v>
      </c>
      <c r="M631">
        <v>339178</v>
      </c>
      <c r="N631">
        <v>38593</v>
      </c>
      <c r="O631" s="43">
        <v>28385417.96570304</v>
      </c>
      <c r="P631" s="14">
        <f t="shared" si="29"/>
        <v>5233439.323205281</v>
      </c>
      <c r="Q631" s="14" t="str">
        <f t="shared" si="27"/>
        <v/>
      </c>
      <c r="R631" s="14" t="str">
        <f t="shared" si="27"/>
        <v/>
      </c>
      <c r="S631" s="14" t="str">
        <f t="shared" si="28"/>
        <v/>
      </c>
      <c r="T631" s="14" t="s">
        <v>72</v>
      </c>
      <c r="U631" s="14">
        <v>145.34908968519906</v>
      </c>
      <c r="V631">
        <v>7303</v>
      </c>
      <c r="W631">
        <v>18.093774414062501</v>
      </c>
      <c r="X631">
        <v>30.429987389139299</v>
      </c>
      <c r="Y631">
        <v>1.4457380591732401</v>
      </c>
      <c r="Z631" s="31">
        <v>2.3145544599830798</v>
      </c>
      <c r="AA631">
        <v>0.95051583378328297</v>
      </c>
      <c r="AB631">
        <v>7.0000000000000007E-2</v>
      </c>
      <c r="AC631">
        <v>286994.32546822098</v>
      </c>
      <c r="AD631">
        <v>328407.60663328529</v>
      </c>
      <c r="AE631">
        <v>1</v>
      </c>
      <c r="AF631">
        <v>11857.558901934521</v>
      </c>
      <c r="AG631">
        <v>90527.76100156318</v>
      </c>
    </row>
    <row r="632" spans="1:33" hidden="1" x14ac:dyDescent="0.25">
      <c r="B632">
        <v>13</v>
      </c>
      <c r="C632" t="s">
        <v>43</v>
      </c>
      <c r="D632" t="s">
        <v>26</v>
      </c>
      <c r="E632" t="s">
        <v>69</v>
      </c>
      <c r="F632">
        <v>192959</v>
      </c>
      <c r="G632">
        <v>379895</v>
      </c>
      <c r="H632">
        <v>9</v>
      </c>
      <c r="I632">
        <v>12120</v>
      </c>
      <c r="J632">
        <v>1.1336953329999999</v>
      </c>
      <c r="K632">
        <v>533489</v>
      </c>
      <c r="L632">
        <v>457214</v>
      </c>
      <c r="M632">
        <v>339178</v>
      </c>
      <c r="N632">
        <v>38593</v>
      </c>
      <c r="O632" s="43">
        <v>32925717.687329281</v>
      </c>
      <c r="P632" s="14">
        <f t="shared" si="29"/>
        <v>4540299.7216262408</v>
      </c>
      <c r="Q632" s="14" t="str">
        <f t="shared" si="27"/>
        <v/>
      </c>
      <c r="R632" s="14" t="str">
        <f t="shared" si="27"/>
        <v/>
      </c>
      <c r="S632" s="14" t="str">
        <f t="shared" si="28"/>
        <v/>
      </c>
      <c r="T632" s="14" t="s">
        <v>72</v>
      </c>
      <c r="U632" s="14">
        <v>374.61218825299017</v>
      </c>
      <c r="V632">
        <v>7303</v>
      </c>
      <c r="W632">
        <v>20.320458984375001</v>
      </c>
      <c r="X632">
        <v>22.757239223799498</v>
      </c>
      <c r="Y632">
        <v>1.8437231075836</v>
      </c>
      <c r="Z632" s="31">
        <v>2.27849817971539</v>
      </c>
      <c r="AA632">
        <v>1.52439137697905</v>
      </c>
      <c r="AB632">
        <v>7.0000000000000007E-2</v>
      </c>
      <c r="AC632">
        <v>286994.32546822098</v>
      </c>
      <c r="AD632">
        <v>328407.60663328529</v>
      </c>
      <c r="AE632">
        <v>1</v>
      </c>
      <c r="AF632">
        <v>11857.558901934521</v>
      </c>
      <c r="AG632">
        <v>90527.76100156318</v>
      </c>
    </row>
    <row r="633" spans="1:33" hidden="1" x14ac:dyDescent="0.25">
      <c r="B633">
        <v>13</v>
      </c>
      <c r="C633" t="s">
        <v>43</v>
      </c>
      <c r="D633" t="s">
        <v>26</v>
      </c>
      <c r="E633" t="s">
        <v>69</v>
      </c>
      <c r="F633">
        <v>208157</v>
      </c>
      <c r="G633">
        <v>379895</v>
      </c>
      <c r="H633">
        <v>10</v>
      </c>
      <c r="I633">
        <v>5794</v>
      </c>
      <c r="J633">
        <v>2.2304079840000002</v>
      </c>
      <c r="K633">
        <v>533489</v>
      </c>
      <c r="L633">
        <v>457214</v>
      </c>
      <c r="M633">
        <v>339178</v>
      </c>
      <c r="N633">
        <v>38593</v>
      </c>
      <c r="O633" s="43">
        <v>38447624.072420642</v>
      </c>
      <c r="P633" s="14">
        <f t="shared" si="29"/>
        <v>5521906.3850913607</v>
      </c>
      <c r="Q633" s="14" t="str">
        <f t="shared" si="27"/>
        <v/>
      </c>
      <c r="R633" s="14" t="str">
        <f t="shared" si="27"/>
        <v/>
      </c>
      <c r="S633" s="14" t="str">
        <f t="shared" si="28"/>
        <v/>
      </c>
      <c r="T633" s="14" t="s">
        <v>72</v>
      </c>
      <c r="U633" s="14">
        <v>953.03872714728357</v>
      </c>
      <c r="V633">
        <v>7303</v>
      </c>
      <c r="W633">
        <v>22.859399414062501</v>
      </c>
      <c r="X633">
        <v>23.013108547818899</v>
      </c>
      <c r="Y633">
        <v>2.1458331236688402</v>
      </c>
      <c r="Z633" s="31">
        <v>2.3009167435593598</v>
      </c>
      <c r="AA633">
        <v>0.94741993561592797</v>
      </c>
      <c r="AB633">
        <v>7.0000000000000007E-2</v>
      </c>
      <c r="AC633">
        <v>286994.32546822098</v>
      </c>
      <c r="AD633">
        <v>328407.60663328529</v>
      </c>
      <c r="AE633">
        <v>1</v>
      </c>
      <c r="AF633">
        <v>11857.558901934521</v>
      </c>
      <c r="AG633">
        <v>90527.76100156318</v>
      </c>
    </row>
    <row r="634" spans="1:33" hidden="1" x14ac:dyDescent="0.25">
      <c r="B634">
        <v>13</v>
      </c>
      <c r="C634" t="s">
        <v>43</v>
      </c>
      <c r="D634" t="s">
        <v>26</v>
      </c>
      <c r="E634" t="s">
        <v>69</v>
      </c>
      <c r="F634">
        <v>217835</v>
      </c>
      <c r="G634">
        <v>379895</v>
      </c>
      <c r="H634">
        <v>11</v>
      </c>
      <c r="I634">
        <v>7621</v>
      </c>
      <c r="J634">
        <v>1.4203111239999999</v>
      </c>
      <c r="K634">
        <v>533489</v>
      </c>
      <c r="L634">
        <v>457214</v>
      </c>
      <c r="M634">
        <v>339178</v>
      </c>
      <c r="N634">
        <v>38593</v>
      </c>
      <c r="O634" s="43">
        <v>44063406.641200326</v>
      </c>
      <c r="P634" s="14">
        <f t="shared" si="29"/>
        <v>5615782.5687796846</v>
      </c>
      <c r="Q634" s="14" t="str">
        <f t="shared" si="27"/>
        <v/>
      </c>
      <c r="R634" s="14" t="str">
        <f t="shared" si="27"/>
        <v/>
      </c>
      <c r="S634" s="14" t="str">
        <f t="shared" si="28"/>
        <v/>
      </c>
      <c r="T634" s="14" t="s">
        <v>72</v>
      </c>
      <c r="U634" s="14">
        <v>736.88263597686455</v>
      </c>
      <c r="V634">
        <v>7303</v>
      </c>
      <c r="W634">
        <v>24.049218750000001</v>
      </c>
      <c r="X634">
        <v>16.994799529633902</v>
      </c>
      <c r="Y634">
        <v>2.4855219705363898</v>
      </c>
      <c r="Z634" s="31">
        <v>2.1479390720345402</v>
      </c>
      <c r="AA634">
        <v>2.69579463793769</v>
      </c>
      <c r="AB634">
        <v>7.0000000000000007E-2</v>
      </c>
      <c r="AC634">
        <v>286994.32546822098</v>
      </c>
      <c r="AD634">
        <v>328407.60663328529</v>
      </c>
      <c r="AE634">
        <v>1</v>
      </c>
      <c r="AF634">
        <v>11857.558901934521</v>
      </c>
      <c r="AG634">
        <v>90527.76100156318</v>
      </c>
    </row>
    <row r="635" spans="1:33" hidden="1" x14ac:dyDescent="0.25">
      <c r="B635">
        <v>13</v>
      </c>
      <c r="C635" t="s">
        <v>43</v>
      </c>
      <c r="D635" t="s">
        <v>26</v>
      </c>
      <c r="E635" t="s">
        <v>69</v>
      </c>
      <c r="F635">
        <v>238775</v>
      </c>
      <c r="G635">
        <v>379895</v>
      </c>
      <c r="H635">
        <v>12</v>
      </c>
      <c r="I635">
        <v>7725</v>
      </c>
      <c r="J635">
        <v>3.073084825</v>
      </c>
      <c r="K635">
        <v>533489</v>
      </c>
      <c r="L635">
        <v>457214</v>
      </c>
      <c r="M635">
        <v>339178</v>
      </c>
      <c r="N635">
        <v>38593</v>
      </c>
      <c r="O635" s="43">
        <v>49630644.480051361</v>
      </c>
      <c r="P635" s="14">
        <f t="shared" si="29"/>
        <v>5567237.8388510346</v>
      </c>
      <c r="Q635" s="14" t="str">
        <f t="shared" si="27"/>
        <v/>
      </c>
      <c r="R635" s="14" t="str">
        <f t="shared" si="27"/>
        <v/>
      </c>
      <c r="S635" s="14" t="str">
        <f t="shared" si="28"/>
        <v/>
      </c>
      <c r="T635" s="14" t="s">
        <v>72</v>
      </c>
      <c r="U635" s="14">
        <v>720.67803739171973</v>
      </c>
      <c r="V635">
        <v>7303</v>
      </c>
      <c r="W635">
        <v>24.051049804687501</v>
      </c>
      <c r="X635">
        <v>16.9869796968703</v>
      </c>
      <c r="Y635">
        <v>2.4860290964554701</v>
      </c>
      <c r="Z635" s="31">
        <v>2.3506654957004902</v>
      </c>
      <c r="AA635">
        <v>3.7963797816676199</v>
      </c>
      <c r="AB635">
        <v>7.0000000000000007E-2</v>
      </c>
      <c r="AC635">
        <v>286994.32546822098</v>
      </c>
      <c r="AD635">
        <v>328407.60663328529</v>
      </c>
      <c r="AE635">
        <v>1</v>
      </c>
      <c r="AF635">
        <v>11857.558901934521</v>
      </c>
      <c r="AG635">
        <v>90527.76100156318</v>
      </c>
    </row>
    <row r="636" spans="1:33" hidden="1" x14ac:dyDescent="0.25">
      <c r="B636">
        <v>13</v>
      </c>
      <c r="C636" t="s">
        <v>43</v>
      </c>
      <c r="D636" t="s">
        <v>26</v>
      </c>
      <c r="E636" t="s">
        <v>69</v>
      </c>
      <c r="F636">
        <v>246071</v>
      </c>
      <c r="G636">
        <v>379895</v>
      </c>
      <c r="H636">
        <v>13</v>
      </c>
      <c r="I636">
        <v>15198</v>
      </c>
      <c r="J636">
        <v>1.0707367189999999</v>
      </c>
      <c r="K636">
        <v>533489</v>
      </c>
      <c r="L636">
        <v>457214</v>
      </c>
      <c r="M636">
        <v>339178</v>
      </c>
      <c r="N636">
        <v>38593</v>
      </c>
      <c r="O636" s="43">
        <v>53840062.580958717</v>
      </c>
      <c r="P636" s="14">
        <f t="shared" si="29"/>
        <v>4209418.1009073555</v>
      </c>
      <c r="Q636" s="14" t="str">
        <f t="shared" si="27"/>
        <v/>
      </c>
      <c r="R636" s="14" t="str">
        <f t="shared" si="27"/>
        <v/>
      </c>
      <c r="S636" s="14" t="str">
        <f t="shared" si="28"/>
        <v/>
      </c>
      <c r="T636" s="14" t="s">
        <v>72</v>
      </c>
      <c r="U636" s="14">
        <v>276.97184503930538</v>
      </c>
      <c r="V636">
        <v>7303</v>
      </c>
      <c r="W636">
        <v>23.640893554687501</v>
      </c>
      <c r="X636">
        <v>18.999974708193601</v>
      </c>
      <c r="Y636">
        <v>2.3667115581892699</v>
      </c>
      <c r="Z636" s="31">
        <v>2.4511732337955499</v>
      </c>
      <c r="AA636">
        <v>4.9297602979873902</v>
      </c>
      <c r="AB636">
        <v>7.0000000000000007E-2</v>
      </c>
      <c r="AC636">
        <v>286994.32546822098</v>
      </c>
      <c r="AD636">
        <v>328407.60663328529</v>
      </c>
      <c r="AE636">
        <v>1</v>
      </c>
      <c r="AF636">
        <v>11857.558901934521</v>
      </c>
      <c r="AG636">
        <v>90527.76100156318</v>
      </c>
    </row>
    <row r="637" spans="1:33" hidden="1" x14ac:dyDescent="0.25">
      <c r="B637">
        <v>13</v>
      </c>
      <c r="C637" t="s">
        <v>43</v>
      </c>
      <c r="D637" t="s">
        <v>26</v>
      </c>
      <c r="E637" t="s">
        <v>69</v>
      </c>
      <c r="F637">
        <v>247938</v>
      </c>
      <c r="G637">
        <v>379895</v>
      </c>
      <c r="H637">
        <v>14</v>
      </c>
      <c r="I637">
        <v>9678</v>
      </c>
      <c r="J637">
        <v>0.27399471679999998</v>
      </c>
      <c r="K637">
        <v>533489</v>
      </c>
      <c r="L637">
        <v>457214</v>
      </c>
      <c r="M637">
        <v>339178</v>
      </c>
      <c r="N637">
        <v>38593</v>
      </c>
      <c r="O637" s="43">
        <v>58393348.149438716</v>
      </c>
      <c r="P637" s="14">
        <f t="shared" si="29"/>
        <v>4553285.5684799999</v>
      </c>
      <c r="Q637" s="14" t="str">
        <f t="shared" si="27"/>
        <v/>
      </c>
      <c r="R637" s="14" t="str">
        <f t="shared" si="27"/>
        <v/>
      </c>
      <c r="S637" s="14" t="str">
        <f t="shared" si="28"/>
        <v/>
      </c>
      <c r="T637" s="14" t="s">
        <v>72</v>
      </c>
      <c r="U637" s="14">
        <v>470.477946732796</v>
      </c>
      <c r="V637">
        <v>7303</v>
      </c>
      <c r="W637">
        <v>24.013818359375001</v>
      </c>
      <c r="X637">
        <v>19.774674150743799</v>
      </c>
      <c r="Y637">
        <v>2.3971333077055701</v>
      </c>
      <c r="Z637" s="31">
        <v>2.17123283375361</v>
      </c>
      <c r="AA637">
        <v>5.5004989330156402</v>
      </c>
      <c r="AB637">
        <v>7.0000000000000007E-2</v>
      </c>
      <c r="AC637">
        <v>286994.32546822098</v>
      </c>
      <c r="AD637">
        <v>328407.60663328529</v>
      </c>
      <c r="AE637">
        <v>1</v>
      </c>
      <c r="AF637">
        <v>11857.558901934521</v>
      </c>
      <c r="AG637">
        <v>90527.76100156318</v>
      </c>
    </row>
    <row r="638" spans="1:33" hidden="1" x14ac:dyDescent="0.25">
      <c r="B638">
        <v>13</v>
      </c>
      <c r="C638" t="s">
        <v>43</v>
      </c>
      <c r="D638" t="s">
        <v>26</v>
      </c>
      <c r="E638" t="s">
        <v>69</v>
      </c>
      <c r="F638">
        <v>268681</v>
      </c>
      <c r="G638">
        <v>379895</v>
      </c>
      <c r="H638">
        <v>15</v>
      </c>
      <c r="I638">
        <v>20940</v>
      </c>
      <c r="J638">
        <v>3.0441737600000001</v>
      </c>
      <c r="K638">
        <v>533489</v>
      </c>
      <c r="L638">
        <v>457214</v>
      </c>
      <c r="M638">
        <v>339178</v>
      </c>
      <c r="N638">
        <v>38593</v>
      </c>
      <c r="O638" s="43">
        <v>63532796.856043682</v>
      </c>
      <c r="P638" s="14">
        <f t="shared" si="29"/>
        <v>5139448.706604965</v>
      </c>
      <c r="Q638" s="14" t="str">
        <f t="shared" si="27"/>
        <v/>
      </c>
      <c r="R638" s="14" t="str">
        <f t="shared" si="27"/>
        <v/>
      </c>
      <c r="S638" s="14" t="str">
        <f t="shared" si="28"/>
        <v/>
      </c>
      <c r="T638" s="14" t="s">
        <v>72</v>
      </c>
      <c r="U638" s="14">
        <v>245.43690098399989</v>
      </c>
      <c r="V638">
        <v>7303</v>
      </c>
      <c r="W638">
        <v>22.343530273437501</v>
      </c>
      <c r="X638">
        <v>20.246687738100601</v>
      </c>
      <c r="Y638">
        <v>2.1545709562648598</v>
      </c>
      <c r="Z638" s="31">
        <v>2.0169082695852301</v>
      </c>
      <c r="AA638">
        <v>7.7971321043081199</v>
      </c>
      <c r="AB638">
        <v>7.0000000000000007E-2</v>
      </c>
      <c r="AC638">
        <v>286994.32546822098</v>
      </c>
      <c r="AD638">
        <v>328407.60663328529</v>
      </c>
      <c r="AE638">
        <v>1</v>
      </c>
      <c r="AF638">
        <v>11857.558901934521</v>
      </c>
      <c r="AG638">
        <v>90527.76100156318</v>
      </c>
    </row>
    <row r="639" spans="1:33" hidden="1" x14ac:dyDescent="0.25">
      <c r="B639">
        <v>13</v>
      </c>
      <c r="C639" t="s">
        <v>43</v>
      </c>
      <c r="D639" t="s">
        <v>26</v>
      </c>
      <c r="E639" t="s">
        <v>69</v>
      </c>
      <c r="F639">
        <v>274208</v>
      </c>
      <c r="G639">
        <v>379895</v>
      </c>
      <c r="H639">
        <v>16</v>
      </c>
      <c r="I639">
        <v>7296</v>
      </c>
      <c r="J639">
        <v>0.81112415609999999</v>
      </c>
      <c r="K639">
        <v>533489</v>
      </c>
      <c r="L639">
        <v>457214</v>
      </c>
      <c r="M639">
        <v>339178</v>
      </c>
      <c r="N639">
        <v>38593</v>
      </c>
      <c r="O639" s="43">
        <v>68755294.104203522</v>
      </c>
      <c r="P639" s="14">
        <f t="shared" si="29"/>
        <v>5222497.2481598407</v>
      </c>
      <c r="Q639" s="14" t="str">
        <f t="shared" si="27"/>
        <v/>
      </c>
      <c r="R639" s="14" t="str">
        <f t="shared" si="27"/>
        <v/>
      </c>
      <c r="S639" s="14" t="str">
        <f t="shared" si="28"/>
        <v/>
      </c>
      <c r="T639" s="14" t="s">
        <v>72</v>
      </c>
      <c r="U639" s="14">
        <v>715.80280265348699</v>
      </c>
      <c r="V639">
        <v>7303</v>
      </c>
      <c r="W639">
        <v>19.469628906250001</v>
      </c>
      <c r="X639">
        <v>38.800254177120003</v>
      </c>
      <c r="Y639">
        <v>1.3857158547763899</v>
      </c>
      <c r="Z639" s="31">
        <v>3.1849078821563599</v>
      </c>
      <c r="AA639">
        <v>10.483368143805</v>
      </c>
      <c r="AB639">
        <v>7.0000000000000007E-2</v>
      </c>
      <c r="AC639">
        <v>286994.32546822098</v>
      </c>
      <c r="AD639">
        <v>328407.60663328529</v>
      </c>
      <c r="AE639">
        <v>1</v>
      </c>
      <c r="AF639">
        <v>11857.558901934521</v>
      </c>
      <c r="AG639">
        <v>90527.76100156318</v>
      </c>
    </row>
    <row r="640" spans="1:33" hidden="1" x14ac:dyDescent="0.25">
      <c r="B640">
        <v>13</v>
      </c>
      <c r="C640" t="s">
        <v>43</v>
      </c>
      <c r="D640" t="s">
        <v>26</v>
      </c>
      <c r="E640" t="s">
        <v>69</v>
      </c>
      <c r="F640">
        <v>278447</v>
      </c>
      <c r="G640">
        <v>379895</v>
      </c>
      <c r="H640">
        <v>17</v>
      </c>
      <c r="I640">
        <v>1867</v>
      </c>
      <c r="J640">
        <v>0.62210155560000002</v>
      </c>
      <c r="K640">
        <v>533489</v>
      </c>
      <c r="L640">
        <v>457214</v>
      </c>
      <c r="M640">
        <v>339178</v>
      </c>
      <c r="N640">
        <v>38593</v>
      </c>
      <c r="O640" s="43">
        <v>74153976.840995044</v>
      </c>
      <c r="P640" s="14">
        <f t="shared" si="29"/>
        <v>5398682.7367915213</v>
      </c>
      <c r="Q640" s="14" t="str">
        <f t="shared" si="27"/>
        <v/>
      </c>
      <c r="R640" s="14" t="str">
        <f t="shared" si="27"/>
        <v/>
      </c>
      <c r="S640" s="14" t="str">
        <f t="shared" si="28"/>
        <v/>
      </c>
      <c r="T640" s="14" t="s">
        <v>72</v>
      </c>
      <c r="U640" s="14">
        <v>2891.6351027271139</v>
      </c>
      <c r="V640">
        <v>7303</v>
      </c>
      <c r="W640">
        <v>21.768212890625001</v>
      </c>
      <c r="X640">
        <v>32.745545639595598</v>
      </c>
      <c r="Y640">
        <v>1.7541955647998799</v>
      </c>
      <c r="Z640" s="31">
        <v>1.8446211686957299</v>
      </c>
      <c r="AA640">
        <v>1.3948317286362599</v>
      </c>
      <c r="AB640">
        <v>7.0000000000000007E-2</v>
      </c>
      <c r="AC640">
        <v>286994.32546822098</v>
      </c>
      <c r="AD640">
        <v>328407.60663328529</v>
      </c>
      <c r="AE640">
        <v>1</v>
      </c>
      <c r="AF640">
        <v>11857.558901934521</v>
      </c>
      <c r="AG640">
        <v>90527.76100156318</v>
      </c>
    </row>
    <row r="641" spans="2:33" hidden="1" x14ac:dyDescent="0.25">
      <c r="B641">
        <v>13</v>
      </c>
      <c r="C641" t="s">
        <v>43</v>
      </c>
      <c r="D641" t="s">
        <v>26</v>
      </c>
      <c r="E641" t="s">
        <v>69</v>
      </c>
      <c r="F641">
        <v>282461</v>
      </c>
      <c r="G641">
        <v>379895</v>
      </c>
      <c r="H641">
        <v>18</v>
      </c>
      <c r="I641">
        <v>20743</v>
      </c>
      <c r="J641">
        <v>0.58908130319999996</v>
      </c>
      <c r="K641">
        <v>533489</v>
      </c>
      <c r="L641">
        <v>457214</v>
      </c>
      <c r="M641">
        <v>339178</v>
      </c>
      <c r="N641">
        <v>38593</v>
      </c>
      <c r="O641" s="43">
        <v>79585699.792468324</v>
      </c>
      <c r="P641" s="14">
        <f t="shared" si="29"/>
        <v>5431722.9514732808</v>
      </c>
      <c r="Q641" s="14" t="str">
        <f t="shared" si="27"/>
        <v/>
      </c>
      <c r="R641" s="14" t="str">
        <f t="shared" si="27"/>
        <v/>
      </c>
      <c r="S641" s="14" t="str">
        <f t="shared" si="28"/>
        <v/>
      </c>
      <c r="T641" s="14" t="s">
        <v>72</v>
      </c>
      <c r="U641" s="14">
        <v>261.85811847241388</v>
      </c>
      <c r="V641">
        <v>7303</v>
      </c>
      <c r="W641">
        <v>22.908471679687501</v>
      </c>
      <c r="X641">
        <v>23.595679186218199</v>
      </c>
      <c r="Y641">
        <v>2.1359114107732999</v>
      </c>
      <c r="Z641" s="31">
        <v>2.0366163174274399</v>
      </c>
      <c r="AA641">
        <v>3.3013958082350401</v>
      </c>
      <c r="AB641">
        <v>7.0000000000000007E-2</v>
      </c>
      <c r="AC641">
        <v>286994.32546822098</v>
      </c>
      <c r="AD641">
        <v>328407.60663328529</v>
      </c>
      <c r="AE641">
        <v>1</v>
      </c>
      <c r="AF641">
        <v>11857.558901934521</v>
      </c>
      <c r="AG641">
        <v>90527.76100156318</v>
      </c>
    </row>
    <row r="642" spans="2:33" hidden="1" x14ac:dyDescent="0.25">
      <c r="B642">
        <v>13</v>
      </c>
      <c r="C642" t="s">
        <v>43</v>
      </c>
      <c r="D642" t="s">
        <v>26</v>
      </c>
      <c r="E642" t="s">
        <v>69</v>
      </c>
      <c r="F642">
        <v>284741</v>
      </c>
      <c r="G642">
        <v>379895</v>
      </c>
      <c r="H642">
        <v>19</v>
      </c>
      <c r="I642">
        <v>5527</v>
      </c>
      <c r="J642">
        <v>0.33460522450000002</v>
      </c>
      <c r="K642">
        <v>533489</v>
      </c>
      <c r="L642">
        <v>457214</v>
      </c>
      <c r="M642">
        <v>339178</v>
      </c>
      <c r="N642">
        <v>38593</v>
      </c>
      <c r="O642" s="43">
        <v>85702672.19623825</v>
      </c>
      <c r="P642" s="14">
        <f t="shared" si="29"/>
        <v>6116972.4037699252</v>
      </c>
      <c r="Q642" s="14" t="str">
        <f t="shared" si="27"/>
        <v/>
      </c>
      <c r="R642" s="14" t="str">
        <f t="shared" si="27"/>
        <v/>
      </c>
      <c r="S642" s="14" t="str">
        <f t="shared" si="28"/>
        <v/>
      </c>
      <c r="T642" s="14" t="s">
        <v>72</v>
      </c>
      <c r="U642" s="14">
        <v>1106.743695272286</v>
      </c>
      <c r="V642">
        <v>7303</v>
      </c>
      <c r="W642">
        <v>23.118188476562501</v>
      </c>
      <c r="X642">
        <v>24.2191346473256</v>
      </c>
      <c r="Y642">
        <v>2.14547550577513</v>
      </c>
      <c r="Z642" s="31">
        <v>2.4499930117806801</v>
      </c>
      <c r="AA642">
        <v>6.8577959499308303</v>
      </c>
      <c r="AB642">
        <v>7.0000000000000007E-2</v>
      </c>
      <c r="AC642">
        <v>286994.32546822098</v>
      </c>
      <c r="AD642">
        <v>328407.60663328529</v>
      </c>
      <c r="AE642">
        <v>1</v>
      </c>
      <c r="AF642">
        <v>11857.558901934521</v>
      </c>
      <c r="AG642">
        <v>90527.76100156318</v>
      </c>
    </row>
    <row r="643" spans="2:33" hidden="1" x14ac:dyDescent="0.25">
      <c r="B643">
        <v>13</v>
      </c>
      <c r="C643" t="s">
        <v>43</v>
      </c>
      <c r="D643" t="s">
        <v>26</v>
      </c>
      <c r="E643" t="s">
        <v>69</v>
      </c>
      <c r="F643">
        <v>289667</v>
      </c>
      <c r="G643">
        <v>379895</v>
      </c>
      <c r="H643">
        <v>20</v>
      </c>
      <c r="I643">
        <v>4239</v>
      </c>
      <c r="J643">
        <v>0.72292339299999997</v>
      </c>
      <c r="K643">
        <v>533489</v>
      </c>
      <c r="L643">
        <v>457214</v>
      </c>
      <c r="M643">
        <v>339178</v>
      </c>
      <c r="N643">
        <v>38593</v>
      </c>
      <c r="O643" s="43">
        <v>90780185.233552322</v>
      </c>
      <c r="P643" s="14">
        <f t="shared" si="29"/>
        <v>5077513.0373140723</v>
      </c>
      <c r="Q643" s="14" t="str">
        <f t="shared" ref="Q643:R706" si="30">IF(P643&gt;=0,"",P643)</f>
        <v/>
      </c>
      <c r="R643" s="14" t="str">
        <f t="shared" si="30"/>
        <v/>
      </c>
      <c r="S643" s="14" t="str">
        <f t="shared" ref="S643:S706" si="31">IFERROR(IF(ISNA(Q643),NA(),Q643^2),"")</f>
        <v/>
      </c>
      <c r="T643" s="14" t="s">
        <v>72</v>
      </c>
      <c r="U643" s="14">
        <v>1197.8091619047116</v>
      </c>
      <c r="V643">
        <v>7303</v>
      </c>
      <c r="W643">
        <v>22.973901367187501</v>
      </c>
      <c r="X643">
        <v>22.686080049169199</v>
      </c>
      <c r="Y643">
        <v>2.16992265692287</v>
      </c>
      <c r="Z643" s="31">
        <v>2.1538897875557801</v>
      </c>
      <c r="AA643">
        <v>2.6624165368349799</v>
      </c>
      <c r="AB643">
        <v>7.0000000000000007E-2</v>
      </c>
      <c r="AC643">
        <v>286994.32546822098</v>
      </c>
      <c r="AD643">
        <v>328407.60663328529</v>
      </c>
      <c r="AE643">
        <v>1</v>
      </c>
      <c r="AF643">
        <v>11857.558901934521</v>
      </c>
      <c r="AG643">
        <v>90527.76100156318</v>
      </c>
    </row>
    <row r="644" spans="2:33" hidden="1" x14ac:dyDescent="0.25">
      <c r="B644">
        <v>13</v>
      </c>
      <c r="C644" t="s">
        <v>43</v>
      </c>
      <c r="D644" t="s">
        <v>26</v>
      </c>
      <c r="E644" t="s">
        <v>69</v>
      </c>
      <c r="F644">
        <v>289690</v>
      </c>
      <c r="G644">
        <v>379895</v>
      </c>
      <c r="H644">
        <v>21</v>
      </c>
      <c r="I644">
        <v>4014</v>
      </c>
      <c r="J644">
        <v>3.3754035810000002E-3</v>
      </c>
      <c r="K644">
        <v>533489</v>
      </c>
      <c r="L644">
        <v>457214</v>
      </c>
      <c r="M644">
        <v>339178</v>
      </c>
      <c r="N644">
        <v>38593</v>
      </c>
      <c r="O644" s="43">
        <v>95963940.075025454</v>
      </c>
      <c r="P644" s="14">
        <f t="shared" ref="P644:P707" si="32">O644-O643</f>
        <v>5183754.8414731324</v>
      </c>
      <c r="Q644" s="14" t="str">
        <f t="shared" si="30"/>
        <v/>
      </c>
      <c r="R644" s="14" t="str">
        <f t="shared" si="30"/>
        <v/>
      </c>
      <c r="S644" s="14" t="str">
        <f t="shared" si="31"/>
        <v/>
      </c>
      <c r="T644" s="14" t="s">
        <v>72</v>
      </c>
      <c r="U644" s="14">
        <v>1291.4187447616175</v>
      </c>
      <c r="V644">
        <v>7303</v>
      </c>
      <c r="W644">
        <v>23.903955078125001</v>
      </c>
      <c r="X644">
        <v>15.5983322681516</v>
      </c>
      <c r="Y644">
        <v>2.5054359068291898</v>
      </c>
      <c r="Z644" s="31">
        <v>1.93875965728507</v>
      </c>
      <c r="AA644">
        <v>2.3805031709953099</v>
      </c>
      <c r="AB644">
        <v>7.0000000000000007E-2</v>
      </c>
      <c r="AC644">
        <v>286994.32546822098</v>
      </c>
      <c r="AD644">
        <v>328407.60663328529</v>
      </c>
      <c r="AE644">
        <v>1</v>
      </c>
      <c r="AF644">
        <v>11857.558901934521</v>
      </c>
      <c r="AG644">
        <v>90527.76100156318</v>
      </c>
    </row>
    <row r="645" spans="2:33" hidden="1" x14ac:dyDescent="0.25">
      <c r="B645">
        <v>13</v>
      </c>
      <c r="C645" t="s">
        <v>43</v>
      </c>
      <c r="D645" t="s">
        <v>26</v>
      </c>
      <c r="E645" t="s">
        <v>69</v>
      </c>
      <c r="F645">
        <v>292172</v>
      </c>
      <c r="G645">
        <v>379895</v>
      </c>
      <c r="H645">
        <v>22</v>
      </c>
      <c r="I645">
        <v>2280</v>
      </c>
      <c r="J645">
        <v>0.36425007339999999</v>
      </c>
      <c r="K645">
        <v>533489</v>
      </c>
      <c r="L645">
        <v>457214</v>
      </c>
      <c r="M645">
        <v>339178</v>
      </c>
      <c r="N645">
        <v>38593</v>
      </c>
      <c r="O645" s="43">
        <v>101258227.9548576</v>
      </c>
      <c r="P645" s="14">
        <f t="shared" si="32"/>
        <v>5294287.8798321486</v>
      </c>
      <c r="Q645" s="14" t="str">
        <f t="shared" si="30"/>
        <v/>
      </c>
      <c r="R645" s="14" t="str">
        <f t="shared" si="30"/>
        <v/>
      </c>
      <c r="S645" s="14" t="str">
        <f t="shared" si="31"/>
        <v/>
      </c>
      <c r="T645" s="14" t="s">
        <v>72</v>
      </c>
      <c r="U645" s="14">
        <v>2322.0560876456793</v>
      </c>
      <c r="V645">
        <v>7303</v>
      </c>
      <c r="W645">
        <v>22.981591796875001</v>
      </c>
      <c r="X645">
        <v>20.625918373150402</v>
      </c>
      <c r="Y645">
        <v>2.2288197722352701</v>
      </c>
      <c r="Z645" s="31">
        <v>1.9475679595715201</v>
      </c>
      <c r="AA645">
        <v>2.01437376115009</v>
      </c>
      <c r="AB645">
        <v>7.0000000000000007E-2</v>
      </c>
      <c r="AC645">
        <v>286994.32546822098</v>
      </c>
      <c r="AD645">
        <v>328407.60663328529</v>
      </c>
      <c r="AE645">
        <v>1</v>
      </c>
      <c r="AF645">
        <v>11857.558901934521</v>
      </c>
      <c r="AG645">
        <v>90527.76100156318</v>
      </c>
    </row>
    <row r="646" spans="2:33" hidden="1" x14ac:dyDescent="0.25">
      <c r="B646">
        <v>13</v>
      </c>
      <c r="C646" t="s">
        <v>43</v>
      </c>
      <c r="D646" t="s">
        <v>26</v>
      </c>
      <c r="E646" t="s">
        <v>69</v>
      </c>
      <c r="F646">
        <v>300246</v>
      </c>
      <c r="G646">
        <v>379895</v>
      </c>
      <c r="H646">
        <v>23</v>
      </c>
      <c r="I646">
        <v>4926</v>
      </c>
      <c r="J646">
        <v>1.1849134139999999</v>
      </c>
      <c r="K646">
        <v>533489</v>
      </c>
      <c r="L646">
        <v>457214</v>
      </c>
      <c r="M646">
        <v>339178</v>
      </c>
      <c r="N646">
        <v>38593</v>
      </c>
      <c r="O646" s="43">
        <v>106609133.80655999</v>
      </c>
      <c r="P646" s="14">
        <f t="shared" si="32"/>
        <v>5350905.8517023921</v>
      </c>
      <c r="Q646" s="14" t="str">
        <f t="shared" si="30"/>
        <v/>
      </c>
      <c r="R646" s="14" t="str">
        <f t="shared" si="30"/>
        <v/>
      </c>
      <c r="S646" s="14" t="str">
        <f t="shared" si="31"/>
        <v/>
      </c>
      <c r="T646" s="14" t="s">
        <v>72</v>
      </c>
      <c r="U646" s="14">
        <v>1086.257785566871</v>
      </c>
      <c r="V646">
        <v>7303</v>
      </c>
      <c r="W646">
        <v>22.794702148437501</v>
      </c>
      <c r="X646">
        <v>28.9165171398582</v>
      </c>
      <c r="Y646">
        <v>1.97342271834018</v>
      </c>
      <c r="Z646" s="31">
        <v>1.8531289064018801</v>
      </c>
      <c r="AA646">
        <v>2.1467862095971002</v>
      </c>
      <c r="AB646">
        <v>7.0000000000000007E-2</v>
      </c>
      <c r="AC646">
        <v>286994.32546822098</v>
      </c>
      <c r="AD646">
        <v>328407.60663328529</v>
      </c>
      <c r="AE646">
        <v>1</v>
      </c>
      <c r="AF646">
        <v>11857.558901934521</v>
      </c>
      <c r="AG646">
        <v>90527.76100156318</v>
      </c>
    </row>
    <row r="647" spans="2:33" hidden="1" x14ac:dyDescent="0.25">
      <c r="B647">
        <v>13</v>
      </c>
      <c r="C647" t="s">
        <v>43</v>
      </c>
      <c r="D647" t="s">
        <v>26</v>
      </c>
      <c r="E647" t="s">
        <v>69</v>
      </c>
      <c r="F647">
        <v>300304</v>
      </c>
      <c r="G647">
        <v>379895</v>
      </c>
      <c r="H647">
        <v>24</v>
      </c>
      <c r="I647">
        <v>23</v>
      </c>
      <c r="J647">
        <v>8.5118872909999994E-3</v>
      </c>
      <c r="K647">
        <v>533489</v>
      </c>
      <c r="L647">
        <v>457214</v>
      </c>
      <c r="M647">
        <v>339178</v>
      </c>
      <c r="N647">
        <v>38593</v>
      </c>
      <c r="O647" s="43">
        <v>111873047.75856</v>
      </c>
      <c r="P647" s="14">
        <f t="shared" si="32"/>
        <v>5263913.952000007</v>
      </c>
      <c r="Q647" s="14" t="str">
        <f t="shared" si="30"/>
        <v/>
      </c>
      <c r="R647" s="14" t="str">
        <f t="shared" si="30"/>
        <v/>
      </c>
      <c r="S647" s="14" t="str">
        <f t="shared" si="31"/>
        <v/>
      </c>
      <c r="T647" s="14" t="s">
        <v>72</v>
      </c>
      <c r="U647" s="14">
        <v>228865.82399999964</v>
      </c>
      <c r="V647">
        <v>7303</v>
      </c>
      <c r="W647">
        <v>22.515527343750001</v>
      </c>
      <c r="X647">
        <v>33.964538895212499</v>
      </c>
      <c r="Y647">
        <v>1.8024293279927599</v>
      </c>
      <c r="Z647" s="31">
        <v>1.9378258588899999</v>
      </c>
      <c r="AA647">
        <v>3.8702809476990798</v>
      </c>
      <c r="AB647">
        <v>7.0000000000000007E-2</v>
      </c>
      <c r="AC647">
        <v>286994.32546822098</v>
      </c>
      <c r="AD647">
        <v>328407.60663328529</v>
      </c>
      <c r="AE647">
        <v>1</v>
      </c>
      <c r="AF647">
        <v>11857.558901934521</v>
      </c>
      <c r="AG647">
        <v>90527.76100156318</v>
      </c>
    </row>
    <row r="648" spans="2:33" hidden="1" x14ac:dyDescent="0.25">
      <c r="B648">
        <v>13</v>
      </c>
      <c r="C648" t="s">
        <v>43</v>
      </c>
      <c r="D648" t="s">
        <v>26</v>
      </c>
      <c r="E648" t="s">
        <v>69</v>
      </c>
      <c r="F648">
        <v>302072</v>
      </c>
      <c r="G648">
        <v>379895</v>
      </c>
      <c r="H648">
        <v>25</v>
      </c>
      <c r="I648">
        <v>2482</v>
      </c>
      <c r="J648">
        <v>0.2594658057</v>
      </c>
      <c r="K648">
        <v>533489</v>
      </c>
      <c r="L648">
        <v>457214</v>
      </c>
      <c r="M648">
        <v>339178</v>
      </c>
      <c r="N648">
        <v>38593</v>
      </c>
      <c r="O648" s="43">
        <v>117594693.35856</v>
      </c>
      <c r="P648" s="14">
        <f t="shared" si="32"/>
        <v>5721645.599999994</v>
      </c>
      <c r="Q648" s="14" t="str">
        <f t="shared" si="30"/>
        <v/>
      </c>
      <c r="R648" s="14" t="str">
        <f t="shared" si="30"/>
        <v/>
      </c>
      <c r="S648" s="14" t="str">
        <f t="shared" si="31"/>
        <v/>
      </c>
      <c r="T648" s="14" t="s">
        <v>72</v>
      </c>
      <c r="U648" s="14">
        <v>2305.2560838033878</v>
      </c>
      <c r="V648">
        <v>7303</v>
      </c>
      <c r="W648">
        <v>25.991601562500001</v>
      </c>
      <c r="X648">
        <v>24.967358224664601</v>
      </c>
      <c r="Y648">
        <v>2.5217582701218602</v>
      </c>
      <c r="Z648" s="31">
        <v>1.2030953758365499</v>
      </c>
      <c r="AA648">
        <v>4.4001851815126098</v>
      </c>
      <c r="AB648">
        <v>7.0000000000000007E-2</v>
      </c>
      <c r="AC648">
        <v>286994.32546822098</v>
      </c>
      <c r="AD648">
        <v>328407.60663328529</v>
      </c>
      <c r="AE648">
        <v>1</v>
      </c>
      <c r="AF648">
        <v>11857.558901934521</v>
      </c>
      <c r="AG648">
        <v>90527.76100156318</v>
      </c>
    </row>
    <row r="649" spans="2:33" hidden="1" x14ac:dyDescent="0.25">
      <c r="B649">
        <v>13</v>
      </c>
      <c r="C649" t="s">
        <v>43</v>
      </c>
      <c r="D649" t="s">
        <v>26</v>
      </c>
      <c r="E649" t="s">
        <v>69</v>
      </c>
      <c r="F649">
        <v>305368</v>
      </c>
      <c r="G649">
        <v>379895</v>
      </c>
      <c r="H649">
        <v>26</v>
      </c>
      <c r="I649">
        <v>8074</v>
      </c>
      <c r="J649">
        <v>0.48371000879999998</v>
      </c>
      <c r="K649">
        <v>533489</v>
      </c>
      <c r="L649">
        <v>457214</v>
      </c>
      <c r="M649">
        <v>339178</v>
      </c>
      <c r="N649">
        <v>38593</v>
      </c>
      <c r="O649" s="43">
        <v>122214350.016</v>
      </c>
      <c r="P649" s="14">
        <f t="shared" si="32"/>
        <v>4619656.6574400067</v>
      </c>
      <c r="Q649" s="14" t="str">
        <f t="shared" si="30"/>
        <v/>
      </c>
      <c r="R649" s="14" t="str">
        <f t="shared" si="30"/>
        <v/>
      </c>
      <c r="S649" s="14" t="str">
        <f t="shared" si="31"/>
        <v/>
      </c>
      <c r="T649" s="14" t="s">
        <v>72</v>
      </c>
      <c r="U649" s="14">
        <v>572.16455999999903</v>
      </c>
      <c r="V649">
        <v>7303</v>
      </c>
      <c r="W649">
        <v>24.798974609375001</v>
      </c>
      <c r="X649">
        <v>20.742789553923799</v>
      </c>
      <c r="Y649">
        <v>2.4819653671553001</v>
      </c>
      <c r="Z649" s="31">
        <v>1.9284889596848001</v>
      </c>
      <c r="AA649">
        <v>2.1461943812544302</v>
      </c>
      <c r="AB649">
        <v>7.0000000000000007E-2</v>
      </c>
      <c r="AC649">
        <v>286994.32546822098</v>
      </c>
      <c r="AD649">
        <v>328407.60663328529</v>
      </c>
      <c r="AE649">
        <v>1</v>
      </c>
      <c r="AF649">
        <v>11857.558901934521</v>
      </c>
      <c r="AG649">
        <v>90527.76100156318</v>
      </c>
    </row>
    <row r="650" spans="2:33" hidden="1" x14ac:dyDescent="0.25">
      <c r="B650">
        <v>13</v>
      </c>
      <c r="C650" t="s">
        <v>43</v>
      </c>
      <c r="D650" t="s">
        <v>26</v>
      </c>
      <c r="E650" t="s">
        <v>69</v>
      </c>
      <c r="F650">
        <v>307800</v>
      </c>
      <c r="G650">
        <v>379895</v>
      </c>
      <c r="H650">
        <v>27</v>
      </c>
      <c r="I650">
        <v>58</v>
      </c>
      <c r="J650">
        <v>0.35691223950000001</v>
      </c>
      <c r="K650">
        <v>533489</v>
      </c>
      <c r="L650">
        <v>457214</v>
      </c>
      <c r="M650">
        <v>339178</v>
      </c>
      <c r="N650">
        <v>38593</v>
      </c>
      <c r="O650" s="43">
        <v>126219501.936</v>
      </c>
      <c r="P650" s="14">
        <f t="shared" si="32"/>
        <v>4005151.9200000018</v>
      </c>
      <c r="Q650" s="14" t="str">
        <f t="shared" si="30"/>
        <v/>
      </c>
      <c r="R650" s="14" t="str">
        <f t="shared" si="30"/>
        <v/>
      </c>
      <c r="S650" s="14" t="str">
        <f t="shared" si="31"/>
        <v/>
      </c>
      <c r="T650" s="14" t="s">
        <v>72</v>
      </c>
      <c r="U650" s="14">
        <v>69054.343448275889</v>
      </c>
      <c r="V650">
        <v>7303</v>
      </c>
      <c r="W650">
        <v>24.779809570312501</v>
      </c>
      <c r="X650">
        <v>22.110687048182701</v>
      </c>
      <c r="Y650">
        <v>2.4363041462022301</v>
      </c>
      <c r="Z650" s="31">
        <v>2.9590589184231502</v>
      </c>
      <c r="AA650">
        <v>3.35521109278561</v>
      </c>
      <c r="AB650">
        <v>7.0000000000000007E-2</v>
      </c>
      <c r="AC650">
        <v>286994.32546822098</v>
      </c>
      <c r="AD650">
        <v>328407.60663328529</v>
      </c>
      <c r="AE650">
        <v>1</v>
      </c>
      <c r="AF650">
        <v>11857.558901934521</v>
      </c>
      <c r="AG650">
        <v>90527.76100156318</v>
      </c>
    </row>
    <row r="651" spans="2:33" hidden="1" x14ac:dyDescent="0.25">
      <c r="B651">
        <v>13</v>
      </c>
      <c r="C651" t="s">
        <v>43</v>
      </c>
      <c r="D651" t="s">
        <v>26</v>
      </c>
      <c r="E651" t="s">
        <v>69</v>
      </c>
      <c r="F651">
        <v>310068</v>
      </c>
      <c r="G651">
        <v>379895</v>
      </c>
      <c r="H651">
        <v>28</v>
      </c>
      <c r="I651">
        <v>1768</v>
      </c>
      <c r="J651">
        <v>0.33284414439999999</v>
      </c>
      <c r="K651">
        <v>533489</v>
      </c>
      <c r="L651">
        <v>457214</v>
      </c>
      <c r="M651">
        <v>339178</v>
      </c>
      <c r="N651">
        <v>38593</v>
      </c>
      <c r="O651" s="43">
        <v>129423623.472</v>
      </c>
      <c r="P651" s="14">
        <f t="shared" si="32"/>
        <v>3204121.5359999985</v>
      </c>
      <c r="Q651" s="14" t="str">
        <f t="shared" si="30"/>
        <v/>
      </c>
      <c r="R651" s="14" t="str">
        <f t="shared" si="30"/>
        <v/>
      </c>
      <c r="S651" s="14" t="str">
        <f t="shared" si="31"/>
        <v/>
      </c>
      <c r="T651" s="14" t="s">
        <v>72</v>
      </c>
      <c r="U651" s="14">
        <v>1812.2859366515829</v>
      </c>
      <c r="V651">
        <v>7303</v>
      </c>
      <c r="W651">
        <v>25.581811523437501</v>
      </c>
      <c r="X651">
        <v>21.324944969395901</v>
      </c>
      <c r="Y651">
        <v>2.5810090401373</v>
      </c>
      <c r="Z651" s="31">
        <v>1.96431482990356</v>
      </c>
      <c r="AA651">
        <v>3.0851756631279499</v>
      </c>
      <c r="AB651">
        <v>7.0000000000000007E-2</v>
      </c>
      <c r="AC651">
        <v>286994.32546822098</v>
      </c>
      <c r="AD651">
        <v>328407.60663328529</v>
      </c>
      <c r="AE651">
        <v>1</v>
      </c>
      <c r="AF651">
        <v>11857.558901934521</v>
      </c>
      <c r="AG651">
        <v>90527.76100156318</v>
      </c>
    </row>
    <row r="652" spans="2:33" hidden="1" x14ac:dyDescent="0.25">
      <c r="B652">
        <v>13</v>
      </c>
      <c r="C652" t="s">
        <v>43</v>
      </c>
      <c r="D652" t="s">
        <v>26</v>
      </c>
      <c r="E652" t="s">
        <v>69</v>
      </c>
      <c r="F652">
        <v>312128</v>
      </c>
      <c r="G652">
        <v>379895</v>
      </c>
      <c r="H652">
        <v>29</v>
      </c>
      <c r="I652">
        <v>3296</v>
      </c>
      <c r="J652">
        <v>0.30231875549999998</v>
      </c>
      <c r="K652">
        <v>533489</v>
      </c>
      <c r="L652">
        <v>457214</v>
      </c>
      <c r="M652">
        <v>339178</v>
      </c>
      <c r="N652">
        <v>38593</v>
      </c>
      <c r="O652" s="43">
        <v>133199909.568</v>
      </c>
      <c r="P652" s="14">
        <f t="shared" si="32"/>
        <v>3776286.0960000008</v>
      </c>
      <c r="Q652" s="14" t="str">
        <f t="shared" si="30"/>
        <v/>
      </c>
      <c r="R652" s="14" t="str">
        <f t="shared" si="30"/>
        <v/>
      </c>
      <c r="S652" s="14" t="str">
        <f t="shared" si="31"/>
        <v/>
      </c>
      <c r="T652" s="14" t="s">
        <v>72</v>
      </c>
      <c r="U652" s="14">
        <v>1145.717868932039</v>
      </c>
      <c r="V652">
        <v>7303</v>
      </c>
      <c r="W652">
        <v>25.595849609375001</v>
      </c>
      <c r="X652">
        <v>17.625358360735401</v>
      </c>
      <c r="Y652">
        <v>2.70475071435482</v>
      </c>
      <c r="Z652" s="31">
        <v>2.1412991682285201</v>
      </c>
      <c r="AA652">
        <v>3.9470343499909801</v>
      </c>
      <c r="AB652">
        <v>7.0000000000000007E-2</v>
      </c>
      <c r="AC652">
        <v>286994.32546822098</v>
      </c>
      <c r="AD652">
        <v>328407.60663328529</v>
      </c>
      <c r="AE652">
        <v>1</v>
      </c>
      <c r="AF652">
        <v>11857.558901934521</v>
      </c>
      <c r="AG652">
        <v>90527.76100156318</v>
      </c>
    </row>
    <row r="653" spans="2:33" hidden="1" x14ac:dyDescent="0.25">
      <c r="B653">
        <v>13</v>
      </c>
      <c r="C653" t="s">
        <v>43</v>
      </c>
      <c r="D653" t="s">
        <v>26</v>
      </c>
      <c r="E653" t="s">
        <v>69</v>
      </c>
      <c r="F653">
        <v>313369</v>
      </c>
      <c r="G653">
        <v>379895</v>
      </c>
      <c r="H653">
        <v>30</v>
      </c>
      <c r="I653">
        <v>2432</v>
      </c>
      <c r="J653">
        <v>0.18212503669999999</v>
      </c>
      <c r="K653">
        <v>533489</v>
      </c>
      <c r="L653">
        <v>457214</v>
      </c>
      <c r="M653">
        <v>339178</v>
      </c>
      <c r="N653">
        <v>38593</v>
      </c>
      <c r="O653" s="43">
        <v>136632896.928</v>
      </c>
      <c r="P653" s="14">
        <f t="shared" si="32"/>
        <v>3432987.3599999994</v>
      </c>
      <c r="Q653" s="14" t="str">
        <f t="shared" si="30"/>
        <v/>
      </c>
      <c r="R653" s="14" t="str">
        <f t="shared" si="30"/>
        <v/>
      </c>
      <c r="S653" s="14" t="str">
        <f t="shared" si="31"/>
        <v/>
      </c>
      <c r="T653" s="14" t="s">
        <v>72</v>
      </c>
      <c r="U653" s="14">
        <v>1411.5901973684208</v>
      </c>
      <c r="V653">
        <v>7303</v>
      </c>
      <c r="W653">
        <v>25.026269531250001</v>
      </c>
      <c r="X653">
        <v>18.567145358544099</v>
      </c>
      <c r="Y653">
        <v>2.5849051672889298</v>
      </c>
      <c r="Z653" s="31">
        <v>1.9641806536306601</v>
      </c>
      <c r="AA653">
        <v>3.07062683865388</v>
      </c>
      <c r="AB653">
        <v>7.0000000000000007E-2</v>
      </c>
      <c r="AC653">
        <v>286994.32546822098</v>
      </c>
      <c r="AD653">
        <v>328407.60663328529</v>
      </c>
      <c r="AE653">
        <v>1</v>
      </c>
      <c r="AF653">
        <v>11857.558901934521</v>
      </c>
      <c r="AG653">
        <v>90527.76100156318</v>
      </c>
    </row>
    <row r="654" spans="2:33" hidden="1" x14ac:dyDescent="0.25">
      <c r="B654">
        <v>13</v>
      </c>
      <c r="C654" t="s">
        <v>43</v>
      </c>
      <c r="D654" t="s">
        <v>26</v>
      </c>
      <c r="E654" t="s">
        <v>69</v>
      </c>
      <c r="F654">
        <v>320717</v>
      </c>
      <c r="G654">
        <v>379895</v>
      </c>
      <c r="H654">
        <v>31</v>
      </c>
      <c r="I654">
        <v>2268</v>
      </c>
      <c r="J654">
        <v>1.0783680659999999</v>
      </c>
      <c r="K654">
        <v>533489</v>
      </c>
      <c r="L654">
        <v>457214</v>
      </c>
      <c r="M654">
        <v>339178</v>
      </c>
      <c r="N654">
        <v>38593</v>
      </c>
      <c r="O654" s="43">
        <v>139951451.37599999</v>
      </c>
      <c r="P654" s="14">
        <f t="shared" si="32"/>
        <v>3318554.447999984</v>
      </c>
      <c r="Q654" s="14" t="str">
        <f t="shared" si="30"/>
        <v/>
      </c>
      <c r="R654" s="14" t="str">
        <f t="shared" si="30"/>
        <v/>
      </c>
      <c r="S654" s="14" t="str">
        <f t="shared" si="31"/>
        <v/>
      </c>
      <c r="T654" s="14" t="s">
        <v>72</v>
      </c>
      <c r="U654" s="14">
        <v>1463.2074285714348</v>
      </c>
      <c r="V654">
        <v>7303</v>
      </c>
      <c r="W654">
        <v>24.845971679687501</v>
      </c>
      <c r="X654">
        <v>16.763515314085002</v>
      </c>
      <c r="Y654">
        <v>2.6139939249216502</v>
      </c>
      <c r="Z654" s="31">
        <v>1.7672155782971599</v>
      </c>
      <c r="AA654">
        <v>3.6364159006269401</v>
      </c>
      <c r="AB654">
        <v>7.0000000000000007E-2</v>
      </c>
      <c r="AC654">
        <v>286994.32546822098</v>
      </c>
      <c r="AD654">
        <v>328407.60663328529</v>
      </c>
      <c r="AE654">
        <v>1</v>
      </c>
      <c r="AF654">
        <v>11857.558901934521</v>
      </c>
      <c r="AG654">
        <v>90527.76100156318</v>
      </c>
    </row>
    <row r="655" spans="2:33" hidden="1" x14ac:dyDescent="0.25">
      <c r="B655">
        <v>13</v>
      </c>
      <c r="C655" t="s">
        <v>43</v>
      </c>
      <c r="D655" t="s">
        <v>26</v>
      </c>
      <c r="E655" t="s">
        <v>69</v>
      </c>
      <c r="F655">
        <v>324292</v>
      </c>
      <c r="G655">
        <v>379895</v>
      </c>
      <c r="H655">
        <v>32</v>
      </c>
      <c r="I655">
        <v>2060</v>
      </c>
      <c r="J655">
        <v>0.52465512179999996</v>
      </c>
      <c r="K655">
        <v>533489</v>
      </c>
      <c r="L655">
        <v>457214</v>
      </c>
      <c r="M655">
        <v>339178</v>
      </c>
      <c r="N655">
        <v>38593</v>
      </c>
      <c r="O655" s="43">
        <v>143498871.648</v>
      </c>
      <c r="P655" s="14">
        <f t="shared" si="32"/>
        <v>3547420.2720000148</v>
      </c>
      <c r="Q655" s="14" t="str">
        <f t="shared" si="30"/>
        <v/>
      </c>
      <c r="R655" s="14" t="str">
        <f t="shared" si="30"/>
        <v/>
      </c>
      <c r="S655" s="14" t="str">
        <f t="shared" si="31"/>
        <v/>
      </c>
      <c r="T655" s="14" t="s">
        <v>72</v>
      </c>
      <c r="U655" s="14">
        <v>1722.0486757281481</v>
      </c>
      <c r="V655">
        <v>7303</v>
      </c>
      <c r="W655">
        <v>24.805932617187501</v>
      </c>
      <c r="X655">
        <v>10.671016727996699</v>
      </c>
      <c r="Y655">
        <v>2.79870850059564</v>
      </c>
      <c r="Z655" s="31">
        <v>1.7303508555313101</v>
      </c>
      <c r="AA655">
        <v>4.8143844017565502</v>
      </c>
      <c r="AB655">
        <v>7.0000000000000007E-2</v>
      </c>
      <c r="AC655">
        <v>286994.32546822098</v>
      </c>
      <c r="AD655">
        <v>328407.60663328529</v>
      </c>
      <c r="AE655">
        <v>1</v>
      </c>
      <c r="AF655">
        <v>11857.558901934521</v>
      </c>
      <c r="AG655">
        <v>90527.76100156318</v>
      </c>
    </row>
    <row r="656" spans="2:33" hidden="1" x14ac:dyDescent="0.25">
      <c r="B656">
        <v>13</v>
      </c>
      <c r="C656" t="s">
        <v>43</v>
      </c>
      <c r="D656" t="s">
        <v>26</v>
      </c>
      <c r="E656" t="s">
        <v>69</v>
      </c>
      <c r="F656">
        <v>327581</v>
      </c>
      <c r="G656">
        <v>379895</v>
      </c>
      <c r="H656">
        <v>33</v>
      </c>
      <c r="I656">
        <v>1241</v>
      </c>
      <c r="J656">
        <v>0.48268271210000002</v>
      </c>
      <c r="K656">
        <v>533489</v>
      </c>
      <c r="L656">
        <v>457214</v>
      </c>
      <c r="M656">
        <v>339178</v>
      </c>
      <c r="N656">
        <v>38593</v>
      </c>
      <c r="O656" s="43">
        <v>145444231.15200001</v>
      </c>
      <c r="P656" s="14">
        <f t="shared" si="32"/>
        <v>1945359.5040000081</v>
      </c>
      <c r="Q656" s="14" t="str">
        <f t="shared" si="30"/>
        <v/>
      </c>
      <c r="R656" s="14" t="str">
        <f t="shared" si="30"/>
        <v/>
      </c>
      <c r="S656" s="14" t="str">
        <f t="shared" si="31"/>
        <v/>
      </c>
      <c r="T656" s="14" t="s">
        <v>72</v>
      </c>
      <c r="U656" s="14">
        <v>1567.5741369863078</v>
      </c>
      <c r="V656">
        <v>7303</v>
      </c>
      <c r="W656">
        <v>24.228417968750001</v>
      </c>
      <c r="X656">
        <v>10.581555720908399</v>
      </c>
      <c r="Y656">
        <v>2.7065021746436901</v>
      </c>
      <c r="Z656" s="31">
        <v>1.9595715536782601</v>
      </c>
      <c r="AA656">
        <v>2.3714281005297901</v>
      </c>
      <c r="AB656">
        <v>7.0000000000000007E-2</v>
      </c>
      <c r="AC656">
        <v>286994.32546822098</v>
      </c>
      <c r="AD656">
        <v>328407.60663328529</v>
      </c>
      <c r="AE656">
        <v>1</v>
      </c>
      <c r="AF656">
        <v>11857.558901934521</v>
      </c>
      <c r="AG656">
        <v>90527.76100156318</v>
      </c>
    </row>
    <row r="657" spans="2:33" hidden="1" x14ac:dyDescent="0.25">
      <c r="B657">
        <v>13</v>
      </c>
      <c r="C657" t="s">
        <v>43</v>
      </c>
      <c r="D657" t="s">
        <v>26</v>
      </c>
      <c r="E657" t="s">
        <v>69</v>
      </c>
      <c r="F657">
        <v>329946</v>
      </c>
      <c r="G657">
        <v>379895</v>
      </c>
      <c r="H657">
        <v>34</v>
      </c>
      <c r="I657">
        <v>7348</v>
      </c>
      <c r="J657">
        <v>0.34707954210000003</v>
      </c>
      <c r="K657">
        <v>533489</v>
      </c>
      <c r="L657">
        <v>457214</v>
      </c>
      <c r="M657">
        <v>339178</v>
      </c>
      <c r="N657">
        <v>38593</v>
      </c>
      <c r="O657" s="43">
        <v>147847322.30399999</v>
      </c>
      <c r="P657" s="14">
        <f t="shared" si="32"/>
        <v>2403091.1519999802</v>
      </c>
      <c r="Q657" s="14" t="str">
        <f t="shared" si="30"/>
        <v/>
      </c>
      <c r="R657" s="14" t="str">
        <f t="shared" si="30"/>
        <v/>
      </c>
      <c r="S657" s="14" t="str">
        <f t="shared" si="31"/>
        <v/>
      </c>
      <c r="T657" s="14" t="s">
        <v>72</v>
      </c>
      <c r="U657" s="14">
        <v>327.04016766467203</v>
      </c>
      <c r="V657">
        <v>7303</v>
      </c>
      <c r="W657">
        <v>22.655419921875001</v>
      </c>
      <c r="X657">
        <v>14.059661424991299</v>
      </c>
      <c r="Y657">
        <v>2.3661069299736202</v>
      </c>
      <c r="Z657" s="31">
        <v>1.7130599561446</v>
      </c>
      <c r="AA657">
        <v>3.0618212380515799</v>
      </c>
      <c r="AB657">
        <v>7.0000000000000007E-2</v>
      </c>
      <c r="AC657">
        <v>286994.32546822098</v>
      </c>
      <c r="AD657">
        <v>328407.60663328529</v>
      </c>
      <c r="AE657">
        <v>1</v>
      </c>
      <c r="AF657">
        <v>11857.558901934521</v>
      </c>
      <c r="AG657">
        <v>90527.76100156318</v>
      </c>
    </row>
    <row r="658" spans="2:33" hidden="1" x14ac:dyDescent="0.25">
      <c r="B658">
        <v>13</v>
      </c>
      <c r="C658" t="s">
        <v>43</v>
      </c>
      <c r="D658" t="s">
        <v>26</v>
      </c>
      <c r="E658" t="s">
        <v>69</v>
      </c>
      <c r="F658">
        <v>330990</v>
      </c>
      <c r="G658">
        <v>379895</v>
      </c>
      <c r="H658">
        <v>35</v>
      </c>
      <c r="I658">
        <v>3575</v>
      </c>
      <c r="J658">
        <v>0.15321397119999999</v>
      </c>
      <c r="K658">
        <v>533489</v>
      </c>
      <c r="L658">
        <v>457214</v>
      </c>
      <c r="M658">
        <v>339178</v>
      </c>
      <c r="N658">
        <v>38593</v>
      </c>
      <c r="O658" s="43">
        <v>149792681.808</v>
      </c>
      <c r="P658" s="14">
        <f t="shared" si="32"/>
        <v>1945359.5040000081</v>
      </c>
      <c r="Q658" s="14" t="str">
        <f t="shared" si="30"/>
        <v/>
      </c>
      <c r="R658" s="14" t="str">
        <f t="shared" si="30"/>
        <v/>
      </c>
      <c r="S658" s="14" t="str">
        <f t="shared" si="31"/>
        <v/>
      </c>
      <c r="T658" s="14" t="s">
        <v>72</v>
      </c>
      <c r="U658" s="14">
        <v>544.15650461537859</v>
      </c>
      <c r="V658">
        <v>7303</v>
      </c>
      <c r="W658">
        <v>21.463159179687501</v>
      </c>
      <c r="X658">
        <v>20.674658365017901</v>
      </c>
      <c r="Y658">
        <v>2.0310814667561501</v>
      </c>
      <c r="Z658" s="31">
        <v>1.9316832469735301</v>
      </c>
      <c r="AA658">
        <v>2.9585736246538201</v>
      </c>
      <c r="AB658">
        <v>7.0000000000000007E-2</v>
      </c>
      <c r="AC658">
        <v>286994.32546822098</v>
      </c>
      <c r="AD658">
        <v>328407.60663328529</v>
      </c>
      <c r="AE658">
        <v>1</v>
      </c>
      <c r="AF658">
        <v>11857.558901934521</v>
      </c>
      <c r="AG658">
        <v>90527.76100156318</v>
      </c>
    </row>
    <row r="659" spans="2:33" hidden="1" x14ac:dyDescent="0.25">
      <c r="B659">
        <v>13</v>
      </c>
      <c r="C659" t="s">
        <v>43</v>
      </c>
      <c r="D659" t="s">
        <v>26</v>
      </c>
      <c r="E659" t="s">
        <v>69</v>
      </c>
      <c r="F659">
        <v>331432</v>
      </c>
      <c r="G659">
        <v>379895</v>
      </c>
      <c r="H659">
        <v>36</v>
      </c>
      <c r="I659">
        <v>3289</v>
      </c>
      <c r="J659">
        <v>6.4866451419999999E-2</v>
      </c>
      <c r="K659">
        <v>533489</v>
      </c>
      <c r="L659">
        <v>457214</v>
      </c>
      <c r="M659">
        <v>339178</v>
      </c>
      <c r="N659">
        <v>38593</v>
      </c>
      <c r="O659" s="43">
        <v>152767937.52000001</v>
      </c>
      <c r="P659" s="14">
        <f t="shared" si="32"/>
        <v>2975255.7120000124</v>
      </c>
      <c r="Q659" s="14" t="str">
        <f t="shared" si="30"/>
        <v/>
      </c>
      <c r="R659" s="14" t="str">
        <f t="shared" si="30"/>
        <v/>
      </c>
      <c r="S659" s="14" t="str">
        <f t="shared" si="31"/>
        <v/>
      </c>
      <c r="T659" s="14" t="s">
        <v>72</v>
      </c>
      <c r="U659" s="14">
        <v>904.60800000000381</v>
      </c>
      <c r="V659">
        <v>7303</v>
      </c>
      <c r="W659">
        <v>18.314111328125001</v>
      </c>
      <c r="X659">
        <v>26.944358587985899</v>
      </c>
      <c r="Y659">
        <v>1.5393103483430499</v>
      </c>
      <c r="Z659" s="31">
        <v>1.97750200778483</v>
      </c>
      <c r="AA659">
        <v>1.9273324094303601</v>
      </c>
      <c r="AB659">
        <v>7.0000000000000007E-2</v>
      </c>
      <c r="AC659">
        <v>286994.32546822098</v>
      </c>
      <c r="AD659">
        <v>328407.60663328529</v>
      </c>
      <c r="AE659">
        <v>1</v>
      </c>
      <c r="AF659">
        <v>11857.558901934521</v>
      </c>
      <c r="AG659">
        <v>90527.76100156318</v>
      </c>
    </row>
    <row r="660" spans="2:33" hidden="1" x14ac:dyDescent="0.25">
      <c r="B660">
        <v>13</v>
      </c>
      <c r="C660" t="s">
        <v>43</v>
      </c>
      <c r="D660" t="s">
        <v>26</v>
      </c>
      <c r="E660" t="s">
        <v>69</v>
      </c>
      <c r="F660">
        <v>332507</v>
      </c>
      <c r="G660">
        <v>379895</v>
      </c>
      <c r="H660">
        <v>37</v>
      </c>
      <c r="I660">
        <v>2365</v>
      </c>
      <c r="J660">
        <v>0.1577634282</v>
      </c>
      <c r="K660">
        <v>533489</v>
      </c>
      <c r="L660">
        <v>457214</v>
      </c>
      <c r="M660">
        <v>339178</v>
      </c>
      <c r="N660">
        <v>38593</v>
      </c>
      <c r="O660" s="43">
        <v>156200924.88</v>
      </c>
      <c r="P660" s="14">
        <f t="shared" si="32"/>
        <v>3432987.3599999845</v>
      </c>
      <c r="Q660" s="14" t="str">
        <f t="shared" si="30"/>
        <v/>
      </c>
      <c r="R660" s="14" t="str">
        <f t="shared" si="30"/>
        <v/>
      </c>
      <c r="S660" s="14" t="str">
        <f t="shared" si="31"/>
        <v/>
      </c>
      <c r="T660" s="14" t="s">
        <v>72</v>
      </c>
      <c r="U660" s="14">
        <v>1451.5802790697735</v>
      </c>
      <c r="V660">
        <v>7303</v>
      </c>
      <c r="W660">
        <v>17.071191406250001</v>
      </c>
      <c r="X660">
        <v>31.344438879151301</v>
      </c>
      <c r="Y660">
        <v>1.33772446285507</v>
      </c>
      <c r="Z660" s="31">
        <v>1.71114432384965</v>
      </c>
      <c r="AA660">
        <v>2.7282949307946902</v>
      </c>
      <c r="AB660">
        <v>7.0000000000000007E-2</v>
      </c>
      <c r="AC660">
        <v>286994.32546822098</v>
      </c>
      <c r="AD660">
        <v>328407.60663328529</v>
      </c>
      <c r="AE660">
        <v>1</v>
      </c>
      <c r="AF660">
        <v>11857.558901934521</v>
      </c>
      <c r="AG660">
        <v>90527.76100156318</v>
      </c>
    </row>
    <row r="661" spans="2:33" hidden="1" x14ac:dyDescent="0.25">
      <c r="B661">
        <v>13</v>
      </c>
      <c r="C661" t="s">
        <v>43</v>
      </c>
      <c r="D661" t="s">
        <v>26</v>
      </c>
      <c r="E661" t="s">
        <v>69</v>
      </c>
      <c r="F661">
        <v>333492</v>
      </c>
      <c r="G661">
        <v>379895</v>
      </c>
      <c r="H661">
        <v>38</v>
      </c>
      <c r="I661">
        <v>1044</v>
      </c>
      <c r="J661">
        <v>0.14455532730000001</v>
      </c>
      <c r="K661">
        <v>533489</v>
      </c>
      <c r="L661">
        <v>457214</v>
      </c>
      <c r="M661">
        <v>339178</v>
      </c>
      <c r="N661">
        <v>38593</v>
      </c>
      <c r="O661" s="43">
        <v>158146284.384</v>
      </c>
      <c r="P661" s="14">
        <f t="shared" si="32"/>
        <v>1945359.5040000081</v>
      </c>
      <c r="Q661" s="14" t="str">
        <f t="shared" si="30"/>
        <v/>
      </c>
      <c r="R661" s="14" t="str">
        <f t="shared" si="30"/>
        <v/>
      </c>
      <c r="S661" s="14" t="str">
        <f t="shared" si="31"/>
        <v/>
      </c>
      <c r="T661" s="14" t="s">
        <v>72</v>
      </c>
      <c r="U661" s="14">
        <v>1863.3711724137722</v>
      </c>
      <c r="V661">
        <v>7303</v>
      </c>
      <c r="W661">
        <v>16.185815429687501</v>
      </c>
      <c r="X661">
        <v>39.442733819094798</v>
      </c>
      <c r="Y661">
        <v>1.1154275965648099</v>
      </c>
      <c r="Z661" s="31">
        <v>2.11287098622183</v>
      </c>
      <c r="AA661">
        <v>5.0950928088984</v>
      </c>
      <c r="AB661">
        <v>7.0000000000000007E-2</v>
      </c>
      <c r="AC661">
        <v>286994.32546822098</v>
      </c>
      <c r="AD661">
        <v>328407.60663328529</v>
      </c>
      <c r="AE661">
        <v>1</v>
      </c>
      <c r="AF661">
        <v>11857.558901934521</v>
      </c>
      <c r="AG661">
        <v>90527.76100156318</v>
      </c>
    </row>
    <row r="662" spans="2:33" hidden="1" x14ac:dyDescent="0.25">
      <c r="B662">
        <v>13</v>
      </c>
      <c r="C662" t="s">
        <v>43</v>
      </c>
      <c r="D662" t="s">
        <v>26</v>
      </c>
      <c r="E662" t="s">
        <v>69</v>
      </c>
      <c r="F662">
        <v>336649</v>
      </c>
      <c r="G662">
        <v>379895</v>
      </c>
      <c r="H662">
        <v>39</v>
      </c>
      <c r="I662">
        <v>442</v>
      </c>
      <c r="J662">
        <v>0.4633108306</v>
      </c>
      <c r="K662">
        <v>533489</v>
      </c>
      <c r="L662">
        <v>457214</v>
      </c>
      <c r="M662">
        <v>339178</v>
      </c>
      <c r="N662">
        <v>38593</v>
      </c>
      <c r="O662" s="43">
        <v>158146284.384</v>
      </c>
      <c r="P662" s="14">
        <f t="shared" si="32"/>
        <v>0</v>
      </c>
      <c r="Q662" s="14" t="str">
        <f t="shared" si="30"/>
        <v/>
      </c>
      <c r="R662" s="14" t="str">
        <f t="shared" si="30"/>
        <v/>
      </c>
      <c r="S662" s="14" t="str">
        <f t="shared" si="31"/>
        <v/>
      </c>
      <c r="T662" s="14" t="s">
        <v>72</v>
      </c>
      <c r="U662" s="14">
        <v>0</v>
      </c>
      <c r="V662">
        <v>7303</v>
      </c>
      <c r="W662">
        <v>19.268640136718801</v>
      </c>
      <c r="X662">
        <v>45.642257037607898</v>
      </c>
      <c r="Y662">
        <v>1.21544194464607</v>
      </c>
      <c r="Z662" s="31">
        <v>1.4614186588659299</v>
      </c>
      <c r="AA662">
        <v>3.8831671779996499</v>
      </c>
      <c r="AB662">
        <v>7.0000000000000007E-2</v>
      </c>
      <c r="AC662">
        <v>286994.32546822098</v>
      </c>
      <c r="AD662">
        <v>328407.60663328529</v>
      </c>
      <c r="AE662">
        <v>1</v>
      </c>
      <c r="AF662">
        <v>11857.558901934521</v>
      </c>
      <c r="AG662">
        <v>90527.76100156318</v>
      </c>
    </row>
    <row r="663" spans="2:33" hidden="1" x14ac:dyDescent="0.25">
      <c r="B663">
        <v>13</v>
      </c>
      <c r="C663" t="s">
        <v>43</v>
      </c>
      <c r="D663" t="s">
        <v>26</v>
      </c>
      <c r="E663" t="s">
        <v>69</v>
      </c>
      <c r="F663">
        <v>336660</v>
      </c>
      <c r="G663">
        <v>379895</v>
      </c>
      <c r="H663">
        <v>40</v>
      </c>
      <c r="I663">
        <v>1075</v>
      </c>
      <c r="J663">
        <v>1.6143234519999999E-3</v>
      </c>
      <c r="K663">
        <v>533489</v>
      </c>
      <c r="L663">
        <v>457214</v>
      </c>
      <c r="M663">
        <v>339178</v>
      </c>
      <c r="N663">
        <v>38593</v>
      </c>
      <c r="O663" s="43">
        <v>165584423.664</v>
      </c>
      <c r="P663" s="14">
        <f t="shared" si="32"/>
        <v>7438139.2800000012</v>
      </c>
      <c r="Q663" s="14" t="str">
        <f t="shared" si="30"/>
        <v/>
      </c>
      <c r="R663" s="14" t="str">
        <f t="shared" si="30"/>
        <v/>
      </c>
      <c r="S663" s="14" t="str">
        <f t="shared" si="31"/>
        <v/>
      </c>
      <c r="T663" s="14" t="s">
        <v>72</v>
      </c>
      <c r="U663" s="14">
        <v>6919.1993302325591</v>
      </c>
      <c r="V663">
        <v>7303</v>
      </c>
      <c r="W663">
        <v>21.648706054687501</v>
      </c>
      <c r="X663">
        <v>24.751098969367298</v>
      </c>
      <c r="Y663">
        <v>1.9486164400716299</v>
      </c>
      <c r="Z663" s="31">
        <v>1.69157367301937</v>
      </c>
      <c r="AA663">
        <v>1.97227980779927</v>
      </c>
      <c r="AB663">
        <v>7.0000000000000007E-2</v>
      </c>
      <c r="AC663">
        <v>286994.32546822098</v>
      </c>
      <c r="AD663">
        <v>328407.60663328529</v>
      </c>
      <c r="AE663">
        <v>1</v>
      </c>
      <c r="AF663">
        <v>11857.558901934521</v>
      </c>
      <c r="AG663">
        <v>90527.76100156318</v>
      </c>
    </row>
    <row r="664" spans="2:33" hidden="1" x14ac:dyDescent="0.25">
      <c r="B664">
        <v>13</v>
      </c>
      <c r="C664" t="s">
        <v>43</v>
      </c>
      <c r="D664" t="s">
        <v>26</v>
      </c>
      <c r="E664" t="s">
        <v>69</v>
      </c>
      <c r="F664">
        <v>341592</v>
      </c>
      <c r="G664">
        <v>379895</v>
      </c>
      <c r="H664">
        <v>41</v>
      </c>
      <c r="I664">
        <v>985</v>
      </c>
      <c r="J664">
        <v>0.72380393310000002</v>
      </c>
      <c r="K664">
        <v>533489</v>
      </c>
      <c r="L664">
        <v>457214</v>
      </c>
      <c r="M664">
        <v>339178</v>
      </c>
      <c r="N664">
        <v>38593</v>
      </c>
      <c r="O664" s="43">
        <v>165813289.48800001</v>
      </c>
      <c r="P664" s="14">
        <f t="shared" si="32"/>
        <v>228865.82400000095</v>
      </c>
      <c r="Q664" s="14" t="str">
        <f t="shared" si="30"/>
        <v/>
      </c>
      <c r="R664" s="14" t="str">
        <f t="shared" si="30"/>
        <v/>
      </c>
      <c r="S664" s="14" t="str">
        <f t="shared" si="31"/>
        <v/>
      </c>
      <c r="T664" s="14" t="s">
        <v>72</v>
      </c>
      <c r="U664" s="14">
        <v>232.35109035533091</v>
      </c>
      <c r="V664">
        <v>7303</v>
      </c>
      <c r="W664">
        <v>22.771142578125001</v>
      </c>
      <c r="X664">
        <v>20.3291697792672</v>
      </c>
      <c r="Y664">
        <v>2.2088663497583401</v>
      </c>
      <c r="Z664" s="31">
        <v>1.6971902546592901</v>
      </c>
      <c r="AA664">
        <v>2.2046950208513998</v>
      </c>
      <c r="AB664">
        <v>7.0000000000000007E-2</v>
      </c>
      <c r="AC664">
        <v>286994.32546822098</v>
      </c>
      <c r="AD664">
        <v>328407.60663328529</v>
      </c>
      <c r="AE664">
        <v>1</v>
      </c>
      <c r="AF664">
        <v>11857.558901934521</v>
      </c>
      <c r="AG664">
        <v>90527.76100156318</v>
      </c>
    </row>
    <row r="665" spans="2:33" hidden="1" x14ac:dyDescent="0.25">
      <c r="B665">
        <v>13</v>
      </c>
      <c r="C665" t="s">
        <v>43</v>
      </c>
      <c r="D665" t="s">
        <v>26</v>
      </c>
      <c r="E665" t="s">
        <v>69</v>
      </c>
      <c r="F665">
        <v>343882</v>
      </c>
      <c r="G665">
        <v>379895</v>
      </c>
      <c r="H665">
        <v>42</v>
      </c>
      <c r="I665">
        <v>3157</v>
      </c>
      <c r="J665">
        <v>0.33607279130000001</v>
      </c>
      <c r="K665">
        <v>533489</v>
      </c>
      <c r="L665">
        <v>457214</v>
      </c>
      <c r="M665">
        <v>339178</v>
      </c>
      <c r="N665">
        <v>38593</v>
      </c>
      <c r="O665" s="43">
        <v>168101947.72799999</v>
      </c>
      <c r="P665" s="14">
        <f t="shared" si="32"/>
        <v>2288658.2399999797</v>
      </c>
      <c r="Q665" s="14" t="str">
        <f t="shared" si="30"/>
        <v/>
      </c>
      <c r="R665" s="14" t="str">
        <f t="shared" si="30"/>
        <v/>
      </c>
      <c r="S665" s="14" t="str">
        <f t="shared" si="31"/>
        <v/>
      </c>
      <c r="T665" s="14" t="s">
        <v>72</v>
      </c>
      <c r="U665" s="14">
        <v>724.9471777003514</v>
      </c>
      <c r="V665">
        <v>7303</v>
      </c>
      <c r="W665">
        <v>23.827416992187501</v>
      </c>
      <c r="X665">
        <v>23.384967842888699</v>
      </c>
      <c r="Y665">
        <v>2.26371490996865</v>
      </c>
      <c r="Z665" s="31">
        <v>1.4858551301179199</v>
      </c>
      <c r="AA665">
        <v>2.0762273798078699</v>
      </c>
      <c r="AB665">
        <v>7.0000000000000007E-2</v>
      </c>
      <c r="AC665">
        <v>286994.32546822098</v>
      </c>
      <c r="AD665">
        <v>328407.60663328529</v>
      </c>
      <c r="AE665">
        <v>1</v>
      </c>
      <c r="AF665">
        <v>11857.558901934521</v>
      </c>
      <c r="AG665">
        <v>90527.76100156318</v>
      </c>
    </row>
    <row r="666" spans="2:33" hidden="1" x14ac:dyDescent="0.25">
      <c r="B666">
        <v>13</v>
      </c>
      <c r="C666" t="s">
        <v>43</v>
      </c>
      <c r="D666" t="s">
        <v>26</v>
      </c>
      <c r="E666" t="s">
        <v>69</v>
      </c>
      <c r="F666">
        <v>346328</v>
      </c>
      <c r="G666">
        <v>379895</v>
      </c>
      <c r="H666">
        <v>43</v>
      </c>
      <c r="I666">
        <v>11</v>
      </c>
      <c r="J666">
        <v>0.35896683299999999</v>
      </c>
      <c r="K666">
        <v>533489</v>
      </c>
      <c r="L666">
        <v>457214</v>
      </c>
      <c r="M666">
        <v>339178</v>
      </c>
      <c r="N666">
        <v>38593</v>
      </c>
      <c r="O666" s="43">
        <v>172107099.648</v>
      </c>
      <c r="P666" s="14">
        <f t="shared" si="32"/>
        <v>4005151.9200000167</v>
      </c>
      <c r="Q666" s="14" t="str">
        <f t="shared" si="30"/>
        <v/>
      </c>
      <c r="R666" s="14" t="str">
        <f t="shared" si="30"/>
        <v/>
      </c>
      <c r="S666" s="14" t="str">
        <f t="shared" si="31"/>
        <v/>
      </c>
      <c r="T666" s="14" t="s">
        <v>72</v>
      </c>
      <c r="U666" s="14">
        <v>364104.71999999881</v>
      </c>
      <c r="V666">
        <v>7303</v>
      </c>
      <c r="W666">
        <v>24.211450195312501</v>
      </c>
      <c r="X666">
        <v>19.074932856038401</v>
      </c>
      <c r="Y666">
        <v>2.44685559969008</v>
      </c>
      <c r="Z666" s="31">
        <v>1.71944415673984</v>
      </c>
      <c r="AA666">
        <v>1.0639246294677001</v>
      </c>
      <c r="AB666">
        <v>7.0000000000000007E-2</v>
      </c>
      <c r="AC666">
        <v>286994.32546822098</v>
      </c>
      <c r="AD666">
        <v>328407.60663328529</v>
      </c>
      <c r="AE666">
        <v>1</v>
      </c>
      <c r="AF666">
        <v>11857.558901934521</v>
      </c>
      <c r="AG666">
        <v>90527.76100156318</v>
      </c>
    </row>
    <row r="667" spans="2:33" hidden="1" x14ac:dyDescent="0.25">
      <c r="B667">
        <v>13</v>
      </c>
      <c r="C667" t="s">
        <v>43</v>
      </c>
      <c r="D667" t="s">
        <v>26</v>
      </c>
      <c r="E667" t="s">
        <v>69</v>
      </c>
      <c r="F667">
        <v>347821</v>
      </c>
      <c r="G667">
        <v>379895</v>
      </c>
      <c r="H667">
        <v>44</v>
      </c>
      <c r="I667">
        <v>4932</v>
      </c>
      <c r="J667">
        <v>0.21910771940000001</v>
      </c>
      <c r="K667">
        <v>533489</v>
      </c>
      <c r="L667">
        <v>457214</v>
      </c>
      <c r="M667">
        <v>339178</v>
      </c>
      <c r="N667">
        <v>38593</v>
      </c>
      <c r="O667" s="43">
        <v>172107099.648</v>
      </c>
      <c r="P667" s="14">
        <f t="shared" si="32"/>
        <v>0</v>
      </c>
      <c r="Q667" s="14" t="str">
        <f t="shared" si="30"/>
        <v/>
      </c>
      <c r="R667" s="14" t="str">
        <f t="shared" si="30"/>
        <v/>
      </c>
      <c r="S667" s="14" t="str">
        <f t="shared" si="31"/>
        <v/>
      </c>
      <c r="T667" s="14" t="s">
        <v>72</v>
      </c>
      <c r="U667" s="14">
        <v>626.45754744525811</v>
      </c>
      <c r="V667">
        <v>7303</v>
      </c>
      <c r="W667">
        <v>23.266870117187501</v>
      </c>
      <c r="X667">
        <v>16.213436739787099</v>
      </c>
      <c r="Y667">
        <v>2.39365400952149</v>
      </c>
      <c r="Z667" s="31">
        <v>1.62647528632141</v>
      </c>
      <c r="AA667">
        <v>2.8371536321564599</v>
      </c>
      <c r="AB667">
        <v>7.0000000000000007E-2</v>
      </c>
      <c r="AC667">
        <v>286994.32546822098</v>
      </c>
      <c r="AD667">
        <v>328407.60663328529</v>
      </c>
      <c r="AE667">
        <v>1</v>
      </c>
      <c r="AF667">
        <v>11857.558901934521</v>
      </c>
      <c r="AG667">
        <v>90527.76100156318</v>
      </c>
    </row>
    <row r="668" spans="2:33" hidden="1" x14ac:dyDescent="0.25">
      <c r="B668">
        <v>13</v>
      </c>
      <c r="C668" t="s">
        <v>43</v>
      </c>
      <c r="D668" t="s">
        <v>26</v>
      </c>
      <c r="E668" t="s">
        <v>69</v>
      </c>
      <c r="F668">
        <v>350075</v>
      </c>
      <c r="G668">
        <v>379895</v>
      </c>
      <c r="H668">
        <v>45</v>
      </c>
      <c r="I668">
        <v>2290</v>
      </c>
      <c r="J668">
        <v>0.33078955090000001</v>
      </c>
      <c r="K668">
        <v>533489</v>
      </c>
      <c r="L668">
        <v>457214</v>
      </c>
      <c r="M668">
        <v>339178</v>
      </c>
      <c r="N668">
        <v>38593</v>
      </c>
      <c r="O668" s="43">
        <v>172107099.648</v>
      </c>
      <c r="P668" s="14">
        <f t="shared" si="32"/>
        <v>0</v>
      </c>
      <c r="Q668" s="14" t="str">
        <f t="shared" si="30"/>
        <v/>
      </c>
      <c r="R668" s="14" t="str">
        <f t="shared" si="30"/>
        <v/>
      </c>
      <c r="S668" s="14" t="str">
        <f t="shared" si="31"/>
        <v/>
      </c>
      <c r="T668" s="14" t="s">
        <v>72</v>
      </c>
      <c r="U668" s="14">
        <v>-1349.2090061135427</v>
      </c>
      <c r="V668">
        <v>7303</v>
      </c>
      <c r="W668">
        <v>23.326440429687501</v>
      </c>
      <c r="X668">
        <v>17.875583679715199</v>
      </c>
      <c r="Y668">
        <v>2.35458927501108</v>
      </c>
      <c r="Z668" s="31">
        <v>1.96515861794614</v>
      </c>
      <c r="AA668">
        <v>3.70339463681796</v>
      </c>
      <c r="AB668">
        <v>7.0000000000000007E-2</v>
      </c>
      <c r="AC668">
        <v>286994.32546822098</v>
      </c>
      <c r="AD668">
        <v>328407.60663328529</v>
      </c>
      <c r="AE668">
        <v>1</v>
      </c>
      <c r="AF668">
        <v>11857.558901934521</v>
      </c>
      <c r="AG668">
        <v>90527.76100156318</v>
      </c>
    </row>
    <row r="669" spans="2:33" hidden="1" x14ac:dyDescent="0.25">
      <c r="B669">
        <v>13</v>
      </c>
      <c r="C669" t="s">
        <v>43</v>
      </c>
      <c r="D669" t="s">
        <v>26</v>
      </c>
      <c r="E669" t="s">
        <v>69</v>
      </c>
      <c r="F669">
        <v>352159</v>
      </c>
      <c r="G669">
        <v>379895</v>
      </c>
      <c r="H669">
        <v>46</v>
      </c>
      <c r="I669">
        <v>2446</v>
      </c>
      <c r="J669">
        <v>0.3058409158</v>
      </c>
      <c r="K669">
        <v>533489</v>
      </c>
      <c r="L669">
        <v>457214</v>
      </c>
      <c r="M669">
        <v>339178</v>
      </c>
      <c r="N669">
        <v>38593</v>
      </c>
      <c r="O669" s="43">
        <v>179659671.84</v>
      </c>
      <c r="P669" s="14">
        <f t="shared" si="32"/>
        <v>7552572.1920000017</v>
      </c>
      <c r="Q669" s="14" t="str">
        <f t="shared" si="30"/>
        <v/>
      </c>
      <c r="R669" s="14" t="str">
        <f t="shared" si="30"/>
        <v/>
      </c>
      <c r="S669" s="14" t="str">
        <f t="shared" si="31"/>
        <v/>
      </c>
      <c r="T669" s="14" t="s">
        <v>72</v>
      </c>
      <c r="U669" s="14">
        <v>3087.723708912511</v>
      </c>
      <c r="V669">
        <v>7303</v>
      </c>
      <c r="W669">
        <v>22.319238281250001</v>
      </c>
      <c r="X669">
        <v>24.309057408382799</v>
      </c>
      <c r="Y669">
        <v>2.0417445949972501</v>
      </c>
      <c r="Z669" s="31">
        <v>1.7640672422875201</v>
      </c>
      <c r="AA669">
        <v>4.4668799930992797</v>
      </c>
      <c r="AB669">
        <v>7.0000000000000007E-2</v>
      </c>
      <c r="AC669">
        <v>286994.32546822098</v>
      </c>
      <c r="AD669">
        <v>328407.60663328529</v>
      </c>
      <c r="AE669">
        <v>1</v>
      </c>
      <c r="AF669">
        <v>11857.558901934521</v>
      </c>
      <c r="AG669">
        <v>90527.76100156318</v>
      </c>
    </row>
    <row r="670" spans="2:33" hidden="1" x14ac:dyDescent="0.25">
      <c r="B670">
        <v>13</v>
      </c>
      <c r="C670" t="s">
        <v>43</v>
      </c>
      <c r="D670" t="s">
        <v>26</v>
      </c>
      <c r="E670" t="s">
        <v>69</v>
      </c>
      <c r="F670">
        <v>352203</v>
      </c>
      <c r="G670">
        <v>379895</v>
      </c>
      <c r="H670">
        <v>47</v>
      </c>
      <c r="I670">
        <v>1493</v>
      </c>
      <c r="J670">
        <v>6.457293807E-3</v>
      </c>
      <c r="K670">
        <v>533489</v>
      </c>
      <c r="L670">
        <v>457214</v>
      </c>
      <c r="M670">
        <v>339178</v>
      </c>
      <c r="N670">
        <v>38593</v>
      </c>
      <c r="O670" s="43">
        <v>179659671.84</v>
      </c>
      <c r="P670" s="14">
        <f t="shared" si="32"/>
        <v>0</v>
      </c>
      <c r="Q670" s="14" t="str">
        <f t="shared" si="30"/>
        <v/>
      </c>
      <c r="R670" s="14" t="str">
        <f t="shared" si="30"/>
        <v/>
      </c>
      <c r="S670" s="14" t="str">
        <f t="shared" si="31"/>
        <v/>
      </c>
      <c r="T670" s="14" t="s">
        <v>72</v>
      </c>
      <c r="U670" s="14">
        <v>-120334.67638312123</v>
      </c>
      <c r="V670">
        <v>7303</v>
      </c>
      <c r="W670">
        <v>21.730249023437501</v>
      </c>
      <c r="X670">
        <v>19.928225738638901</v>
      </c>
      <c r="Y670">
        <v>2.0839183428547101</v>
      </c>
      <c r="Z670" s="31">
        <v>1.6758173120198601</v>
      </c>
      <c r="AA670">
        <v>2.1362752589843499</v>
      </c>
      <c r="AB670">
        <v>7.0000000000000007E-2</v>
      </c>
      <c r="AC670">
        <v>286994.32546822098</v>
      </c>
      <c r="AD670">
        <v>328407.60663328529</v>
      </c>
      <c r="AE670">
        <v>1</v>
      </c>
      <c r="AF670">
        <v>11857.558901934521</v>
      </c>
      <c r="AG670">
        <v>90527.76100156318</v>
      </c>
    </row>
    <row r="671" spans="2:33" hidden="1" x14ac:dyDescent="0.25">
      <c r="B671">
        <v>13</v>
      </c>
      <c r="C671" t="s">
        <v>43</v>
      </c>
      <c r="D671" t="s">
        <v>26</v>
      </c>
      <c r="E671" t="s">
        <v>69</v>
      </c>
      <c r="F671">
        <v>357507</v>
      </c>
      <c r="G671">
        <v>379895</v>
      </c>
      <c r="H671">
        <v>48</v>
      </c>
      <c r="I671">
        <v>2254</v>
      </c>
      <c r="J671">
        <v>0.77839741709999999</v>
      </c>
      <c r="K671">
        <v>533489</v>
      </c>
      <c r="L671">
        <v>457214</v>
      </c>
      <c r="M671">
        <v>339178</v>
      </c>
      <c r="N671">
        <v>38593</v>
      </c>
      <c r="O671" s="43">
        <v>185381317.44</v>
      </c>
      <c r="P671" s="14">
        <f t="shared" si="32"/>
        <v>5721645.599999994</v>
      </c>
      <c r="Q671" s="14" t="str">
        <f t="shared" si="30"/>
        <v/>
      </c>
      <c r="R671" s="14" t="str">
        <f t="shared" si="30"/>
        <v/>
      </c>
      <c r="S671" s="14" t="str">
        <f t="shared" si="31"/>
        <v/>
      </c>
      <c r="T671" s="14" t="s">
        <v>72</v>
      </c>
      <c r="U671" s="14">
        <v>82245.482448979601</v>
      </c>
      <c r="V671">
        <v>7303</v>
      </c>
      <c r="W671">
        <v>21.783227539062501</v>
      </c>
      <c r="X671">
        <v>15.342185292976501</v>
      </c>
      <c r="Y671">
        <v>2.2104293707597802</v>
      </c>
      <c r="Z671" s="31">
        <v>1.59102723056298</v>
      </c>
      <c r="AA671">
        <v>2.2618139426881401</v>
      </c>
      <c r="AB671">
        <v>7.0000000000000007E-2</v>
      </c>
      <c r="AC671">
        <v>286994.32546822098</v>
      </c>
      <c r="AD671">
        <v>328407.60663328529</v>
      </c>
      <c r="AE671">
        <v>1</v>
      </c>
      <c r="AF671">
        <v>11857.558901934521</v>
      </c>
      <c r="AG671">
        <v>90527.76100156318</v>
      </c>
    </row>
    <row r="672" spans="2:33" hidden="1" x14ac:dyDescent="0.25">
      <c r="B672">
        <v>13</v>
      </c>
      <c r="C672" t="s">
        <v>43</v>
      </c>
      <c r="D672" t="s">
        <v>26</v>
      </c>
      <c r="E672" t="s">
        <v>69</v>
      </c>
      <c r="F672">
        <v>358620</v>
      </c>
      <c r="G672">
        <v>379895</v>
      </c>
      <c r="H672">
        <v>49</v>
      </c>
      <c r="I672">
        <v>2084</v>
      </c>
      <c r="J672">
        <v>0.163340182</v>
      </c>
      <c r="K672">
        <v>533489</v>
      </c>
      <c r="L672">
        <v>457214</v>
      </c>
      <c r="M672">
        <v>339178</v>
      </c>
      <c r="N672">
        <v>38593</v>
      </c>
      <c r="O672" s="43">
        <v>187097811.12</v>
      </c>
      <c r="P672" s="14">
        <f t="shared" si="32"/>
        <v>1716493.6800000072</v>
      </c>
      <c r="Q672" s="14" t="str">
        <f t="shared" si="30"/>
        <v/>
      </c>
      <c r="R672" s="14" t="str">
        <f t="shared" si="30"/>
        <v/>
      </c>
      <c r="S672" s="14" t="str">
        <f t="shared" si="31"/>
        <v/>
      </c>
      <c r="T672" s="14" t="s">
        <v>72</v>
      </c>
      <c r="U672" s="14">
        <v>823.65339731284905</v>
      </c>
      <c r="V672">
        <v>7303</v>
      </c>
      <c r="W672">
        <v>20.795556640625001</v>
      </c>
      <c r="X672">
        <v>18.796928925311999</v>
      </c>
      <c r="Y672">
        <v>1.99580737238808</v>
      </c>
      <c r="Z672" s="31">
        <v>1.5680756848256701</v>
      </c>
      <c r="AA672">
        <v>3.0333365009509698</v>
      </c>
      <c r="AB672">
        <v>7.0000000000000007E-2</v>
      </c>
      <c r="AC672">
        <v>286994.32546822098</v>
      </c>
      <c r="AD672">
        <v>328407.60663328529</v>
      </c>
      <c r="AE672">
        <v>1</v>
      </c>
      <c r="AF672">
        <v>11857.558901934521</v>
      </c>
      <c r="AG672">
        <v>90527.76100156318</v>
      </c>
    </row>
    <row r="673" spans="2:33" hidden="1" x14ac:dyDescent="0.25">
      <c r="B673">
        <v>13</v>
      </c>
      <c r="C673" t="s">
        <v>43</v>
      </c>
      <c r="D673" t="s">
        <v>26</v>
      </c>
      <c r="E673" t="s">
        <v>69</v>
      </c>
      <c r="F673">
        <v>360795</v>
      </c>
      <c r="G673">
        <v>379895</v>
      </c>
      <c r="H673">
        <v>50</v>
      </c>
      <c r="I673">
        <v>44</v>
      </c>
      <c r="J673">
        <v>0.31919577339999999</v>
      </c>
      <c r="K673">
        <v>533489</v>
      </c>
      <c r="L673">
        <v>457214</v>
      </c>
      <c r="M673">
        <v>339178</v>
      </c>
      <c r="N673">
        <v>38593</v>
      </c>
      <c r="O673" s="43">
        <v>187097811.12</v>
      </c>
      <c r="P673" s="14">
        <f t="shared" si="32"/>
        <v>0</v>
      </c>
      <c r="Q673" s="14" t="str">
        <f t="shared" si="30"/>
        <v/>
      </c>
      <c r="R673" s="14" t="str">
        <f t="shared" si="30"/>
        <v/>
      </c>
      <c r="S673" s="14" t="str">
        <f t="shared" si="31"/>
        <v/>
      </c>
      <c r="T673" s="14" t="s">
        <v>72</v>
      </c>
      <c r="U673" s="14">
        <v>0</v>
      </c>
      <c r="V673">
        <v>7303</v>
      </c>
      <c r="W673">
        <v>18.777490234375001</v>
      </c>
      <c r="X673">
        <v>29.485706092598701</v>
      </c>
      <c r="Y673">
        <v>1.5294213853269301</v>
      </c>
      <c r="Z673" s="31">
        <v>1.7632851383233299</v>
      </c>
      <c r="AA673">
        <v>1.4221212902789599</v>
      </c>
      <c r="AB673">
        <v>7.0000000000000007E-2</v>
      </c>
      <c r="AC673">
        <v>286994.32546822098</v>
      </c>
      <c r="AD673">
        <v>328407.60663328529</v>
      </c>
      <c r="AE673">
        <v>1</v>
      </c>
      <c r="AF673">
        <v>11857.558901934521</v>
      </c>
      <c r="AG673">
        <v>90527.76100156318</v>
      </c>
    </row>
    <row r="674" spans="2:33" hidden="1" x14ac:dyDescent="0.25">
      <c r="B674">
        <v>13</v>
      </c>
      <c r="C674" t="s">
        <v>43</v>
      </c>
      <c r="D674" t="s">
        <v>26</v>
      </c>
      <c r="E674" t="s">
        <v>69</v>
      </c>
      <c r="F674">
        <v>367612</v>
      </c>
      <c r="G674">
        <v>379895</v>
      </c>
      <c r="H674">
        <v>51</v>
      </c>
      <c r="I674">
        <v>5304</v>
      </c>
      <c r="J674">
        <v>1.0004402699999999</v>
      </c>
      <c r="K674">
        <v>533489</v>
      </c>
      <c r="L674">
        <v>457214</v>
      </c>
      <c r="M674">
        <v>339178</v>
      </c>
      <c r="N674">
        <v>38593</v>
      </c>
      <c r="O674" s="43">
        <v>190645231.39199999</v>
      </c>
      <c r="P674" s="14">
        <f t="shared" si="32"/>
        <v>3547420.271999985</v>
      </c>
      <c r="Q674" s="14" t="str">
        <f t="shared" si="30"/>
        <v/>
      </c>
      <c r="R674" s="14" t="str">
        <f t="shared" si="30"/>
        <v/>
      </c>
      <c r="S674" s="14" t="str">
        <f t="shared" si="31"/>
        <v/>
      </c>
      <c r="T674" s="14" t="s">
        <v>72</v>
      </c>
      <c r="U674" s="14">
        <v>668.81980995475396</v>
      </c>
      <c r="V674">
        <v>7303</v>
      </c>
      <c r="W674">
        <v>17.001245117187501</v>
      </c>
      <c r="X674">
        <v>30.423674744063302</v>
      </c>
      <c r="Y674">
        <v>1.3496833829447501</v>
      </c>
      <c r="Z674" s="31">
        <v>1.6944877428021199</v>
      </c>
      <c r="AA674">
        <v>2.6975956764682198</v>
      </c>
      <c r="AB674">
        <v>7.0000000000000007E-2</v>
      </c>
      <c r="AC674">
        <v>286994.32546822098</v>
      </c>
      <c r="AD674">
        <v>328407.60663328529</v>
      </c>
      <c r="AE674">
        <v>1</v>
      </c>
      <c r="AF674">
        <v>11857.558901934521</v>
      </c>
      <c r="AG674">
        <v>90527.76100156318</v>
      </c>
    </row>
    <row r="675" spans="2:33" hidden="1" x14ac:dyDescent="0.25">
      <c r="B675">
        <v>13</v>
      </c>
      <c r="C675" t="s">
        <v>43</v>
      </c>
      <c r="D675" t="s">
        <v>26</v>
      </c>
      <c r="E675" t="s">
        <v>69</v>
      </c>
      <c r="F675">
        <v>368207</v>
      </c>
      <c r="G675">
        <v>379895</v>
      </c>
      <c r="H675">
        <v>52</v>
      </c>
      <c r="I675">
        <v>1113</v>
      </c>
      <c r="J675">
        <v>8.7320223069999994E-2</v>
      </c>
      <c r="K675">
        <v>533489</v>
      </c>
      <c r="L675">
        <v>457214</v>
      </c>
      <c r="M675">
        <v>339178</v>
      </c>
      <c r="N675">
        <v>38593</v>
      </c>
      <c r="O675" s="43">
        <v>191789560.51199999</v>
      </c>
      <c r="P675" s="14">
        <f t="shared" si="32"/>
        <v>1144329.1200000048</v>
      </c>
      <c r="Q675" s="14" t="str">
        <f t="shared" si="30"/>
        <v/>
      </c>
      <c r="R675" s="14" t="str">
        <f t="shared" si="30"/>
        <v/>
      </c>
      <c r="S675" s="14" t="str">
        <f t="shared" si="31"/>
        <v/>
      </c>
      <c r="T675" s="14" t="s">
        <v>72</v>
      </c>
      <c r="U675" s="14">
        <v>1028.1483557951526</v>
      </c>
      <c r="V675">
        <v>7303</v>
      </c>
      <c r="W675">
        <v>15.365625</v>
      </c>
      <c r="X675">
        <v>32.466467126366901</v>
      </c>
      <c r="Y675">
        <v>1.18044945000367</v>
      </c>
      <c r="Z675" s="31">
        <v>1.84891360795747</v>
      </c>
      <c r="AA675">
        <v>3.57437699601449</v>
      </c>
      <c r="AB675">
        <v>7.0000000000000007E-2</v>
      </c>
      <c r="AC675">
        <v>286994.32546822098</v>
      </c>
      <c r="AD675">
        <v>328407.60663328529</v>
      </c>
      <c r="AE675">
        <v>1</v>
      </c>
      <c r="AF675">
        <v>11857.558901934521</v>
      </c>
      <c r="AG675">
        <v>90527.76100156318</v>
      </c>
    </row>
    <row r="676" spans="2:33" hidden="1" x14ac:dyDescent="0.25">
      <c r="B676">
        <v>13</v>
      </c>
      <c r="C676" t="s">
        <v>43</v>
      </c>
      <c r="D676" t="s">
        <v>26</v>
      </c>
      <c r="E676" t="s">
        <v>69</v>
      </c>
      <c r="F676">
        <v>373186</v>
      </c>
      <c r="G676">
        <v>379895</v>
      </c>
      <c r="H676">
        <v>53</v>
      </c>
      <c r="I676">
        <v>2175</v>
      </c>
      <c r="J676">
        <v>0.73070149689999997</v>
      </c>
      <c r="K676">
        <v>533489</v>
      </c>
      <c r="L676">
        <v>457214</v>
      </c>
      <c r="M676">
        <v>339178</v>
      </c>
      <c r="N676">
        <v>38593</v>
      </c>
      <c r="O676" s="43">
        <v>189615335.18399999</v>
      </c>
      <c r="P676" s="14">
        <f t="shared" si="32"/>
        <v>-2174225.3280000091</v>
      </c>
      <c r="Q676" s="14">
        <f t="shared" si="30"/>
        <v>-2174225.3280000091</v>
      </c>
      <c r="R676" s="14">
        <f t="shared" si="30"/>
        <v>-2174225.3280000091</v>
      </c>
      <c r="S676" s="14">
        <f t="shared" si="31"/>
        <v>4727255776916.7471</v>
      </c>
      <c r="T676" s="14">
        <v>4727255776916.7471</v>
      </c>
      <c r="U676" s="14">
        <v>-999.64382896552138</v>
      </c>
      <c r="V676">
        <v>7303</v>
      </c>
      <c r="W676">
        <v>9.7384277343750192</v>
      </c>
      <c r="X676">
        <v>59.5342851020458</v>
      </c>
      <c r="Y676">
        <v>0.48914022811402602</v>
      </c>
      <c r="Z676" s="31">
        <v>2.0356103258743099</v>
      </c>
      <c r="AA676">
        <v>5.5677186627603703</v>
      </c>
      <c r="AB676">
        <v>7.0000000000000007E-2</v>
      </c>
      <c r="AC676">
        <v>286994.32546822098</v>
      </c>
      <c r="AD676">
        <v>328407.60663328529</v>
      </c>
      <c r="AE676">
        <v>1</v>
      </c>
      <c r="AF676">
        <v>11857.558901934521</v>
      </c>
      <c r="AG676">
        <v>90527.76100156318</v>
      </c>
    </row>
    <row r="677" spans="2:33" hidden="1" x14ac:dyDescent="0.25">
      <c r="B677">
        <v>13</v>
      </c>
      <c r="C677" t="s">
        <v>43</v>
      </c>
      <c r="D677" t="s">
        <v>26</v>
      </c>
      <c r="E677" t="s">
        <v>69</v>
      </c>
      <c r="F677">
        <v>374762</v>
      </c>
      <c r="G677">
        <v>379895</v>
      </c>
      <c r="H677">
        <v>54</v>
      </c>
      <c r="I677">
        <v>6817</v>
      </c>
      <c r="J677">
        <v>0.23128852359999999</v>
      </c>
      <c r="K677">
        <v>533489</v>
      </c>
      <c r="L677">
        <v>457214</v>
      </c>
      <c r="M677">
        <v>339178</v>
      </c>
      <c r="N677">
        <v>38593</v>
      </c>
      <c r="O677" s="43">
        <v>192361725.072</v>
      </c>
      <c r="P677" s="14">
        <f t="shared" si="32"/>
        <v>2746389.8880000114</v>
      </c>
      <c r="Q677" s="14" t="str">
        <f t="shared" si="30"/>
        <v/>
      </c>
      <c r="R677" s="14" t="str">
        <f t="shared" si="30"/>
        <v/>
      </c>
      <c r="S677" s="14" t="str">
        <f t="shared" si="31"/>
        <v/>
      </c>
      <c r="T677" s="14" t="s">
        <v>72</v>
      </c>
      <c r="U677" s="14">
        <v>402.87368167815924</v>
      </c>
      <c r="V677">
        <v>7303</v>
      </c>
      <c r="W677">
        <v>10.833154296875</v>
      </c>
      <c r="X677">
        <v>8.5031371235990001</v>
      </c>
      <c r="Y677">
        <v>1.18911898920638</v>
      </c>
      <c r="Z677" s="31">
        <v>0.97033913622069101</v>
      </c>
      <c r="AA677">
        <v>8.8765421307717798</v>
      </c>
      <c r="AB677">
        <v>7.0000000000000007E-2</v>
      </c>
      <c r="AC677">
        <v>286994.32546822098</v>
      </c>
      <c r="AD677">
        <v>328407.60663328529</v>
      </c>
      <c r="AE677">
        <v>1</v>
      </c>
      <c r="AF677">
        <v>11857.558901934521</v>
      </c>
      <c r="AG677">
        <v>90527.76100156318</v>
      </c>
    </row>
    <row r="678" spans="2:33" hidden="1" x14ac:dyDescent="0.25">
      <c r="B678">
        <v>13</v>
      </c>
      <c r="C678" t="s">
        <v>43</v>
      </c>
      <c r="D678" t="s">
        <v>26</v>
      </c>
      <c r="E678" t="s">
        <v>69</v>
      </c>
      <c r="F678">
        <v>374770</v>
      </c>
      <c r="G678">
        <v>379895</v>
      </c>
      <c r="H678">
        <v>55</v>
      </c>
      <c r="I678">
        <v>595</v>
      </c>
      <c r="J678">
        <v>1.174053419E-3</v>
      </c>
      <c r="K678">
        <v>533489</v>
      </c>
      <c r="L678">
        <v>457214</v>
      </c>
      <c r="M678">
        <v>339178</v>
      </c>
      <c r="N678">
        <v>38593</v>
      </c>
      <c r="O678" s="43">
        <v>192361725.072</v>
      </c>
      <c r="P678" s="14">
        <f t="shared" si="32"/>
        <v>0</v>
      </c>
      <c r="Q678" s="14" t="str">
        <f t="shared" si="30"/>
        <v/>
      </c>
      <c r="R678" s="14" t="str">
        <f t="shared" si="30"/>
        <v/>
      </c>
      <c r="S678" s="14" t="str">
        <f t="shared" si="31"/>
        <v/>
      </c>
      <c r="T678" s="14" t="s">
        <v>72</v>
      </c>
      <c r="U678" s="14">
        <v>0</v>
      </c>
      <c r="V678">
        <v>7303</v>
      </c>
      <c r="W678">
        <v>15.472314453125</v>
      </c>
      <c r="X678">
        <v>22.5998031320966</v>
      </c>
      <c r="Y678">
        <v>1.36216697549097</v>
      </c>
      <c r="Z678" s="31">
        <v>0.91797730373394604</v>
      </c>
      <c r="AA678">
        <v>8.2791786624674497</v>
      </c>
      <c r="AB678">
        <v>7.0000000000000007E-2</v>
      </c>
      <c r="AC678">
        <v>286994.32546822098</v>
      </c>
      <c r="AD678">
        <v>328407.60663328529</v>
      </c>
      <c r="AE678">
        <v>1</v>
      </c>
      <c r="AF678">
        <v>11857.558901934521</v>
      </c>
      <c r="AG678">
        <v>90527.76100156318</v>
      </c>
    </row>
    <row r="679" spans="2:33" hidden="1" x14ac:dyDescent="0.25">
      <c r="B679">
        <v>13</v>
      </c>
      <c r="C679" t="s">
        <v>43</v>
      </c>
      <c r="D679" t="s">
        <v>26</v>
      </c>
      <c r="E679" t="s">
        <v>69</v>
      </c>
      <c r="F679">
        <v>379571</v>
      </c>
      <c r="G679">
        <v>379895</v>
      </c>
      <c r="H679">
        <v>56</v>
      </c>
      <c r="I679">
        <v>4979</v>
      </c>
      <c r="J679">
        <v>1.0362916068913779</v>
      </c>
      <c r="K679">
        <v>533489</v>
      </c>
      <c r="L679">
        <v>457214</v>
      </c>
      <c r="M679">
        <v>339178</v>
      </c>
      <c r="N679">
        <v>38593</v>
      </c>
      <c r="O679" s="43">
        <v>195680279.52000001</v>
      </c>
      <c r="P679" s="14">
        <f t="shared" si="32"/>
        <v>3318554.4480000138</v>
      </c>
      <c r="Q679" s="14" t="str">
        <f t="shared" si="30"/>
        <v/>
      </c>
      <c r="R679" s="14" t="str">
        <f t="shared" si="30"/>
        <v/>
      </c>
      <c r="S679" s="14" t="str">
        <f t="shared" si="31"/>
        <v/>
      </c>
      <c r="T679" s="14" t="s">
        <v>72</v>
      </c>
      <c r="U679" s="14">
        <v>666.51023257681948</v>
      </c>
      <c r="V679">
        <v>7303</v>
      </c>
      <c r="W679">
        <v>18.403466796875001</v>
      </c>
      <c r="X679">
        <v>9.0809764447910002</v>
      </c>
      <c r="Y679">
        <v>1.9262174156909799</v>
      </c>
      <c r="Z679" s="31">
        <v>0.99753046497919395</v>
      </c>
      <c r="AA679">
        <v>3.80488998031083</v>
      </c>
      <c r="AB679">
        <v>7.0000000000000007E-2</v>
      </c>
      <c r="AC679">
        <v>286994.32546822098</v>
      </c>
      <c r="AD679">
        <v>328407.60663328529</v>
      </c>
      <c r="AE679">
        <v>1</v>
      </c>
      <c r="AF679">
        <v>11857.558901934521</v>
      </c>
      <c r="AG679">
        <v>90527.76100156318</v>
      </c>
    </row>
    <row r="680" spans="2:33" hidden="1" x14ac:dyDescent="0.25">
      <c r="B680">
        <v>13</v>
      </c>
      <c r="C680" t="s">
        <v>43</v>
      </c>
      <c r="D680" t="s">
        <v>26</v>
      </c>
      <c r="E680" t="s">
        <v>69</v>
      </c>
      <c r="F680">
        <v>379571</v>
      </c>
      <c r="G680">
        <v>379895</v>
      </c>
      <c r="H680">
        <v>57</v>
      </c>
      <c r="I680">
        <v>1576</v>
      </c>
      <c r="J680">
        <v>0</v>
      </c>
      <c r="K680">
        <v>533489</v>
      </c>
      <c r="L680">
        <v>457214</v>
      </c>
      <c r="M680">
        <v>339178</v>
      </c>
      <c r="N680">
        <v>38593</v>
      </c>
      <c r="O680" s="43">
        <v>197167907.37599999</v>
      </c>
      <c r="P680" s="14">
        <f t="shared" si="32"/>
        <v>1487627.8559999764</v>
      </c>
      <c r="Q680" s="14" t="str">
        <f t="shared" si="30"/>
        <v/>
      </c>
      <c r="R680" s="14" t="str">
        <f t="shared" si="30"/>
        <v/>
      </c>
      <c r="S680" s="14" t="str">
        <f t="shared" si="31"/>
        <v/>
      </c>
      <c r="T680" s="14" t="s">
        <v>72</v>
      </c>
      <c r="U680" s="14">
        <v>943.9263045685318</v>
      </c>
      <c r="V680">
        <v>7303</v>
      </c>
      <c r="W680">
        <v>18.332055664062501</v>
      </c>
      <c r="X680">
        <v>8.9499374719089495</v>
      </c>
      <c r="Y680">
        <v>1.92037544593158</v>
      </c>
      <c r="Z680" s="31">
        <v>1.1952653635811601</v>
      </c>
      <c r="AA680">
        <v>0.19056498538433</v>
      </c>
      <c r="AB680">
        <v>7.0000000000000007E-2</v>
      </c>
      <c r="AC680">
        <v>286994.32546822098</v>
      </c>
      <c r="AD680">
        <v>328407.60663328529</v>
      </c>
      <c r="AE680">
        <v>1</v>
      </c>
      <c r="AF680">
        <v>11857.558901934521</v>
      </c>
      <c r="AG680">
        <v>90527.76100156318</v>
      </c>
    </row>
    <row r="681" spans="2:33" hidden="1" x14ac:dyDescent="0.25">
      <c r="B681">
        <v>13</v>
      </c>
      <c r="C681" t="s">
        <v>43</v>
      </c>
      <c r="D681" t="s">
        <v>26</v>
      </c>
      <c r="E681" t="s">
        <v>69</v>
      </c>
      <c r="F681">
        <v>375654</v>
      </c>
      <c r="G681">
        <v>379895</v>
      </c>
      <c r="H681">
        <v>58</v>
      </c>
      <c r="I681">
        <v>8</v>
      </c>
      <c r="J681">
        <v>0</v>
      </c>
      <c r="K681">
        <v>533489</v>
      </c>
      <c r="L681">
        <v>457214</v>
      </c>
      <c r="M681">
        <v>339178</v>
      </c>
      <c r="N681">
        <v>38593</v>
      </c>
      <c r="O681" s="43">
        <v>198312236.49599999</v>
      </c>
      <c r="P681" s="14">
        <f t="shared" si="32"/>
        <v>1144329.1200000048</v>
      </c>
      <c r="Q681" s="14" t="str">
        <f t="shared" si="30"/>
        <v/>
      </c>
      <c r="R681" s="14" t="str">
        <f t="shared" si="30"/>
        <v/>
      </c>
      <c r="S681" s="14" t="str">
        <f t="shared" si="31"/>
        <v/>
      </c>
      <c r="T681" s="14" t="s">
        <v>72</v>
      </c>
      <c r="U681" s="14">
        <v>143041.1400000006</v>
      </c>
      <c r="V681">
        <v>7303</v>
      </c>
      <c r="W681">
        <v>17.597558593750001</v>
      </c>
      <c r="X681">
        <v>11.3547581897224</v>
      </c>
      <c r="Y681">
        <v>1.78540711905307</v>
      </c>
      <c r="Z681" s="31">
        <v>1.42091818079718</v>
      </c>
      <c r="AA681">
        <v>2.9147331242185399</v>
      </c>
      <c r="AB681">
        <v>7.0000000000000007E-2</v>
      </c>
      <c r="AC681">
        <v>286994.32546822098</v>
      </c>
      <c r="AD681">
        <v>328407.60663328529</v>
      </c>
      <c r="AE681">
        <v>1</v>
      </c>
      <c r="AF681">
        <v>11857.558901934521</v>
      </c>
      <c r="AG681">
        <v>90527.76100156318</v>
      </c>
    </row>
    <row r="682" spans="2:33" hidden="1" x14ac:dyDescent="0.25">
      <c r="B682">
        <v>13</v>
      </c>
      <c r="C682" t="s">
        <v>43</v>
      </c>
      <c r="D682" t="s">
        <v>26</v>
      </c>
      <c r="E682" t="s">
        <v>69</v>
      </c>
      <c r="F682">
        <v>377692</v>
      </c>
      <c r="G682">
        <v>379895</v>
      </c>
      <c r="H682">
        <v>59</v>
      </c>
      <c r="I682" s="5">
        <v>4801</v>
      </c>
      <c r="J682">
        <v>0.43990049882204302</v>
      </c>
      <c r="K682">
        <v>533489</v>
      </c>
      <c r="L682">
        <v>457214</v>
      </c>
      <c r="M682">
        <v>339178</v>
      </c>
      <c r="N682">
        <v>38593</v>
      </c>
      <c r="O682" s="43">
        <v>199685431.44</v>
      </c>
      <c r="P682" s="14">
        <f t="shared" si="32"/>
        <v>1373194.9440000057</v>
      </c>
      <c r="Q682" s="14" t="str">
        <f t="shared" si="30"/>
        <v/>
      </c>
      <c r="R682" s="14" t="str">
        <f t="shared" si="30"/>
        <v/>
      </c>
      <c r="S682" s="14" t="str">
        <f t="shared" si="31"/>
        <v/>
      </c>
      <c r="T682" s="14" t="s">
        <v>72</v>
      </c>
      <c r="U682" s="14">
        <v>286.0226919391805</v>
      </c>
      <c r="V682">
        <v>7303</v>
      </c>
      <c r="W682">
        <v>18.806176757812501</v>
      </c>
      <c r="X682">
        <v>11.009698882945299</v>
      </c>
      <c r="Y682">
        <v>1.93351944586392</v>
      </c>
      <c r="Z682" s="31">
        <v>1.19878214241111</v>
      </c>
      <c r="AA682">
        <v>1.1649572819571301</v>
      </c>
      <c r="AB682">
        <v>7.0000000000000007E-2</v>
      </c>
      <c r="AC682">
        <v>286994.32546822098</v>
      </c>
      <c r="AD682">
        <v>328407.60663328529</v>
      </c>
      <c r="AE682">
        <v>1</v>
      </c>
      <c r="AF682">
        <v>11857.558901934521</v>
      </c>
      <c r="AG682">
        <v>90527.76100156318</v>
      </c>
    </row>
    <row r="683" spans="2:33" hidden="1" x14ac:dyDescent="0.25">
      <c r="B683">
        <v>13</v>
      </c>
      <c r="C683" t="s">
        <v>43</v>
      </c>
      <c r="D683" t="s">
        <v>26</v>
      </c>
      <c r="E683" t="s">
        <v>69</v>
      </c>
      <c r="F683">
        <v>377693</v>
      </c>
      <c r="G683">
        <v>379895</v>
      </c>
      <c r="H683">
        <v>60</v>
      </c>
      <c r="I683" s="5">
        <v>0</v>
      </c>
      <c r="J683">
        <v>2.158491162031614E-4</v>
      </c>
      <c r="K683">
        <v>533489</v>
      </c>
      <c r="L683">
        <v>457214</v>
      </c>
      <c r="M683">
        <v>339178</v>
      </c>
      <c r="N683">
        <v>38593</v>
      </c>
      <c r="O683" s="43">
        <v>201287492.208</v>
      </c>
      <c r="P683" s="14">
        <f t="shared" si="32"/>
        <v>1602060.7680000067</v>
      </c>
      <c r="Q683" s="14" t="str">
        <f t="shared" si="30"/>
        <v/>
      </c>
      <c r="R683" s="14" t="str">
        <f t="shared" si="30"/>
        <v/>
      </c>
      <c r="S683" s="14" t="str">
        <f t="shared" si="31"/>
        <v/>
      </c>
      <c r="T683" s="14" t="s">
        <v>72</v>
      </c>
      <c r="U683" s="14">
        <v>0</v>
      </c>
      <c r="V683">
        <v>7303</v>
      </c>
      <c r="W683">
        <v>19.237451171875001</v>
      </c>
      <c r="X683">
        <v>9.0962712176821903</v>
      </c>
      <c r="Y683">
        <v>2.0288294110982998</v>
      </c>
      <c r="Z683" s="31">
        <v>1.3548616396718001</v>
      </c>
      <c r="AA683">
        <v>0.79611207824068297</v>
      </c>
      <c r="AB683">
        <v>7.0000000000000007E-2</v>
      </c>
      <c r="AC683">
        <v>286994.32546822098</v>
      </c>
      <c r="AD683">
        <v>328407.60663328529</v>
      </c>
      <c r="AE683">
        <v>1</v>
      </c>
      <c r="AF683">
        <v>11857.558901934521</v>
      </c>
      <c r="AG683">
        <v>90527.76100156318</v>
      </c>
    </row>
    <row r="684" spans="2:33" hidden="1" x14ac:dyDescent="0.25">
      <c r="B684">
        <v>13</v>
      </c>
      <c r="C684" t="s">
        <v>43</v>
      </c>
      <c r="D684" t="s">
        <v>26</v>
      </c>
      <c r="E684" t="s">
        <v>69</v>
      </c>
      <c r="F684">
        <v>378502</v>
      </c>
      <c r="G684">
        <v>379895</v>
      </c>
      <c r="H684">
        <v>61</v>
      </c>
      <c r="I684" s="5">
        <v>-3917</v>
      </c>
      <c r="J684">
        <v>0.1746219350083576</v>
      </c>
      <c r="K684">
        <v>533489</v>
      </c>
      <c r="L684">
        <v>457214</v>
      </c>
      <c r="M684">
        <v>339178</v>
      </c>
      <c r="N684">
        <v>38593</v>
      </c>
      <c r="O684" s="43">
        <v>202903054.9152869</v>
      </c>
      <c r="P684" s="14">
        <f t="shared" si="32"/>
        <v>1615562.7072868943</v>
      </c>
      <c r="Q684" s="14" t="str">
        <f t="shared" si="30"/>
        <v/>
      </c>
      <c r="R684" s="14" t="str">
        <f t="shared" si="30"/>
        <v/>
      </c>
      <c r="S684" s="14" t="str">
        <f t="shared" si="31"/>
        <v/>
      </c>
      <c r="T684" s="14" t="s">
        <v>72</v>
      </c>
      <c r="U684" s="14">
        <v>-412.44899343551043</v>
      </c>
      <c r="V684">
        <v>7303</v>
      </c>
      <c r="W684">
        <v>18.929223632812501</v>
      </c>
      <c r="X684">
        <v>4.0153283180661603</v>
      </c>
      <c r="Y684">
        <v>2.1010545612925098</v>
      </c>
      <c r="Z684" s="31">
        <v>1.5467611576373601</v>
      </c>
      <c r="AA684">
        <v>3.3812252805441099</v>
      </c>
      <c r="AB684">
        <v>7.0000000000000007E-2</v>
      </c>
      <c r="AC684">
        <v>286994.32546822098</v>
      </c>
      <c r="AD684">
        <v>328407.60663328529</v>
      </c>
      <c r="AE684">
        <v>1</v>
      </c>
      <c r="AF684">
        <v>11857.558901934521</v>
      </c>
      <c r="AG684">
        <v>90527.76100156318</v>
      </c>
    </row>
    <row r="685" spans="2:33" hidden="1" x14ac:dyDescent="0.25">
      <c r="B685">
        <v>13</v>
      </c>
      <c r="C685" t="s">
        <v>43</v>
      </c>
      <c r="D685" t="s">
        <v>26</v>
      </c>
      <c r="E685" t="s">
        <v>69</v>
      </c>
      <c r="F685">
        <v>378730</v>
      </c>
      <c r="G685">
        <v>379895</v>
      </c>
      <c r="H685">
        <v>62</v>
      </c>
      <c r="I685" s="5">
        <v>2038</v>
      </c>
      <c r="J685">
        <v>4.9213598494320797E-2</v>
      </c>
      <c r="K685">
        <v>533489</v>
      </c>
      <c r="L685">
        <v>457214</v>
      </c>
      <c r="M685">
        <v>339178</v>
      </c>
      <c r="N685">
        <v>38593</v>
      </c>
      <c r="O685" s="43">
        <v>204672544.76549229</v>
      </c>
      <c r="P685" s="14">
        <f t="shared" si="32"/>
        <v>1769489.8502053916</v>
      </c>
      <c r="Q685" s="14" t="str">
        <f t="shared" si="30"/>
        <v/>
      </c>
      <c r="R685" s="14" t="str">
        <f t="shared" si="30"/>
        <v/>
      </c>
      <c r="S685" s="14" t="str">
        <f t="shared" si="31"/>
        <v/>
      </c>
      <c r="T685" s="14" t="s">
        <v>72</v>
      </c>
      <c r="U685" s="14">
        <v>868.24820912926953</v>
      </c>
      <c r="V685">
        <v>7303</v>
      </c>
      <c r="W685">
        <v>17.975976562500001</v>
      </c>
      <c r="X685">
        <v>10.2857505848011</v>
      </c>
      <c r="Y685">
        <v>1.85044620643027</v>
      </c>
      <c r="Z685" s="31">
        <v>1.56350130727857</v>
      </c>
      <c r="AA685">
        <v>4.5248192491596297</v>
      </c>
      <c r="AB685">
        <v>7.0000000000000007E-2</v>
      </c>
      <c r="AC685">
        <v>286994.32546822098</v>
      </c>
      <c r="AD685">
        <v>328407.60663328529</v>
      </c>
      <c r="AE685">
        <v>1</v>
      </c>
      <c r="AF685">
        <v>11857.558901934521</v>
      </c>
      <c r="AG685">
        <v>90527.76100156318</v>
      </c>
    </row>
    <row r="686" spans="2:33" hidden="1" x14ac:dyDescent="0.25">
      <c r="B686">
        <v>13</v>
      </c>
      <c r="C686" t="s">
        <v>43</v>
      </c>
      <c r="D686" t="s">
        <v>26</v>
      </c>
      <c r="E686" t="s">
        <v>69</v>
      </c>
      <c r="F686">
        <v>379335</v>
      </c>
      <c r="G686">
        <v>379895</v>
      </c>
      <c r="H686">
        <v>63</v>
      </c>
      <c r="I686" s="5">
        <v>1</v>
      </c>
      <c r="J686">
        <v>0.13058871530291269</v>
      </c>
      <c r="K686">
        <v>533489</v>
      </c>
      <c r="L686">
        <v>457214</v>
      </c>
      <c r="M686">
        <v>339178</v>
      </c>
      <c r="N686">
        <v>38593</v>
      </c>
      <c r="O686" s="43">
        <v>206322540.336</v>
      </c>
      <c r="P686" s="14">
        <f t="shared" si="32"/>
        <v>1649995.5705077052</v>
      </c>
      <c r="Q686" s="14" t="str">
        <f t="shared" si="30"/>
        <v/>
      </c>
      <c r="R686" s="14" t="str">
        <f t="shared" si="30"/>
        <v/>
      </c>
      <c r="S686" s="14" t="str">
        <f t="shared" si="31"/>
        <v/>
      </c>
      <c r="T686" s="14" t="s">
        <v>72</v>
      </c>
      <c r="U686" s="14">
        <v>1649995.5705076754</v>
      </c>
      <c r="V686">
        <v>7303</v>
      </c>
      <c r="W686">
        <v>19.207788085937501</v>
      </c>
      <c r="X686">
        <v>19.381259551590102</v>
      </c>
      <c r="Y686">
        <v>1.7961485585574899</v>
      </c>
      <c r="Z686" s="31">
        <v>0.94941559870210501</v>
      </c>
      <c r="AA686">
        <v>2.2945159740843799</v>
      </c>
      <c r="AB686">
        <v>7.0000000000000007E-2</v>
      </c>
      <c r="AC686">
        <v>286994.32546822098</v>
      </c>
      <c r="AD686">
        <v>328407.60663328529</v>
      </c>
      <c r="AE686">
        <v>1</v>
      </c>
      <c r="AF686">
        <v>11857.558901934521</v>
      </c>
      <c r="AG686">
        <v>90527.76100156318</v>
      </c>
    </row>
    <row r="687" spans="2:33" hidden="1" x14ac:dyDescent="0.25">
      <c r="B687">
        <v>13</v>
      </c>
      <c r="C687" t="s">
        <v>43</v>
      </c>
      <c r="D687" t="s">
        <v>26</v>
      </c>
      <c r="E687" t="s">
        <v>69</v>
      </c>
      <c r="F687">
        <v>379716</v>
      </c>
      <c r="G687">
        <v>379895</v>
      </c>
      <c r="H687">
        <v>64</v>
      </c>
      <c r="I687" s="5">
        <v>809</v>
      </c>
      <c r="J687">
        <v>8.2238513273404493E-2</v>
      </c>
      <c r="K687">
        <v>533489</v>
      </c>
      <c r="L687">
        <v>457214</v>
      </c>
      <c r="M687">
        <v>339178</v>
      </c>
      <c r="N687">
        <v>38593</v>
      </c>
      <c r="O687" s="43">
        <v>208153466.928</v>
      </c>
      <c r="P687" s="14">
        <f t="shared" si="32"/>
        <v>1830926.5920000076</v>
      </c>
      <c r="Q687" s="14" t="str">
        <f t="shared" si="30"/>
        <v/>
      </c>
      <c r="R687" s="14" t="str">
        <f t="shared" si="30"/>
        <v/>
      </c>
      <c r="S687" s="14" t="str">
        <f t="shared" si="31"/>
        <v/>
      </c>
      <c r="T687" s="14" t="s">
        <v>72</v>
      </c>
      <c r="U687" s="14">
        <v>2263.1972707045461</v>
      </c>
      <c r="V687">
        <v>7303</v>
      </c>
      <c r="W687">
        <v>18.086816406250001</v>
      </c>
      <c r="X687">
        <v>14.3591747531434</v>
      </c>
      <c r="Y687">
        <v>1.7788875857446</v>
      </c>
      <c r="Z687" s="31">
        <v>1.3881730682384601</v>
      </c>
      <c r="AA687">
        <v>2.6876119118014401</v>
      </c>
      <c r="AB687">
        <v>7.0000000000000007E-2</v>
      </c>
      <c r="AC687">
        <v>286994.32546822098</v>
      </c>
      <c r="AD687">
        <v>328407.60663328529</v>
      </c>
      <c r="AE687">
        <v>1</v>
      </c>
      <c r="AF687">
        <v>11857.558901934521</v>
      </c>
      <c r="AG687">
        <v>90527.76100156318</v>
      </c>
    </row>
    <row r="688" spans="2:33" hidden="1" x14ac:dyDescent="0.25">
      <c r="B688">
        <v>13</v>
      </c>
      <c r="C688" t="s">
        <v>43</v>
      </c>
      <c r="D688" t="s">
        <v>26</v>
      </c>
      <c r="E688" t="s">
        <v>69</v>
      </c>
      <c r="F688">
        <v>379716</v>
      </c>
      <c r="G688">
        <v>379895</v>
      </c>
      <c r="H688">
        <v>65</v>
      </c>
      <c r="I688" s="5">
        <v>228</v>
      </c>
      <c r="J688">
        <v>0</v>
      </c>
      <c r="K688">
        <v>533489</v>
      </c>
      <c r="L688">
        <v>457214</v>
      </c>
      <c r="M688">
        <v>339178</v>
      </c>
      <c r="N688">
        <v>38593</v>
      </c>
      <c r="O688" s="43">
        <v>209755527.69600001</v>
      </c>
      <c r="P688" s="14">
        <f t="shared" si="32"/>
        <v>1602060.7680000067</v>
      </c>
      <c r="Q688" s="14" t="str">
        <f t="shared" si="30"/>
        <v/>
      </c>
      <c r="R688" s="14" t="str">
        <f t="shared" si="30"/>
        <v/>
      </c>
      <c r="S688" s="14" t="str">
        <f t="shared" si="31"/>
        <v/>
      </c>
      <c r="T688" s="14" t="s">
        <v>72</v>
      </c>
      <c r="U688" s="14">
        <v>7026.5823157895029</v>
      </c>
      <c r="V688">
        <v>7303</v>
      </c>
      <c r="W688">
        <v>6.0830322265625201</v>
      </c>
      <c r="X688">
        <v>71.708765660293594</v>
      </c>
      <c r="Y688">
        <v>0.26670493535691803</v>
      </c>
      <c r="Z688" s="31">
        <v>2.7818735916557098</v>
      </c>
      <c r="AA688">
        <v>12.7413951532703</v>
      </c>
      <c r="AB688">
        <v>7.0000000000000007E-2</v>
      </c>
      <c r="AC688">
        <v>286994.32546822098</v>
      </c>
      <c r="AD688">
        <v>328407.60663328529</v>
      </c>
      <c r="AE688">
        <v>1</v>
      </c>
      <c r="AF688">
        <v>11857.558901934521</v>
      </c>
      <c r="AG688">
        <v>90527.76100156318</v>
      </c>
    </row>
    <row r="689" spans="2:33" hidden="1" x14ac:dyDescent="0.25">
      <c r="B689">
        <v>13</v>
      </c>
      <c r="C689" t="s">
        <v>43</v>
      </c>
      <c r="D689" t="s">
        <v>26</v>
      </c>
      <c r="E689" t="s">
        <v>69</v>
      </c>
      <c r="F689">
        <v>379729</v>
      </c>
      <c r="G689">
        <v>379895</v>
      </c>
      <c r="H689">
        <v>66</v>
      </c>
      <c r="I689" s="5">
        <v>605</v>
      </c>
      <c r="J689">
        <v>2.8060385106410978E-3</v>
      </c>
      <c r="K689">
        <v>533489</v>
      </c>
      <c r="L689">
        <v>457214</v>
      </c>
      <c r="M689">
        <v>339178</v>
      </c>
      <c r="N689">
        <v>38593</v>
      </c>
      <c r="O689" s="43">
        <v>211243155.55199999</v>
      </c>
      <c r="P689" s="14">
        <f t="shared" si="32"/>
        <v>1487627.8559999764</v>
      </c>
      <c r="Q689" s="14" t="str">
        <f t="shared" si="30"/>
        <v/>
      </c>
      <c r="R689" s="14" t="str">
        <f t="shared" si="30"/>
        <v/>
      </c>
      <c r="S689" s="14" t="str">
        <f t="shared" si="31"/>
        <v/>
      </c>
      <c r="T689" s="14" t="s">
        <v>72</v>
      </c>
      <c r="U689" s="14">
        <v>2458.8890181818283</v>
      </c>
      <c r="V689">
        <v>7303</v>
      </c>
      <c r="W689">
        <v>-0.45834960937497699</v>
      </c>
      <c r="X689">
        <v>80.842013621056694</v>
      </c>
      <c r="Y689">
        <v>0.113567413783826</v>
      </c>
      <c r="Z689" s="31">
        <v>2.1884241155291799</v>
      </c>
      <c r="AA689">
        <v>4.6584166352155796</v>
      </c>
      <c r="AB689">
        <v>7.0000000000000007E-2</v>
      </c>
      <c r="AC689">
        <v>286994.32546822098</v>
      </c>
      <c r="AD689">
        <v>328407.60663328529</v>
      </c>
      <c r="AE689">
        <v>1</v>
      </c>
      <c r="AF689">
        <v>11857.558901934521</v>
      </c>
      <c r="AG689">
        <v>90527.76100156318</v>
      </c>
    </row>
    <row r="690" spans="2:33" hidden="1" x14ac:dyDescent="0.25">
      <c r="B690">
        <v>13</v>
      </c>
      <c r="C690" t="s">
        <v>43</v>
      </c>
      <c r="D690" t="s">
        <v>26</v>
      </c>
      <c r="E690" t="s">
        <v>69</v>
      </c>
      <c r="F690">
        <v>379729</v>
      </c>
      <c r="G690">
        <v>379895</v>
      </c>
      <c r="H690">
        <v>67</v>
      </c>
      <c r="I690" s="5">
        <v>381</v>
      </c>
      <c r="J690">
        <v>0</v>
      </c>
      <c r="K690">
        <v>533489</v>
      </c>
      <c r="L690">
        <v>457214</v>
      </c>
      <c r="M690">
        <v>339178</v>
      </c>
      <c r="N690">
        <v>38593</v>
      </c>
      <c r="O690" s="43">
        <v>213302947.96799999</v>
      </c>
      <c r="P690" s="14">
        <f t="shared" si="32"/>
        <v>2059792.4160000086</v>
      </c>
      <c r="Q690" s="14" t="str">
        <f t="shared" si="30"/>
        <v/>
      </c>
      <c r="R690" s="14" t="str">
        <f t="shared" si="30"/>
        <v/>
      </c>
      <c r="S690" s="14" t="str">
        <f t="shared" si="31"/>
        <v/>
      </c>
      <c r="T690" s="14" t="s">
        <v>72</v>
      </c>
      <c r="U690" s="14">
        <v>5406.2793070866364</v>
      </c>
      <c r="V690">
        <v>7303</v>
      </c>
      <c r="W690">
        <v>-4.5184082031249799</v>
      </c>
      <c r="X690">
        <v>86.377072220298004</v>
      </c>
      <c r="Y690">
        <v>5.9766073778881802E-2</v>
      </c>
      <c r="Z690" s="31">
        <v>1.06332322969047</v>
      </c>
      <c r="AA690">
        <v>1.87744497601451</v>
      </c>
      <c r="AB690">
        <v>7.0000000000000007E-2</v>
      </c>
      <c r="AC690">
        <v>286994.32546822098</v>
      </c>
      <c r="AD690">
        <v>328407.60663328529</v>
      </c>
      <c r="AE690">
        <v>1</v>
      </c>
      <c r="AF690">
        <v>11857.558901934521</v>
      </c>
      <c r="AG690">
        <v>90527.76100156318</v>
      </c>
    </row>
    <row r="691" spans="2:33" hidden="1" x14ac:dyDescent="0.25">
      <c r="B691">
        <v>13</v>
      </c>
      <c r="C691" t="s">
        <v>43</v>
      </c>
      <c r="D691" t="s">
        <v>26</v>
      </c>
      <c r="E691" t="s">
        <v>69</v>
      </c>
      <c r="F691">
        <v>379802</v>
      </c>
      <c r="G691">
        <v>379895</v>
      </c>
      <c r="H691">
        <v>68</v>
      </c>
      <c r="I691" s="5">
        <v>0</v>
      </c>
      <c r="J691">
        <v>1.575698548283078E-2</v>
      </c>
      <c r="K691">
        <v>533489</v>
      </c>
      <c r="L691">
        <v>457214</v>
      </c>
      <c r="M691">
        <v>339178</v>
      </c>
      <c r="N691">
        <v>38593</v>
      </c>
      <c r="O691" s="43">
        <v>215477173.296</v>
      </c>
      <c r="P691" s="14">
        <f t="shared" si="32"/>
        <v>2174225.3280000091</v>
      </c>
      <c r="Q691" s="14" t="str">
        <f t="shared" si="30"/>
        <v/>
      </c>
      <c r="R691" s="14" t="str">
        <f t="shared" si="30"/>
        <v/>
      </c>
      <c r="S691" s="14" t="str">
        <f t="shared" si="31"/>
        <v/>
      </c>
      <c r="T691" s="14" t="s">
        <v>72</v>
      </c>
      <c r="U691" s="14">
        <v>0</v>
      </c>
      <c r="V691">
        <v>7303</v>
      </c>
      <c r="W691">
        <v>-1.7796997070312299</v>
      </c>
      <c r="X691">
        <v>67.325721650445701</v>
      </c>
      <c r="Y691">
        <v>0.17578884707711101</v>
      </c>
      <c r="Z691" s="31">
        <v>0.91263175827161802</v>
      </c>
      <c r="AA691">
        <v>3.5701109128350401</v>
      </c>
      <c r="AB691">
        <v>7.0000000000000007E-2</v>
      </c>
      <c r="AC691">
        <v>286994.32546822098</v>
      </c>
      <c r="AD691">
        <v>328407.60663328529</v>
      </c>
      <c r="AE691">
        <v>1</v>
      </c>
      <c r="AF691">
        <v>11857.558901934521</v>
      </c>
      <c r="AG691">
        <v>90527.76100156318</v>
      </c>
    </row>
    <row r="692" spans="2:33" hidden="1" x14ac:dyDescent="0.25">
      <c r="B692">
        <v>13</v>
      </c>
      <c r="C692" t="s">
        <v>43</v>
      </c>
      <c r="D692" t="s">
        <v>26</v>
      </c>
      <c r="E692" t="s">
        <v>69</v>
      </c>
      <c r="F692">
        <v>379802</v>
      </c>
      <c r="G692">
        <v>379895</v>
      </c>
      <c r="H692">
        <v>69</v>
      </c>
      <c r="I692" s="5">
        <v>13</v>
      </c>
      <c r="J692">
        <v>0</v>
      </c>
      <c r="K692">
        <v>533489</v>
      </c>
      <c r="L692">
        <v>457214</v>
      </c>
      <c r="M692">
        <v>339178</v>
      </c>
      <c r="N692">
        <v>38593</v>
      </c>
      <c r="O692" s="43">
        <v>217422532.80000001</v>
      </c>
      <c r="P692" s="14">
        <f t="shared" si="32"/>
        <v>1945359.5040000081</v>
      </c>
      <c r="Q692" s="14" t="str">
        <f t="shared" si="30"/>
        <v/>
      </c>
      <c r="R692" s="14" t="str">
        <f t="shared" si="30"/>
        <v/>
      </c>
      <c r="S692" s="14" t="str">
        <f t="shared" si="31"/>
        <v/>
      </c>
      <c r="T692" s="14" t="s">
        <v>72</v>
      </c>
      <c r="U692" s="14">
        <v>149643.03876923138</v>
      </c>
      <c r="V692">
        <v>7303</v>
      </c>
      <c r="W692">
        <v>5.3542724609375201</v>
      </c>
      <c r="X692">
        <v>44.817801708247202</v>
      </c>
      <c r="Y692">
        <v>0.49454089190980299</v>
      </c>
      <c r="Z692" s="31">
        <v>0.48227620773114899</v>
      </c>
      <c r="AA692">
        <v>4.8446006459614903</v>
      </c>
      <c r="AB692">
        <v>7.0000000000000007E-2</v>
      </c>
      <c r="AC692">
        <v>286994.32546822098</v>
      </c>
      <c r="AD692">
        <v>328407.60663328529</v>
      </c>
      <c r="AE692">
        <v>1</v>
      </c>
      <c r="AF692">
        <v>11857.558901934521</v>
      </c>
      <c r="AG692">
        <v>90527.76100156318</v>
      </c>
    </row>
    <row r="693" spans="2:33" hidden="1" x14ac:dyDescent="0.25">
      <c r="B693">
        <v>13</v>
      </c>
      <c r="C693" t="s">
        <v>43</v>
      </c>
      <c r="D693" t="s">
        <v>26</v>
      </c>
      <c r="E693" t="s">
        <v>69</v>
      </c>
      <c r="F693">
        <v>379802</v>
      </c>
      <c r="G693">
        <v>379895</v>
      </c>
      <c r="H693">
        <v>70</v>
      </c>
      <c r="I693" s="5">
        <v>0</v>
      </c>
      <c r="J693">
        <v>0</v>
      </c>
      <c r="K693">
        <v>533489</v>
      </c>
      <c r="L693">
        <v>457214</v>
      </c>
      <c r="M693">
        <v>339178</v>
      </c>
      <c r="N693">
        <v>38593</v>
      </c>
      <c r="O693" s="43">
        <v>218109130.27200001</v>
      </c>
      <c r="P693" s="14">
        <f t="shared" si="32"/>
        <v>686597.47200000286</v>
      </c>
      <c r="Q693" s="14" t="str">
        <f t="shared" si="30"/>
        <v/>
      </c>
      <c r="R693" s="14" t="str">
        <f t="shared" si="30"/>
        <v/>
      </c>
      <c r="S693" s="14" t="str">
        <f t="shared" si="31"/>
        <v/>
      </c>
      <c r="T693" s="14" t="s">
        <v>72</v>
      </c>
      <c r="U693" s="14">
        <v>0</v>
      </c>
      <c r="V693">
        <v>7303</v>
      </c>
      <c r="W693">
        <v>5.8435302734375201</v>
      </c>
      <c r="X693">
        <v>33.322019838819301</v>
      </c>
      <c r="Y693">
        <v>0.61809941972025395</v>
      </c>
      <c r="Z693" s="31">
        <v>0.22945280447331301</v>
      </c>
      <c r="AA693">
        <v>4.1044629353137303</v>
      </c>
      <c r="AB693">
        <v>7.0000000000000007E-2</v>
      </c>
      <c r="AC693">
        <v>286994.32546822098</v>
      </c>
      <c r="AD693">
        <v>328407.60663328529</v>
      </c>
      <c r="AE693">
        <v>1</v>
      </c>
      <c r="AF693">
        <v>11857.558901934521</v>
      </c>
      <c r="AG693">
        <v>90527.76100156318</v>
      </c>
    </row>
    <row r="694" spans="2:33" hidden="1" x14ac:dyDescent="0.25">
      <c r="B694">
        <v>13</v>
      </c>
      <c r="C694" t="s">
        <v>43</v>
      </c>
      <c r="D694" t="s">
        <v>26</v>
      </c>
      <c r="E694" t="s">
        <v>69</v>
      </c>
      <c r="F694">
        <v>379895</v>
      </c>
      <c r="G694">
        <v>379895</v>
      </c>
      <c r="H694">
        <v>71</v>
      </c>
      <c r="I694" s="5">
        <v>73</v>
      </c>
      <c r="J694">
        <v>2.0073967806894012E-2</v>
      </c>
      <c r="K694">
        <v>533489</v>
      </c>
      <c r="L694">
        <v>457214</v>
      </c>
      <c r="M694">
        <v>339178</v>
      </c>
      <c r="N694">
        <v>38593</v>
      </c>
      <c r="O694" s="43">
        <v>219024593.56799999</v>
      </c>
      <c r="P694" s="14">
        <f t="shared" si="32"/>
        <v>915463.29599997401</v>
      </c>
      <c r="Q694" s="14" t="str">
        <f t="shared" si="30"/>
        <v/>
      </c>
      <c r="R694" s="14" t="str">
        <f t="shared" si="30"/>
        <v/>
      </c>
      <c r="S694" s="14" t="str">
        <f t="shared" si="31"/>
        <v/>
      </c>
      <c r="T694" s="14" t="s">
        <v>72</v>
      </c>
      <c r="U694" s="14">
        <v>12540.593095890463</v>
      </c>
      <c r="V694">
        <v>7303</v>
      </c>
      <c r="W694">
        <v>5.9122558593750201</v>
      </c>
      <c r="X694">
        <v>41.976575503502097</v>
      </c>
      <c r="Y694">
        <v>0.54049581249380196</v>
      </c>
      <c r="Z694" s="31">
        <v>1.1576301202016199</v>
      </c>
      <c r="AA694">
        <v>3.1276104666586999</v>
      </c>
      <c r="AB694">
        <v>7.0000000000000007E-2</v>
      </c>
      <c r="AC694">
        <v>286994.32546822098</v>
      </c>
      <c r="AD694">
        <v>328407.60663328529</v>
      </c>
      <c r="AE694">
        <v>1</v>
      </c>
      <c r="AF694">
        <v>11857.558901934521</v>
      </c>
      <c r="AG694">
        <v>90527.76100156318</v>
      </c>
    </row>
    <row r="695" spans="2:33" hidden="1" x14ac:dyDescent="0.25">
      <c r="B695">
        <v>13</v>
      </c>
      <c r="C695" t="s">
        <v>43</v>
      </c>
      <c r="D695" t="s">
        <v>26</v>
      </c>
      <c r="E695" t="s">
        <v>69</v>
      </c>
      <c r="F695">
        <v>379895</v>
      </c>
      <c r="G695">
        <v>379895</v>
      </c>
      <c r="H695">
        <v>72</v>
      </c>
      <c r="I695" s="5">
        <v>0</v>
      </c>
      <c r="J695">
        <v>0</v>
      </c>
      <c r="K695">
        <v>533489</v>
      </c>
      <c r="L695">
        <v>457214</v>
      </c>
      <c r="M695">
        <v>339178</v>
      </c>
      <c r="N695">
        <v>38593</v>
      </c>
      <c r="O695" s="43">
        <v>219711191.03999999</v>
      </c>
      <c r="P695" s="14">
        <f t="shared" si="32"/>
        <v>686597.47200000286</v>
      </c>
      <c r="Q695" s="14" t="str">
        <f t="shared" si="30"/>
        <v/>
      </c>
      <c r="R695" s="14" t="str">
        <f t="shared" si="30"/>
        <v/>
      </c>
      <c r="S695" s="14" t="str">
        <f t="shared" si="31"/>
        <v/>
      </c>
      <c r="T695" s="14" t="s">
        <v>72</v>
      </c>
      <c r="U695" s="14">
        <v>0</v>
      </c>
      <c r="V695">
        <v>7303</v>
      </c>
      <c r="W695">
        <v>8.2571044921875192</v>
      </c>
      <c r="X695">
        <v>44.9696730744771</v>
      </c>
      <c r="Y695">
        <v>0.60194727912421797</v>
      </c>
      <c r="Z695" s="31">
        <v>1.03124736474885</v>
      </c>
      <c r="AA695">
        <v>8.3265766917967792</v>
      </c>
      <c r="AB695">
        <v>7.0000000000000007E-2</v>
      </c>
      <c r="AC695">
        <v>286994.32546822098</v>
      </c>
      <c r="AD695">
        <v>328407.60663328529</v>
      </c>
      <c r="AE695">
        <v>1</v>
      </c>
      <c r="AF695">
        <v>11857.558901934521</v>
      </c>
      <c r="AG695">
        <v>90527.76100156318</v>
      </c>
    </row>
    <row r="696" spans="2:33" hidden="1" x14ac:dyDescent="0.25">
      <c r="B696">
        <v>13</v>
      </c>
      <c r="C696" t="s">
        <v>43</v>
      </c>
      <c r="D696" t="s">
        <v>26</v>
      </c>
      <c r="E696" t="s">
        <v>69</v>
      </c>
      <c r="F696">
        <v>379895</v>
      </c>
      <c r="G696">
        <v>379895</v>
      </c>
      <c r="H696">
        <v>73</v>
      </c>
      <c r="I696" s="5">
        <v>0</v>
      </c>
      <c r="J696">
        <v>0</v>
      </c>
      <c r="K696">
        <v>533489</v>
      </c>
      <c r="L696">
        <v>457214</v>
      </c>
      <c r="M696">
        <v>339178</v>
      </c>
      <c r="N696">
        <v>38593</v>
      </c>
      <c r="O696" s="43">
        <v>220741087.248</v>
      </c>
      <c r="P696" s="14">
        <f t="shared" si="32"/>
        <v>1029896.2080000043</v>
      </c>
      <c r="Q696" s="14" t="str">
        <f t="shared" si="30"/>
        <v/>
      </c>
      <c r="R696" s="14" t="str">
        <f t="shared" si="30"/>
        <v/>
      </c>
      <c r="S696" s="14" t="str">
        <f t="shared" si="31"/>
        <v/>
      </c>
      <c r="T696" s="14" t="s">
        <v>72</v>
      </c>
      <c r="U696" s="14">
        <v>0</v>
      </c>
      <c r="V696">
        <v>7303</v>
      </c>
      <c r="W696">
        <v>7.7568603515625201</v>
      </c>
      <c r="X696">
        <v>61.585125353534998</v>
      </c>
      <c r="Y696">
        <v>0.40617299853887501</v>
      </c>
      <c r="Z696" s="31">
        <v>1.1640274588420001</v>
      </c>
      <c r="AA696">
        <v>8.2990155632186795</v>
      </c>
      <c r="AB696">
        <v>7.0000000000000007E-2</v>
      </c>
      <c r="AC696">
        <v>286994.32546822098</v>
      </c>
      <c r="AD696">
        <v>328407.60663328529</v>
      </c>
      <c r="AE696">
        <v>1</v>
      </c>
      <c r="AF696">
        <v>11857.558901934521</v>
      </c>
      <c r="AG696">
        <v>90527.76100156318</v>
      </c>
    </row>
    <row r="697" spans="2:33" hidden="1" x14ac:dyDescent="0.25">
      <c r="B697">
        <v>13</v>
      </c>
      <c r="C697" t="s">
        <v>43</v>
      </c>
      <c r="D697" t="s">
        <v>26</v>
      </c>
      <c r="E697" t="s">
        <v>69</v>
      </c>
      <c r="F697">
        <v>379895</v>
      </c>
      <c r="G697">
        <v>379895</v>
      </c>
      <c r="H697">
        <v>74</v>
      </c>
      <c r="I697" s="5">
        <v>93</v>
      </c>
      <c r="J697">
        <v>0</v>
      </c>
      <c r="K697">
        <v>533489</v>
      </c>
      <c r="L697">
        <v>457214</v>
      </c>
      <c r="M697">
        <v>339178</v>
      </c>
      <c r="N697">
        <v>38593</v>
      </c>
      <c r="O697" s="43">
        <v>220855520.16</v>
      </c>
      <c r="P697" s="14">
        <f t="shared" si="32"/>
        <v>114432.91200000048</v>
      </c>
      <c r="Q697" s="14" t="str">
        <f t="shared" si="30"/>
        <v/>
      </c>
      <c r="R697" s="14" t="str">
        <f t="shared" si="30"/>
        <v/>
      </c>
      <c r="S697" s="14" t="str">
        <f t="shared" si="31"/>
        <v/>
      </c>
      <c r="T697" s="14" t="s">
        <v>72</v>
      </c>
      <c r="U697" s="14">
        <v>1230.4614193548439</v>
      </c>
      <c r="V697">
        <v>7303</v>
      </c>
      <c r="W697">
        <v>13.7917724609375</v>
      </c>
      <c r="X697">
        <v>27.486122549519301</v>
      </c>
      <c r="Y697">
        <v>1.14512851658947</v>
      </c>
      <c r="Z697" s="31">
        <v>0.44821464489276602</v>
      </c>
      <c r="AA697">
        <v>8.9767645485752805</v>
      </c>
      <c r="AB697">
        <v>7.0000000000000007E-2</v>
      </c>
      <c r="AC697">
        <v>286994.32546822098</v>
      </c>
      <c r="AD697">
        <v>328407.60663328529</v>
      </c>
      <c r="AE697">
        <v>1</v>
      </c>
      <c r="AF697">
        <v>11857.558901934521</v>
      </c>
      <c r="AG697">
        <v>90527.76100156318</v>
      </c>
    </row>
    <row r="698" spans="2:33" hidden="1" x14ac:dyDescent="0.25">
      <c r="B698">
        <v>13</v>
      </c>
      <c r="C698" t="s">
        <v>43</v>
      </c>
      <c r="D698" t="s">
        <v>26</v>
      </c>
      <c r="E698" t="s">
        <v>69</v>
      </c>
      <c r="F698">
        <v>379895</v>
      </c>
      <c r="G698">
        <v>379895</v>
      </c>
      <c r="H698">
        <v>75</v>
      </c>
      <c r="I698" s="5">
        <v>0</v>
      </c>
      <c r="J698">
        <v>0</v>
      </c>
      <c r="K698">
        <v>533489</v>
      </c>
      <c r="L698">
        <v>457214</v>
      </c>
      <c r="M698">
        <v>339178</v>
      </c>
      <c r="N698">
        <v>38593</v>
      </c>
      <c r="O698" s="43">
        <v>221427684.72</v>
      </c>
      <c r="P698" s="14">
        <f t="shared" si="32"/>
        <v>572164.56000000238</v>
      </c>
      <c r="Q698" s="14" t="str">
        <f t="shared" si="30"/>
        <v/>
      </c>
      <c r="R698" s="14" t="str">
        <f t="shared" si="30"/>
        <v/>
      </c>
      <c r="S698" s="14" t="str">
        <f t="shared" si="31"/>
        <v/>
      </c>
      <c r="T698" s="14" t="s">
        <v>72</v>
      </c>
      <c r="U698" s="14">
        <v>0</v>
      </c>
      <c r="V698">
        <v>7303</v>
      </c>
      <c r="W698">
        <v>14.730615234375</v>
      </c>
      <c r="X698">
        <v>36.603950587033403</v>
      </c>
      <c r="Y698">
        <v>1.0638165220242199</v>
      </c>
      <c r="Z698" s="31">
        <v>0.95145370691636</v>
      </c>
      <c r="AA698">
        <v>8.6421697227514702</v>
      </c>
      <c r="AB698">
        <v>7.0000000000000007E-2</v>
      </c>
      <c r="AC698">
        <v>286994.32546822098</v>
      </c>
      <c r="AD698">
        <v>328407.60663328529</v>
      </c>
      <c r="AE698">
        <v>1</v>
      </c>
      <c r="AF698">
        <v>11857.558901934521</v>
      </c>
      <c r="AG698">
        <v>90527.76100156318</v>
      </c>
    </row>
    <row r="699" spans="2:33" hidden="1" x14ac:dyDescent="0.25">
      <c r="B699">
        <v>13</v>
      </c>
      <c r="C699" t="s">
        <v>43</v>
      </c>
      <c r="D699" t="s">
        <v>26</v>
      </c>
      <c r="E699" t="s">
        <v>69</v>
      </c>
      <c r="F699">
        <v>379895</v>
      </c>
      <c r="G699">
        <v>379895</v>
      </c>
      <c r="H699">
        <v>76</v>
      </c>
      <c r="I699" s="5">
        <v>0</v>
      </c>
      <c r="J699">
        <v>0</v>
      </c>
      <c r="K699">
        <v>533489</v>
      </c>
      <c r="L699">
        <v>457214</v>
      </c>
      <c r="M699">
        <v>339178</v>
      </c>
      <c r="N699">
        <v>38593</v>
      </c>
      <c r="O699" s="43">
        <v>221542117.632</v>
      </c>
      <c r="P699" s="14">
        <f t="shared" si="32"/>
        <v>114432.91200000048</v>
      </c>
      <c r="Q699" s="14" t="str">
        <f t="shared" si="30"/>
        <v/>
      </c>
      <c r="R699" s="14" t="str">
        <f t="shared" si="30"/>
        <v/>
      </c>
      <c r="S699" s="14" t="str">
        <f t="shared" si="31"/>
        <v/>
      </c>
      <c r="T699" s="14" t="s">
        <v>72</v>
      </c>
      <c r="U699" s="14">
        <v>0</v>
      </c>
      <c r="V699">
        <v>7303</v>
      </c>
      <c r="W699">
        <v>11.090966796875</v>
      </c>
      <c r="X699">
        <v>44.361392172722503</v>
      </c>
      <c r="Y699">
        <v>0.73599836503823501</v>
      </c>
      <c r="Z699" s="31">
        <v>2.5135701901517602</v>
      </c>
      <c r="AA699">
        <v>14.631288864640499</v>
      </c>
      <c r="AB699">
        <v>7.0000000000000007E-2</v>
      </c>
      <c r="AC699">
        <v>286994.32546822098</v>
      </c>
      <c r="AD699">
        <v>328407.60663328529</v>
      </c>
      <c r="AE699">
        <v>1</v>
      </c>
      <c r="AF699">
        <v>11857.558901934521</v>
      </c>
      <c r="AG699">
        <v>90527.76100156318</v>
      </c>
    </row>
    <row r="700" spans="2:33" hidden="1" x14ac:dyDescent="0.25">
      <c r="B700">
        <v>13</v>
      </c>
      <c r="C700" t="s">
        <v>43</v>
      </c>
      <c r="D700" t="s">
        <v>26</v>
      </c>
      <c r="E700" t="s">
        <v>69</v>
      </c>
      <c r="F700">
        <v>379895</v>
      </c>
      <c r="G700">
        <v>379895</v>
      </c>
      <c r="H700">
        <v>77</v>
      </c>
      <c r="I700" s="6">
        <v>0</v>
      </c>
      <c r="J700">
        <v>0</v>
      </c>
      <c r="K700">
        <v>533489</v>
      </c>
      <c r="L700">
        <v>457214</v>
      </c>
      <c r="M700">
        <v>339178</v>
      </c>
      <c r="N700">
        <v>38593</v>
      </c>
      <c r="O700" s="43">
        <v>221456979.545472</v>
      </c>
      <c r="P700" s="14">
        <f t="shared" si="32"/>
        <v>-85138.086528003216</v>
      </c>
      <c r="Q700" s="14">
        <f t="shared" si="30"/>
        <v>-85138.086528003216</v>
      </c>
      <c r="R700" s="14">
        <f t="shared" si="30"/>
        <v>-85138.086528003216</v>
      </c>
      <c r="S700" s="14">
        <f t="shared" si="31"/>
        <v>7248493777.6497631</v>
      </c>
      <c r="T700" s="14">
        <v>7248493777.6497631</v>
      </c>
      <c r="U700" s="14">
        <v>0</v>
      </c>
      <c r="V700">
        <v>7303</v>
      </c>
      <c r="W700">
        <v>5.4551025390625201</v>
      </c>
      <c r="X700">
        <v>85.138610701367796</v>
      </c>
      <c r="Y700">
        <v>0.13414455290024099</v>
      </c>
      <c r="Z700" s="31">
        <v>1.2091597675772401</v>
      </c>
      <c r="AA700">
        <v>6.16322524243561</v>
      </c>
      <c r="AB700">
        <v>7.0000000000000007E-2</v>
      </c>
      <c r="AC700">
        <v>286994.32546822098</v>
      </c>
      <c r="AD700">
        <v>328407.60663328529</v>
      </c>
      <c r="AE700">
        <v>1</v>
      </c>
      <c r="AF700">
        <v>11857.558901934521</v>
      </c>
      <c r="AG700">
        <v>90527.76100156318</v>
      </c>
    </row>
    <row r="701" spans="2:33" hidden="1" x14ac:dyDescent="0.25">
      <c r="B701">
        <v>13</v>
      </c>
      <c r="C701" t="s">
        <v>43</v>
      </c>
      <c r="D701" t="s">
        <v>26</v>
      </c>
      <c r="E701" t="s">
        <v>69</v>
      </c>
      <c r="F701">
        <v>379895</v>
      </c>
      <c r="G701">
        <v>379895</v>
      </c>
      <c r="H701">
        <v>78</v>
      </c>
      <c r="I701" s="6">
        <v>0</v>
      </c>
      <c r="J701">
        <v>0</v>
      </c>
      <c r="K701">
        <v>533489</v>
      </c>
      <c r="L701">
        <v>457214</v>
      </c>
      <c r="M701">
        <v>339178</v>
      </c>
      <c r="N701">
        <v>38593</v>
      </c>
      <c r="O701" s="43">
        <v>221459725.93536001</v>
      </c>
      <c r="P701" s="14">
        <f t="shared" si="32"/>
        <v>2746.3898880183697</v>
      </c>
      <c r="Q701" s="14" t="str">
        <f t="shared" si="30"/>
        <v/>
      </c>
      <c r="R701" s="14" t="str">
        <f t="shared" si="30"/>
        <v/>
      </c>
      <c r="S701" s="14" t="str">
        <f t="shared" si="31"/>
        <v/>
      </c>
      <c r="T701" s="14" t="s">
        <v>72</v>
      </c>
      <c r="U701" s="14">
        <v>0</v>
      </c>
      <c r="V701">
        <v>7303</v>
      </c>
      <c r="W701">
        <v>8.2536865234375192</v>
      </c>
      <c r="X701">
        <v>55.447231668022297</v>
      </c>
      <c r="Y701">
        <v>0.48724394091967799</v>
      </c>
      <c r="Z701" s="31">
        <v>1.0600147396383699</v>
      </c>
      <c r="AA701">
        <v>2.9727571863242401</v>
      </c>
      <c r="AB701">
        <v>7.0000000000000007E-2</v>
      </c>
      <c r="AC701">
        <v>286994.32546822098</v>
      </c>
      <c r="AD701">
        <v>328407.60663328529</v>
      </c>
      <c r="AE701">
        <v>1</v>
      </c>
      <c r="AF701">
        <v>11857.558901934521</v>
      </c>
      <c r="AG701">
        <v>90527.76100156318</v>
      </c>
    </row>
    <row r="702" spans="2:33" hidden="1" x14ac:dyDescent="0.25">
      <c r="B702">
        <v>13</v>
      </c>
      <c r="C702" t="s">
        <v>43</v>
      </c>
      <c r="D702" t="s">
        <v>26</v>
      </c>
      <c r="E702" t="s">
        <v>69</v>
      </c>
      <c r="F702">
        <v>379895</v>
      </c>
      <c r="G702">
        <v>379895</v>
      </c>
      <c r="H702">
        <v>79</v>
      </c>
      <c r="I702" s="6">
        <v>0</v>
      </c>
      <c r="J702">
        <v>0</v>
      </c>
      <c r="K702">
        <v>533489</v>
      </c>
      <c r="L702">
        <v>457214</v>
      </c>
      <c r="M702">
        <v>339178</v>
      </c>
      <c r="N702">
        <v>38593</v>
      </c>
      <c r="O702" s="43">
        <v>221465447.58096001</v>
      </c>
      <c r="P702" s="14">
        <f t="shared" si="32"/>
        <v>5721.6455999910831</v>
      </c>
      <c r="Q702" s="14" t="str">
        <f t="shared" si="30"/>
        <v/>
      </c>
      <c r="R702" s="14" t="str">
        <f t="shared" si="30"/>
        <v/>
      </c>
      <c r="S702" s="14" t="str">
        <f t="shared" si="31"/>
        <v/>
      </c>
      <c r="T702" s="14" t="s">
        <v>72</v>
      </c>
      <c r="U702" s="14">
        <v>0</v>
      </c>
      <c r="V702">
        <v>7303</v>
      </c>
      <c r="W702">
        <v>9.5875488281250192</v>
      </c>
      <c r="X702">
        <v>62.447354741014998</v>
      </c>
      <c r="Y702">
        <v>0.449357314511168</v>
      </c>
      <c r="Z702" s="31">
        <v>0.454539673205274</v>
      </c>
      <c r="AA702">
        <v>5.8779682458252003</v>
      </c>
      <c r="AB702">
        <v>7.0000000000000007E-2</v>
      </c>
      <c r="AC702">
        <v>286994.32546822098</v>
      </c>
      <c r="AD702">
        <v>328407.60663328529</v>
      </c>
      <c r="AE702">
        <v>1</v>
      </c>
      <c r="AF702">
        <v>11857.558901934521</v>
      </c>
      <c r="AG702">
        <v>90527.76100156318</v>
      </c>
    </row>
    <row r="703" spans="2:33" hidden="1" x14ac:dyDescent="0.25">
      <c r="B703">
        <v>13</v>
      </c>
      <c r="C703" t="s">
        <v>43</v>
      </c>
      <c r="D703" t="s">
        <v>26</v>
      </c>
      <c r="E703" t="s">
        <v>69</v>
      </c>
      <c r="F703">
        <v>379895</v>
      </c>
      <c r="G703">
        <v>379895</v>
      </c>
      <c r="H703">
        <v>80</v>
      </c>
      <c r="I703" s="6">
        <v>0</v>
      </c>
      <c r="J703">
        <v>0</v>
      </c>
      <c r="K703">
        <v>533489</v>
      </c>
      <c r="L703">
        <v>457214</v>
      </c>
      <c r="M703">
        <v>339178</v>
      </c>
      <c r="N703">
        <v>38593</v>
      </c>
      <c r="O703" s="43">
        <v>221471169.22656</v>
      </c>
      <c r="P703" s="14">
        <f t="shared" si="32"/>
        <v>5721.6455999910831</v>
      </c>
      <c r="Q703" s="14" t="str">
        <f t="shared" si="30"/>
        <v/>
      </c>
      <c r="R703" s="14" t="str">
        <f t="shared" si="30"/>
        <v/>
      </c>
      <c r="S703" s="14" t="str">
        <f t="shared" si="31"/>
        <v/>
      </c>
      <c r="T703" s="14" t="s">
        <v>72</v>
      </c>
      <c r="U703" s="14">
        <v>0</v>
      </c>
      <c r="V703">
        <v>7303</v>
      </c>
      <c r="W703">
        <v>10.320703125</v>
      </c>
      <c r="X703">
        <v>48.564065936169598</v>
      </c>
      <c r="Y703">
        <v>0.64642886324871995</v>
      </c>
      <c r="Z703" s="31">
        <v>0.87054519797711905</v>
      </c>
      <c r="AA703">
        <v>2.0783290051456902</v>
      </c>
      <c r="AB703">
        <v>7.0000000000000007E-2</v>
      </c>
      <c r="AC703">
        <v>286994.32546822098</v>
      </c>
      <c r="AD703">
        <v>328407.60663328529</v>
      </c>
      <c r="AE703">
        <v>1</v>
      </c>
      <c r="AF703">
        <v>11857.558901934521</v>
      </c>
      <c r="AG703">
        <v>90527.76100156318</v>
      </c>
    </row>
    <row r="704" spans="2:33" hidden="1" x14ac:dyDescent="0.25">
      <c r="B704">
        <v>13</v>
      </c>
      <c r="C704" t="s">
        <v>43</v>
      </c>
      <c r="D704" t="s">
        <v>26</v>
      </c>
      <c r="E704" t="s">
        <v>69</v>
      </c>
      <c r="F704">
        <v>379895</v>
      </c>
      <c r="G704">
        <v>379895</v>
      </c>
      <c r="H704">
        <v>81</v>
      </c>
      <c r="I704" s="6">
        <v>0</v>
      </c>
      <c r="J704">
        <v>0</v>
      </c>
      <c r="K704">
        <v>533489</v>
      </c>
      <c r="L704">
        <v>457214</v>
      </c>
      <c r="M704">
        <v>339178</v>
      </c>
      <c r="N704">
        <v>38593</v>
      </c>
      <c r="O704" s="43">
        <v>220855520.16</v>
      </c>
      <c r="P704" s="14">
        <f t="shared" si="32"/>
        <v>-615649.06656000018</v>
      </c>
      <c r="Q704" s="14">
        <f t="shared" si="30"/>
        <v>-615649.06656000018</v>
      </c>
      <c r="R704" s="14">
        <f t="shared" si="30"/>
        <v>-615649.06656000018</v>
      </c>
      <c r="S704" s="14">
        <f t="shared" si="31"/>
        <v>379023773156.19952</v>
      </c>
      <c r="T704" s="14">
        <v>379023773156.19952</v>
      </c>
      <c r="U704" s="14">
        <v>0</v>
      </c>
      <c r="V704">
        <v>7303</v>
      </c>
      <c r="W704">
        <v>9.0792480468750192</v>
      </c>
      <c r="X704">
        <v>52.4649999942704</v>
      </c>
      <c r="Y704">
        <v>0.54969499739858496</v>
      </c>
      <c r="Z704" s="31">
        <v>1.1937851451624999</v>
      </c>
      <c r="AA704">
        <v>3.7136835775846002</v>
      </c>
      <c r="AB704">
        <v>7.0000000000000007E-2</v>
      </c>
      <c r="AC704">
        <v>286994.32546822098</v>
      </c>
      <c r="AD704">
        <v>328407.60663328529</v>
      </c>
      <c r="AE704">
        <v>1</v>
      </c>
      <c r="AF704">
        <v>11857.558901934521</v>
      </c>
      <c r="AG704">
        <v>90527.76100156318</v>
      </c>
    </row>
    <row r="705" spans="2:33" x14ac:dyDescent="0.25">
      <c r="B705">
        <v>14</v>
      </c>
      <c r="C705" t="s">
        <v>44</v>
      </c>
      <c r="D705" t="s">
        <v>26</v>
      </c>
      <c r="E705" t="s">
        <v>68</v>
      </c>
      <c r="F705">
        <v>0</v>
      </c>
      <c r="G705">
        <v>963309</v>
      </c>
      <c r="H705">
        <v>1</v>
      </c>
      <c r="I705" s="6">
        <v>0</v>
      </c>
      <c r="J705">
        <v>0</v>
      </c>
      <c r="K705">
        <v>918494</v>
      </c>
      <c r="L705">
        <v>2468957</v>
      </c>
      <c r="M705">
        <v>367812</v>
      </c>
      <c r="N705">
        <v>213773</v>
      </c>
      <c r="O705" s="43">
        <v>0</v>
      </c>
      <c r="P705" s="14">
        <v>0</v>
      </c>
      <c r="Q705" s="14" t="str">
        <f t="shared" si="30"/>
        <v/>
      </c>
      <c r="R705" s="14" t="str">
        <f t="shared" si="30"/>
        <v/>
      </c>
      <c r="S705" s="14" t="str">
        <f t="shared" si="31"/>
        <v/>
      </c>
      <c r="T705" s="14" t="s">
        <v>72</v>
      </c>
      <c r="U705" s="14">
        <v>0</v>
      </c>
      <c r="V705">
        <v>6421</v>
      </c>
      <c r="W705">
        <v>35.763940429687501</v>
      </c>
      <c r="X705">
        <v>5.5262796251087698</v>
      </c>
      <c r="Y705">
        <v>5.5414557912533304</v>
      </c>
      <c r="Z705" s="31">
        <v>4.4918456950000003</v>
      </c>
      <c r="AA705">
        <v>8.3945491129854606</v>
      </c>
      <c r="AB705">
        <v>6.8733000000000002E-2</v>
      </c>
      <c r="AC705">
        <v>395343.329528915</v>
      </c>
      <c r="AD705">
        <v>447054.23703129712</v>
      </c>
      <c r="AE705">
        <v>1</v>
      </c>
      <c r="AF705">
        <v>24972.135131998239</v>
      </c>
      <c r="AG705">
        <v>85329.432476189802</v>
      </c>
    </row>
    <row r="706" spans="2:33" x14ac:dyDescent="0.25">
      <c r="B706">
        <v>14</v>
      </c>
      <c r="C706" t="s">
        <v>44</v>
      </c>
      <c r="D706" t="s">
        <v>26</v>
      </c>
      <c r="E706" t="s">
        <v>68</v>
      </c>
      <c r="F706">
        <v>1956</v>
      </c>
      <c r="G706">
        <v>963309</v>
      </c>
      <c r="H706">
        <v>2</v>
      </c>
      <c r="I706" s="6">
        <v>0</v>
      </c>
      <c r="J706">
        <v>0.21523311834520389</v>
      </c>
      <c r="K706">
        <v>918494</v>
      </c>
      <c r="L706">
        <v>2468957</v>
      </c>
      <c r="M706">
        <v>367812</v>
      </c>
      <c r="N706">
        <v>213773</v>
      </c>
      <c r="O706" s="43">
        <v>1008637.92</v>
      </c>
      <c r="P706" s="14">
        <f t="shared" si="32"/>
        <v>1008637.92</v>
      </c>
      <c r="Q706" s="14" t="str">
        <f t="shared" si="30"/>
        <v/>
      </c>
      <c r="R706" s="14" t="str">
        <f t="shared" si="30"/>
        <v/>
      </c>
      <c r="S706" s="14" t="str">
        <f t="shared" si="31"/>
        <v/>
      </c>
      <c r="T706" s="14" t="s">
        <v>72</v>
      </c>
      <c r="U706" s="14">
        <v>0</v>
      </c>
      <c r="V706">
        <v>6421</v>
      </c>
      <c r="W706">
        <v>32.894128417968702</v>
      </c>
      <c r="X706">
        <v>13.808428210291799</v>
      </c>
      <c r="Y706">
        <v>4.3104356953740801</v>
      </c>
      <c r="Z706" s="31">
        <v>4.3078991880000004</v>
      </c>
      <c r="AA706">
        <v>6.58102465583596</v>
      </c>
      <c r="AB706">
        <v>6.8733000000000002E-2</v>
      </c>
      <c r="AC706">
        <v>395343.329528915</v>
      </c>
      <c r="AD706">
        <v>447054.23703129712</v>
      </c>
      <c r="AE706">
        <v>1</v>
      </c>
      <c r="AF706">
        <v>24972.135131998239</v>
      </c>
      <c r="AG706">
        <v>85329.432476189802</v>
      </c>
    </row>
    <row r="707" spans="2:33" x14ac:dyDescent="0.25">
      <c r="B707">
        <v>14</v>
      </c>
      <c r="C707" t="s">
        <v>44</v>
      </c>
      <c r="D707" t="s">
        <v>26</v>
      </c>
      <c r="E707" t="s">
        <v>68</v>
      </c>
      <c r="F707">
        <v>6892</v>
      </c>
      <c r="G707">
        <v>963309</v>
      </c>
      <c r="H707">
        <v>3</v>
      </c>
      <c r="I707" s="6">
        <v>0</v>
      </c>
      <c r="J707">
        <v>0.54314451541509523</v>
      </c>
      <c r="K707">
        <v>918494</v>
      </c>
      <c r="L707">
        <v>2468957</v>
      </c>
      <c r="M707">
        <v>367812</v>
      </c>
      <c r="N707">
        <v>213773</v>
      </c>
      <c r="O707" s="43">
        <v>4523040</v>
      </c>
      <c r="P707" s="14">
        <f t="shared" si="32"/>
        <v>3514402.08</v>
      </c>
      <c r="Q707" s="14" t="str">
        <f t="shared" ref="Q707:R770" si="33">IF(P707&gt;=0,"",P707)</f>
        <v/>
      </c>
      <c r="R707" s="14" t="str">
        <f t="shared" si="33"/>
        <v/>
      </c>
      <c r="S707" s="14" t="str">
        <f t="shared" ref="S707:S770" si="34">IFERROR(IF(ISNA(Q707),NA(),Q707^2),"")</f>
        <v/>
      </c>
      <c r="T707" s="14" t="s">
        <v>72</v>
      </c>
      <c r="U707" s="14">
        <v>0</v>
      </c>
      <c r="V707">
        <v>6421</v>
      </c>
      <c r="W707">
        <v>31.980584716796798</v>
      </c>
      <c r="X707">
        <v>11.128624938019099</v>
      </c>
      <c r="Y707">
        <v>4.2219584187913197</v>
      </c>
      <c r="Z707" s="31">
        <v>4.3733774952165998</v>
      </c>
      <c r="AA707">
        <v>7.0321797495961604</v>
      </c>
      <c r="AB707">
        <v>6.8733000000000002E-2</v>
      </c>
      <c r="AC707">
        <v>395343.329528915</v>
      </c>
      <c r="AD707">
        <v>447054.23703129712</v>
      </c>
      <c r="AE707">
        <v>1</v>
      </c>
      <c r="AF707">
        <v>24972.135131998239</v>
      </c>
      <c r="AG707">
        <v>85329.432476189802</v>
      </c>
    </row>
    <row r="708" spans="2:33" x14ac:dyDescent="0.25">
      <c r="B708">
        <v>14</v>
      </c>
      <c r="C708" t="s">
        <v>44</v>
      </c>
      <c r="D708" t="s">
        <v>26</v>
      </c>
      <c r="E708" t="s">
        <v>68</v>
      </c>
      <c r="F708">
        <v>9847</v>
      </c>
      <c r="G708">
        <v>963309</v>
      </c>
      <c r="H708">
        <v>4</v>
      </c>
      <c r="I708">
        <v>0</v>
      </c>
      <c r="J708">
        <v>0.32516046253071451</v>
      </c>
      <c r="K708">
        <v>918494</v>
      </c>
      <c r="L708">
        <v>2468957</v>
      </c>
      <c r="M708">
        <v>367812</v>
      </c>
      <c r="N708">
        <v>213773</v>
      </c>
      <c r="O708" s="43">
        <v>3169520.28</v>
      </c>
      <c r="P708" s="14">
        <f t="shared" ref="P708:P771" si="35">O708-O707</f>
        <v>-1353519.7200000002</v>
      </c>
      <c r="Q708" s="14">
        <f t="shared" si="33"/>
        <v>-1353519.7200000002</v>
      </c>
      <c r="R708" s="14">
        <f t="shared" si="33"/>
        <v>-1353519.7200000002</v>
      </c>
      <c r="S708" s="14">
        <f t="shared" si="34"/>
        <v>1832015632428.8789</v>
      </c>
      <c r="T708" s="14">
        <v>1832015632428.8789</v>
      </c>
      <c r="U708" s="14">
        <v>0</v>
      </c>
      <c r="V708">
        <v>6421</v>
      </c>
      <c r="W708">
        <v>29.135583496093702</v>
      </c>
      <c r="X708">
        <v>12.6643706607978</v>
      </c>
      <c r="Y708">
        <v>3.5270544860865001</v>
      </c>
      <c r="Z708" s="31">
        <v>4.1744279730524898</v>
      </c>
      <c r="AA708">
        <v>5.9164144959312601</v>
      </c>
      <c r="AB708">
        <v>6.8733000000000002E-2</v>
      </c>
      <c r="AC708">
        <v>395343.329528915</v>
      </c>
      <c r="AD708">
        <v>447054.23703129712</v>
      </c>
      <c r="AE708">
        <v>1</v>
      </c>
      <c r="AF708">
        <v>24972.135131998239</v>
      </c>
      <c r="AG708">
        <v>85329.432476189802</v>
      </c>
    </row>
    <row r="709" spans="2:33" x14ac:dyDescent="0.25">
      <c r="B709">
        <v>14</v>
      </c>
      <c r="C709" t="s">
        <v>44</v>
      </c>
      <c r="D709" t="s">
        <v>26</v>
      </c>
      <c r="E709" t="s">
        <v>68</v>
      </c>
      <c r="F709">
        <v>13482</v>
      </c>
      <c r="G709">
        <v>963309</v>
      </c>
      <c r="H709">
        <v>5</v>
      </c>
      <c r="I709">
        <v>1956</v>
      </c>
      <c r="J709">
        <v>0.39998588199632717</v>
      </c>
      <c r="K709">
        <v>918494</v>
      </c>
      <c r="L709">
        <v>2468957</v>
      </c>
      <c r="M709">
        <v>367812</v>
      </c>
      <c r="N709">
        <v>213773</v>
      </c>
      <c r="O709" s="43">
        <v>3169520.28</v>
      </c>
      <c r="P709" s="14">
        <f t="shared" si="35"/>
        <v>0</v>
      </c>
      <c r="Q709" s="14" t="str">
        <f t="shared" si="33"/>
        <v/>
      </c>
      <c r="R709" s="14" t="str">
        <f t="shared" si="33"/>
        <v/>
      </c>
      <c r="S709" s="14" t="str">
        <f t="shared" si="34"/>
        <v/>
      </c>
      <c r="T709" s="14" t="s">
        <v>72</v>
      </c>
      <c r="U709" s="14">
        <v>0</v>
      </c>
      <c r="V709">
        <v>6421</v>
      </c>
      <c r="W709">
        <v>29.511865234375001</v>
      </c>
      <c r="X709">
        <v>11.5510990022992</v>
      </c>
      <c r="Y709">
        <v>3.6503356378619198</v>
      </c>
      <c r="Z709" s="31">
        <v>3.7766856809758198</v>
      </c>
      <c r="AA709">
        <v>5.8972179979004498</v>
      </c>
      <c r="AB709">
        <v>6.8733000000000002E-2</v>
      </c>
      <c r="AC709">
        <v>395343.329528915</v>
      </c>
      <c r="AD709">
        <v>447054.23703129712</v>
      </c>
      <c r="AE709">
        <v>1</v>
      </c>
      <c r="AF709">
        <v>24972.135131998239</v>
      </c>
      <c r="AG709">
        <v>85329.432476189802</v>
      </c>
    </row>
    <row r="710" spans="2:33" x14ac:dyDescent="0.25">
      <c r="B710">
        <v>14</v>
      </c>
      <c r="C710" t="s">
        <v>44</v>
      </c>
      <c r="D710" t="s">
        <v>26</v>
      </c>
      <c r="E710" t="s">
        <v>68</v>
      </c>
      <c r="F710">
        <v>18702</v>
      </c>
      <c r="G710">
        <v>963309</v>
      </c>
      <c r="H710">
        <v>6</v>
      </c>
      <c r="I710">
        <v>4936</v>
      </c>
      <c r="J710">
        <v>0.57439513178014534</v>
      </c>
      <c r="K710">
        <v>918494</v>
      </c>
      <c r="L710">
        <v>2468957</v>
      </c>
      <c r="M710">
        <v>367812</v>
      </c>
      <c r="N710">
        <v>213773</v>
      </c>
      <c r="O710" s="43">
        <v>7906892.4457200002</v>
      </c>
      <c r="P710" s="14">
        <f t="shared" si="35"/>
        <v>4737372.1657200009</v>
      </c>
      <c r="Q710" s="14" t="str">
        <f t="shared" si="33"/>
        <v/>
      </c>
      <c r="R710" s="14" t="str">
        <f t="shared" si="33"/>
        <v/>
      </c>
      <c r="S710" s="14" t="str">
        <f t="shared" si="34"/>
        <v/>
      </c>
      <c r="T710" s="14" t="s">
        <v>72</v>
      </c>
      <c r="U710" s="14">
        <v>959.7593528606161</v>
      </c>
      <c r="V710">
        <v>6421</v>
      </c>
      <c r="W710">
        <v>30.773980712890602</v>
      </c>
      <c r="X710">
        <v>11.1845910545885</v>
      </c>
      <c r="Y710">
        <v>3.9401517783687101</v>
      </c>
      <c r="Z710" s="31">
        <v>3.9119469756648702</v>
      </c>
      <c r="AA710">
        <v>6.2703156210286801</v>
      </c>
      <c r="AB710">
        <v>6.8733000000000002E-2</v>
      </c>
      <c r="AC710">
        <v>395343.329528915</v>
      </c>
      <c r="AD710">
        <v>447054.23703129712</v>
      </c>
      <c r="AE710">
        <v>1</v>
      </c>
      <c r="AF710">
        <v>24972.135131998239</v>
      </c>
      <c r="AG710">
        <v>85329.432476189802</v>
      </c>
    </row>
    <row r="711" spans="2:33" x14ac:dyDescent="0.25">
      <c r="B711">
        <v>14</v>
      </c>
      <c r="C711" t="s">
        <v>44</v>
      </c>
      <c r="D711" t="s">
        <v>26</v>
      </c>
      <c r="E711" t="s">
        <v>68</v>
      </c>
      <c r="F711">
        <v>18702</v>
      </c>
      <c r="G711">
        <v>963309</v>
      </c>
      <c r="H711">
        <v>7</v>
      </c>
      <c r="I711">
        <v>2955</v>
      </c>
      <c r="J711">
        <v>0</v>
      </c>
      <c r="K711">
        <v>918494</v>
      </c>
      <c r="L711">
        <v>2468957</v>
      </c>
      <c r="M711">
        <v>367812</v>
      </c>
      <c r="N711">
        <v>213773</v>
      </c>
      <c r="O711" s="43">
        <v>7906892.4457200002</v>
      </c>
      <c r="P711" s="14">
        <f t="shared" si="35"/>
        <v>0</v>
      </c>
      <c r="Q711" s="14" t="str">
        <f t="shared" si="33"/>
        <v/>
      </c>
      <c r="R711" s="14" t="str">
        <f t="shared" si="33"/>
        <v/>
      </c>
      <c r="S711" s="14" t="str">
        <f t="shared" si="34"/>
        <v/>
      </c>
      <c r="T711" s="14" t="s">
        <v>72</v>
      </c>
      <c r="U711" s="14">
        <v>-2675.7673251167512</v>
      </c>
      <c r="V711">
        <v>6421</v>
      </c>
      <c r="W711">
        <v>32.062310791015598</v>
      </c>
      <c r="X711">
        <v>14.834145404666501</v>
      </c>
      <c r="Y711">
        <v>4.0643189608776904</v>
      </c>
      <c r="Z711" s="31">
        <v>4.3214062525327597</v>
      </c>
      <c r="AA711">
        <v>6.5660981149457296</v>
      </c>
      <c r="AB711">
        <v>6.8733000000000002E-2</v>
      </c>
      <c r="AC711">
        <v>395343.329528915</v>
      </c>
      <c r="AD711">
        <v>447054.23703129712</v>
      </c>
      <c r="AE711">
        <v>1</v>
      </c>
      <c r="AF711">
        <v>24972.135131998239</v>
      </c>
      <c r="AG711">
        <v>85329.432476189802</v>
      </c>
    </row>
    <row r="712" spans="2:33" x14ac:dyDescent="0.25">
      <c r="B712">
        <v>14</v>
      </c>
      <c r="C712" t="s">
        <v>44</v>
      </c>
      <c r="D712" t="s">
        <v>26</v>
      </c>
      <c r="E712" t="s">
        <v>68</v>
      </c>
      <c r="F712">
        <v>59984</v>
      </c>
      <c r="G712">
        <v>963309</v>
      </c>
      <c r="H712">
        <v>8</v>
      </c>
      <c r="I712">
        <v>3635</v>
      </c>
      <c r="J712">
        <v>4.5425631858520994</v>
      </c>
      <c r="K712">
        <v>918494</v>
      </c>
      <c r="L712">
        <v>2468957</v>
      </c>
      <c r="M712">
        <v>367812</v>
      </c>
      <c r="N712">
        <v>213773</v>
      </c>
      <c r="O712" s="43">
        <v>16088011.15284</v>
      </c>
      <c r="P712" s="14">
        <f t="shared" si="35"/>
        <v>8181118.7071199995</v>
      </c>
      <c r="Q712" s="14" t="str">
        <f t="shared" si="33"/>
        <v/>
      </c>
      <c r="R712" s="14" t="str">
        <f t="shared" si="33"/>
        <v/>
      </c>
      <c r="S712" s="14" t="str">
        <f t="shared" si="34"/>
        <v/>
      </c>
      <c r="T712" s="14" t="s">
        <v>72</v>
      </c>
      <c r="U712" s="14">
        <v>4425.8627655680875</v>
      </c>
      <c r="V712">
        <v>6421</v>
      </c>
      <c r="W712">
        <v>28.187280273437501</v>
      </c>
      <c r="X712">
        <v>29.3478219914935</v>
      </c>
      <c r="Y712">
        <v>2.70006620689451</v>
      </c>
      <c r="Z712" s="31">
        <v>3.0226442083110601</v>
      </c>
      <c r="AA712">
        <v>7.0541955771680698</v>
      </c>
      <c r="AB712">
        <v>6.8733000000000002E-2</v>
      </c>
      <c r="AC712">
        <v>395343.329528915</v>
      </c>
      <c r="AD712">
        <v>447054.23703129712</v>
      </c>
      <c r="AE712">
        <v>1</v>
      </c>
      <c r="AF712">
        <v>24972.135131998239</v>
      </c>
      <c r="AG712">
        <v>85329.432476189802</v>
      </c>
    </row>
    <row r="713" spans="2:33" x14ac:dyDescent="0.25">
      <c r="B713">
        <v>14</v>
      </c>
      <c r="C713" t="s">
        <v>44</v>
      </c>
      <c r="D713" t="s">
        <v>26</v>
      </c>
      <c r="E713" t="s">
        <v>68</v>
      </c>
      <c r="F713">
        <v>91268</v>
      </c>
      <c r="G713">
        <v>963309</v>
      </c>
      <c r="H713">
        <v>9</v>
      </c>
      <c r="I713">
        <v>5220</v>
      </c>
      <c r="J713">
        <v>3.4424094449444569</v>
      </c>
      <c r="K713">
        <v>918494</v>
      </c>
      <c r="L713">
        <v>2468957</v>
      </c>
      <c r="M713">
        <v>367812</v>
      </c>
      <c r="N713">
        <v>213773</v>
      </c>
      <c r="O713" s="43">
        <v>25811993.08044</v>
      </c>
      <c r="P713" s="14">
        <f t="shared" si="35"/>
        <v>9723981.9276000001</v>
      </c>
      <c r="Q713" s="14" t="str">
        <f t="shared" si="33"/>
        <v/>
      </c>
      <c r="R713" s="14" t="str">
        <f t="shared" si="33"/>
        <v/>
      </c>
      <c r="S713" s="14" t="str">
        <f t="shared" si="34"/>
        <v/>
      </c>
      <c r="T713" s="14" t="s">
        <v>72</v>
      </c>
      <c r="U713" s="14">
        <v>1862.8317868965516</v>
      </c>
      <c r="V713">
        <v>6421</v>
      </c>
      <c r="W713">
        <v>30.033685302734401</v>
      </c>
      <c r="X713">
        <v>12.774365723851901</v>
      </c>
      <c r="Y713">
        <v>3.70925997426487</v>
      </c>
      <c r="Z713" s="31">
        <v>4.2939676505059303</v>
      </c>
      <c r="AA713">
        <v>7.5272076029999999</v>
      </c>
      <c r="AB713">
        <v>6.8733000000000002E-2</v>
      </c>
      <c r="AC713">
        <v>395343.329528915</v>
      </c>
      <c r="AD713">
        <v>447054.23703129712</v>
      </c>
      <c r="AE713">
        <v>1</v>
      </c>
      <c r="AF713">
        <v>24972.135131998239</v>
      </c>
      <c r="AG713">
        <v>85329.432476189802</v>
      </c>
    </row>
    <row r="714" spans="2:33" x14ac:dyDescent="0.25">
      <c r="B714">
        <v>14</v>
      </c>
      <c r="C714" t="s">
        <v>44</v>
      </c>
      <c r="D714" t="s">
        <v>26</v>
      </c>
      <c r="E714" t="s">
        <v>68</v>
      </c>
      <c r="F714">
        <v>91268</v>
      </c>
      <c r="G714">
        <v>963309</v>
      </c>
      <c r="H714">
        <v>10</v>
      </c>
      <c r="I714">
        <v>0</v>
      </c>
      <c r="J714">
        <v>0</v>
      </c>
      <c r="K714">
        <v>918494</v>
      </c>
      <c r="L714">
        <v>2468957</v>
      </c>
      <c r="M714">
        <v>367812</v>
      </c>
      <c r="N714">
        <v>213773</v>
      </c>
      <c r="O714" s="43">
        <v>25811993.08044</v>
      </c>
      <c r="P714" s="14">
        <f t="shared" si="35"/>
        <v>0</v>
      </c>
      <c r="Q714" s="14" t="str">
        <f t="shared" si="33"/>
        <v/>
      </c>
      <c r="R714" s="14" t="str">
        <f t="shared" si="33"/>
        <v/>
      </c>
      <c r="S714" s="14" t="str">
        <f t="shared" si="34"/>
        <v/>
      </c>
      <c r="T714" s="14" t="s">
        <v>72</v>
      </c>
      <c r="U714" s="14">
        <v>0</v>
      </c>
      <c r="V714">
        <v>6421</v>
      </c>
      <c r="W714">
        <v>30.449090576171798</v>
      </c>
      <c r="X714">
        <v>9.3116586048818402</v>
      </c>
      <c r="Y714">
        <v>3.9494460084435001</v>
      </c>
      <c r="Z714" s="31">
        <v>4.3991931890004299</v>
      </c>
      <c r="AA714">
        <v>8.4250666247345691</v>
      </c>
      <c r="AB714">
        <v>6.8733000000000002E-2</v>
      </c>
      <c r="AC714">
        <v>395343.329528915</v>
      </c>
      <c r="AD714">
        <v>447054.23703129712</v>
      </c>
      <c r="AE714">
        <v>1</v>
      </c>
      <c r="AF714">
        <v>24972.135131998239</v>
      </c>
      <c r="AG714">
        <v>85329.432476189802</v>
      </c>
    </row>
    <row r="715" spans="2:33" x14ac:dyDescent="0.25">
      <c r="B715">
        <v>14</v>
      </c>
      <c r="C715" t="s">
        <v>44</v>
      </c>
      <c r="D715" t="s">
        <v>26</v>
      </c>
      <c r="E715" t="s">
        <v>68</v>
      </c>
      <c r="F715">
        <v>142940</v>
      </c>
      <c r="G715">
        <v>963309</v>
      </c>
      <c r="H715">
        <v>11</v>
      </c>
      <c r="I715">
        <v>41282</v>
      </c>
      <c r="J715">
        <v>5.6858515803340364</v>
      </c>
      <c r="K715">
        <v>918494</v>
      </c>
      <c r="L715">
        <v>2468957</v>
      </c>
      <c r="M715">
        <v>367812</v>
      </c>
      <c r="N715">
        <v>213773</v>
      </c>
      <c r="O715" s="43">
        <v>33873835.830480002</v>
      </c>
      <c r="P715" s="14">
        <f t="shared" si="35"/>
        <v>8061842.7500400022</v>
      </c>
      <c r="Q715" s="14" t="str">
        <f t="shared" si="33"/>
        <v/>
      </c>
      <c r="R715" s="14" t="str">
        <f t="shared" si="33"/>
        <v/>
      </c>
      <c r="S715" s="14" t="str">
        <f t="shared" si="34"/>
        <v/>
      </c>
      <c r="T715" s="14" t="s">
        <v>72</v>
      </c>
      <c r="U715" s="14">
        <v>820.54735309529576</v>
      </c>
      <c r="V715">
        <v>6421</v>
      </c>
      <c r="W715">
        <v>30.755792236328102</v>
      </c>
      <c r="X715">
        <v>13.484838119999999</v>
      </c>
      <c r="Y715">
        <v>3.8339795512745298</v>
      </c>
      <c r="Z715" s="31">
        <v>4.1684276388302104</v>
      </c>
      <c r="AA715">
        <v>7.2666022778197803</v>
      </c>
      <c r="AB715">
        <v>6.8733000000000002E-2</v>
      </c>
      <c r="AC715">
        <v>395343.329528915</v>
      </c>
      <c r="AD715">
        <v>447054.23703129712</v>
      </c>
      <c r="AE715">
        <v>1</v>
      </c>
      <c r="AF715">
        <v>24972.135131998239</v>
      </c>
      <c r="AG715">
        <v>85329.432476189802</v>
      </c>
    </row>
    <row r="716" spans="2:33" x14ac:dyDescent="0.25">
      <c r="B716">
        <v>14</v>
      </c>
      <c r="C716" t="s">
        <v>44</v>
      </c>
      <c r="D716" t="s">
        <v>26</v>
      </c>
      <c r="E716" t="s">
        <v>68</v>
      </c>
      <c r="F716">
        <v>190625</v>
      </c>
      <c r="G716">
        <v>963309</v>
      </c>
      <c r="H716">
        <v>12</v>
      </c>
      <c r="I716">
        <v>31284</v>
      </c>
      <c r="J716">
        <v>5.2471325400260973</v>
      </c>
      <c r="K716">
        <v>918494</v>
      </c>
      <c r="L716">
        <v>2468957</v>
      </c>
      <c r="M716">
        <v>367812</v>
      </c>
      <c r="N716">
        <v>213773</v>
      </c>
      <c r="O716" s="43">
        <v>46813495.661279999</v>
      </c>
      <c r="P716" s="14">
        <f t="shared" si="35"/>
        <v>12939659.830799997</v>
      </c>
      <c r="Q716" s="14" t="str">
        <f t="shared" si="33"/>
        <v/>
      </c>
      <c r="R716" s="14" t="str">
        <f t="shared" si="33"/>
        <v/>
      </c>
      <c r="S716" s="14" t="str">
        <f t="shared" si="34"/>
        <v/>
      </c>
      <c r="T716" s="14" t="s">
        <v>72</v>
      </c>
      <c r="U716" s="14">
        <v>413.61909700805512</v>
      </c>
      <c r="V716">
        <v>6421</v>
      </c>
      <c r="W716">
        <v>33.464471439999997</v>
      </c>
      <c r="X716">
        <v>12.528832962447501</v>
      </c>
      <c r="Y716">
        <v>4.51646000986542</v>
      </c>
      <c r="Z716" s="31">
        <v>3.22500293171694</v>
      </c>
      <c r="AA716">
        <v>5.0092794896561896</v>
      </c>
      <c r="AB716">
        <v>6.8733000000000002E-2</v>
      </c>
      <c r="AC716">
        <v>395343.329528915</v>
      </c>
      <c r="AD716">
        <v>447054.23703129712</v>
      </c>
      <c r="AE716">
        <v>1</v>
      </c>
      <c r="AF716">
        <v>24972.135131998239</v>
      </c>
      <c r="AG716">
        <v>85329.432476189802</v>
      </c>
    </row>
    <row r="717" spans="2:33" x14ac:dyDescent="0.25">
      <c r="B717">
        <v>14</v>
      </c>
      <c r="C717" t="s">
        <v>44</v>
      </c>
      <c r="D717" t="s">
        <v>26</v>
      </c>
      <c r="E717" t="s">
        <v>68</v>
      </c>
      <c r="F717">
        <v>197487</v>
      </c>
      <c r="G717">
        <v>963309</v>
      </c>
      <c r="H717">
        <v>13</v>
      </c>
      <c r="I717">
        <v>0</v>
      </c>
      <c r="J717">
        <v>0.75507651231328676</v>
      </c>
      <c r="K717">
        <v>918494</v>
      </c>
      <c r="L717">
        <v>2468957</v>
      </c>
      <c r="M717">
        <v>367812</v>
      </c>
      <c r="N717">
        <v>213773</v>
      </c>
      <c r="O717" s="43">
        <v>54326193.863399997</v>
      </c>
      <c r="P717" s="14">
        <f t="shared" si="35"/>
        <v>7512698.2021199986</v>
      </c>
      <c r="Q717" s="14" t="str">
        <f t="shared" si="33"/>
        <v/>
      </c>
      <c r="R717" s="14" t="str">
        <f t="shared" si="33"/>
        <v/>
      </c>
      <c r="S717" s="14" t="str">
        <f t="shared" si="34"/>
        <v/>
      </c>
      <c r="T717" s="14" t="s">
        <v>72</v>
      </c>
      <c r="U717" s="14">
        <v>0</v>
      </c>
      <c r="V717">
        <v>6421</v>
      </c>
      <c r="W717">
        <v>33.804284667968702</v>
      </c>
      <c r="X717">
        <v>13.7274061652003</v>
      </c>
      <c r="Y717">
        <v>4.5396819649455002</v>
      </c>
      <c r="Z717" s="31">
        <v>2.5322324780874199</v>
      </c>
      <c r="AA717">
        <v>3.1017213248958</v>
      </c>
      <c r="AB717">
        <v>6.8733000000000002E-2</v>
      </c>
      <c r="AC717">
        <v>395343.329528915</v>
      </c>
      <c r="AD717">
        <v>447054.23703129712</v>
      </c>
      <c r="AE717">
        <v>1</v>
      </c>
      <c r="AF717">
        <v>24972.135131998239</v>
      </c>
      <c r="AG717">
        <v>85329.432476189802</v>
      </c>
    </row>
    <row r="718" spans="2:33" x14ac:dyDescent="0.25">
      <c r="B718">
        <v>14</v>
      </c>
      <c r="C718" t="s">
        <v>44</v>
      </c>
      <c r="D718" t="s">
        <v>26</v>
      </c>
      <c r="E718" t="s">
        <v>68</v>
      </c>
      <c r="F718">
        <v>208206</v>
      </c>
      <c r="G718">
        <v>963309</v>
      </c>
      <c r="H718">
        <v>14</v>
      </c>
      <c r="I718">
        <v>51672</v>
      </c>
      <c r="J718">
        <v>1.1794906930175051</v>
      </c>
      <c r="K718">
        <v>918494</v>
      </c>
      <c r="L718">
        <v>2468957</v>
      </c>
      <c r="M718">
        <v>367812</v>
      </c>
      <c r="N718">
        <v>213773</v>
      </c>
      <c r="O718" s="43">
        <v>62192867.43744</v>
      </c>
      <c r="P718" s="14">
        <f t="shared" si="35"/>
        <v>7866673.5740400031</v>
      </c>
      <c r="Q718" s="14" t="str">
        <f t="shared" si="33"/>
        <v/>
      </c>
      <c r="R718" s="14" t="str">
        <f t="shared" si="33"/>
        <v/>
      </c>
      <c r="S718" s="14" t="str">
        <f t="shared" si="34"/>
        <v/>
      </c>
      <c r="T718" s="14" t="s">
        <v>72</v>
      </c>
      <c r="U718" s="14">
        <v>152.24248285415706</v>
      </c>
      <c r="V718">
        <v>6421</v>
      </c>
      <c r="W718">
        <v>34.776269531250001</v>
      </c>
      <c r="X718">
        <v>15.5581815085727</v>
      </c>
      <c r="Y718">
        <v>4.6894330977425396</v>
      </c>
      <c r="Z718" s="31">
        <v>3.0594053279501701</v>
      </c>
      <c r="AA718">
        <v>2.6243505831644098</v>
      </c>
      <c r="AB718">
        <v>6.8733000000000002E-2</v>
      </c>
      <c r="AC718">
        <v>395343.329528915</v>
      </c>
      <c r="AD718">
        <v>447054.23703129712</v>
      </c>
      <c r="AE718">
        <v>1</v>
      </c>
      <c r="AF718">
        <v>24972.135131998239</v>
      </c>
      <c r="AG718">
        <v>85329.432476189802</v>
      </c>
    </row>
    <row r="719" spans="2:33" x14ac:dyDescent="0.25">
      <c r="B719">
        <v>14</v>
      </c>
      <c r="C719" t="s">
        <v>44</v>
      </c>
      <c r="D719" t="s">
        <v>26</v>
      </c>
      <c r="E719" t="s">
        <v>68</v>
      </c>
      <c r="F719">
        <v>220012</v>
      </c>
      <c r="G719">
        <v>963309</v>
      </c>
      <c r="H719">
        <v>15</v>
      </c>
      <c r="I719">
        <v>47685</v>
      </c>
      <c r="J719">
        <v>1.2991013267809191</v>
      </c>
      <c r="K719">
        <v>918494</v>
      </c>
      <c r="L719">
        <v>2468957</v>
      </c>
      <c r="M719">
        <v>367812</v>
      </c>
      <c r="N719">
        <v>213773</v>
      </c>
      <c r="O719" s="43">
        <v>80856900.261360005</v>
      </c>
      <c r="P719" s="14">
        <f t="shared" si="35"/>
        <v>18664032.823920004</v>
      </c>
      <c r="Q719" s="14" t="str">
        <f t="shared" si="33"/>
        <v/>
      </c>
      <c r="R719" s="14" t="str">
        <f t="shared" si="33"/>
        <v/>
      </c>
      <c r="S719" s="14" t="str">
        <f t="shared" si="34"/>
        <v/>
      </c>
      <c r="T719" s="14" t="s">
        <v>72</v>
      </c>
      <c r="U719" s="14">
        <v>391.40259670588244</v>
      </c>
      <c r="V719">
        <v>6421</v>
      </c>
      <c r="W719">
        <v>30.001275634765602</v>
      </c>
      <c r="X719">
        <v>22.0796427632926</v>
      </c>
      <c r="Y719">
        <v>3.3067901775216102</v>
      </c>
      <c r="Z719" s="31">
        <v>2.77743018402467</v>
      </c>
      <c r="AA719">
        <v>3.84072176276795</v>
      </c>
      <c r="AB719">
        <v>6.8733000000000002E-2</v>
      </c>
      <c r="AC719">
        <v>395343.329528915</v>
      </c>
      <c r="AD719">
        <v>447054.23703129712</v>
      </c>
      <c r="AE719">
        <v>1</v>
      </c>
      <c r="AF719">
        <v>24972.135131998239</v>
      </c>
      <c r="AG719">
        <v>85329.432476189802</v>
      </c>
    </row>
    <row r="720" spans="2:33" x14ac:dyDescent="0.25">
      <c r="B720">
        <v>14</v>
      </c>
      <c r="C720" t="s">
        <v>44</v>
      </c>
      <c r="D720" t="s">
        <v>26</v>
      </c>
      <c r="E720" t="s">
        <v>68</v>
      </c>
      <c r="F720">
        <v>226421</v>
      </c>
      <c r="G720">
        <v>963309</v>
      </c>
      <c r="H720">
        <v>16</v>
      </c>
      <c r="I720">
        <v>6862</v>
      </c>
      <c r="J720">
        <v>0.70522957846340062</v>
      </c>
      <c r="K720">
        <v>918494</v>
      </c>
      <c r="L720">
        <v>2468957</v>
      </c>
      <c r="M720">
        <v>367812</v>
      </c>
      <c r="N720">
        <v>213773</v>
      </c>
      <c r="O720" s="43">
        <v>89953017.522119999</v>
      </c>
      <c r="P720" s="14">
        <f t="shared" si="35"/>
        <v>9096117.2607599944</v>
      </c>
      <c r="Q720" s="14" t="str">
        <f t="shared" si="33"/>
        <v/>
      </c>
      <c r="R720" s="14" t="str">
        <f t="shared" si="33"/>
        <v/>
      </c>
      <c r="S720" s="14" t="str">
        <f t="shared" si="34"/>
        <v/>
      </c>
      <c r="T720" s="14" t="s">
        <v>72</v>
      </c>
      <c r="U720" s="14">
        <v>1325.5781493383845</v>
      </c>
      <c r="V720">
        <v>6421</v>
      </c>
      <c r="W720">
        <v>24.311791992187501</v>
      </c>
      <c r="X720">
        <v>41.111012545822099</v>
      </c>
      <c r="Y720">
        <v>1.7907136587410499</v>
      </c>
      <c r="Z720" s="31">
        <v>2.4229711265633598</v>
      </c>
      <c r="AA720">
        <v>8.0585242605657204</v>
      </c>
      <c r="AB720">
        <v>6.8733000000000002E-2</v>
      </c>
      <c r="AC720">
        <v>395343.329528915</v>
      </c>
      <c r="AD720">
        <v>447054.23703129712</v>
      </c>
      <c r="AE720">
        <v>1</v>
      </c>
      <c r="AF720">
        <v>24972.135131998239</v>
      </c>
      <c r="AG720">
        <v>85329.432476189802</v>
      </c>
    </row>
    <row r="721" spans="2:33" x14ac:dyDescent="0.25">
      <c r="B721">
        <v>14</v>
      </c>
      <c r="C721" t="s">
        <v>44</v>
      </c>
      <c r="D721" t="s">
        <v>26</v>
      </c>
      <c r="E721" t="s">
        <v>68</v>
      </c>
      <c r="F721">
        <v>240795</v>
      </c>
      <c r="G721">
        <v>963309</v>
      </c>
      <c r="H721">
        <v>17</v>
      </c>
      <c r="I721">
        <v>10719</v>
      </c>
      <c r="J721">
        <v>1.5816773226451739</v>
      </c>
      <c r="K721">
        <v>918494</v>
      </c>
      <c r="L721">
        <v>2468957</v>
      </c>
      <c r="M721">
        <v>367812</v>
      </c>
      <c r="N721">
        <v>213773</v>
      </c>
      <c r="O721" s="43">
        <v>98517311.216639996</v>
      </c>
      <c r="P721" s="14">
        <f t="shared" si="35"/>
        <v>8564293.6945199966</v>
      </c>
      <c r="Q721" s="14" t="str">
        <f t="shared" si="33"/>
        <v/>
      </c>
      <c r="R721" s="14" t="str">
        <f t="shared" si="33"/>
        <v/>
      </c>
      <c r="S721" s="14" t="str">
        <f t="shared" si="34"/>
        <v/>
      </c>
      <c r="T721" s="14" t="s">
        <v>72</v>
      </c>
      <c r="U721" s="14">
        <v>798.9825258438284</v>
      </c>
      <c r="V721">
        <v>6421</v>
      </c>
      <c r="W721">
        <v>30.528771972656202</v>
      </c>
      <c r="X721">
        <v>14.3492150941085</v>
      </c>
      <c r="Y721">
        <v>3.7467851009978399</v>
      </c>
      <c r="Z721" s="31">
        <v>2.6266280310000001</v>
      </c>
      <c r="AA721">
        <v>2.0338338617139202</v>
      </c>
      <c r="AB721">
        <v>6.8733000000000002E-2</v>
      </c>
      <c r="AC721">
        <v>395343.329528915</v>
      </c>
      <c r="AD721">
        <v>447054.23703129712</v>
      </c>
      <c r="AE721">
        <v>1</v>
      </c>
      <c r="AF721">
        <v>24972.135131998239</v>
      </c>
      <c r="AG721">
        <v>85329.432476189802</v>
      </c>
    </row>
    <row r="722" spans="2:33" x14ac:dyDescent="0.25">
      <c r="B722">
        <v>14</v>
      </c>
      <c r="C722" t="s">
        <v>44</v>
      </c>
      <c r="D722" t="s">
        <v>26</v>
      </c>
      <c r="E722" t="s">
        <v>68</v>
      </c>
      <c r="F722">
        <v>244388</v>
      </c>
      <c r="G722">
        <v>963309</v>
      </c>
      <c r="H722">
        <v>18</v>
      </c>
      <c r="I722">
        <v>11806</v>
      </c>
      <c r="J722">
        <v>0.39536431197050997</v>
      </c>
      <c r="K722">
        <v>918494</v>
      </c>
      <c r="L722">
        <v>2468957</v>
      </c>
      <c r="M722">
        <v>367812</v>
      </c>
      <c r="N722">
        <v>213773</v>
      </c>
      <c r="O722" s="43">
        <v>106772296.82076</v>
      </c>
      <c r="P722" s="14">
        <f t="shared" si="35"/>
        <v>8254985.6041200012</v>
      </c>
      <c r="Q722" s="14" t="str">
        <f t="shared" si="33"/>
        <v/>
      </c>
      <c r="R722" s="14" t="str">
        <f t="shared" si="33"/>
        <v/>
      </c>
      <c r="S722" s="14" t="str">
        <f t="shared" si="34"/>
        <v/>
      </c>
      <c r="T722" s="14" t="s">
        <v>72</v>
      </c>
      <c r="U722" s="14">
        <v>699.2195158495681</v>
      </c>
      <c r="V722">
        <v>6421</v>
      </c>
      <c r="W722">
        <v>30.972406005859401</v>
      </c>
      <c r="X722">
        <v>21.326654697133499</v>
      </c>
      <c r="Y722">
        <v>3.5291183835003901</v>
      </c>
      <c r="Z722" s="31">
        <v>3.0726239493882099</v>
      </c>
      <c r="AA722">
        <v>2.91612637279828</v>
      </c>
      <c r="AB722">
        <v>6.8733000000000002E-2</v>
      </c>
      <c r="AC722">
        <v>395343.329528915</v>
      </c>
      <c r="AD722">
        <v>447054.23703129712</v>
      </c>
      <c r="AE722">
        <v>1</v>
      </c>
      <c r="AF722">
        <v>24972.135131998239</v>
      </c>
      <c r="AG722">
        <v>85329.432476189802</v>
      </c>
    </row>
    <row r="723" spans="2:33" x14ac:dyDescent="0.25">
      <c r="B723">
        <v>14</v>
      </c>
      <c r="C723" t="s">
        <v>44</v>
      </c>
      <c r="D723" t="s">
        <v>26</v>
      </c>
      <c r="E723" t="s">
        <v>68</v>
      </c>
      <c r="F723">
        <v>248570</v>
      </c>
      <c r="G723">
        <v>963309</v>
      </c>
      <c r="H723">
        <v>19</v>
      </c>
      <c r="I723">
        <v>6409</v>
      </c>
      <c r="J723">
        <v>0.46017632971351868</v>
      </c>
      <c r="K723">
        <v>918494</v>
      </c>
      <c r="L723">
        <v>2468957</v>
      </c>
      <c r="M723">
        <v>367812</v>
      </c>
      <c r="N723">
        <v>213773</v>
      </c>
      <c r="O723" s="43">
        <v>114857316.75852001</v>
      </c>
      <c r="P723" s="14">
        <f t="shared" si="35"/>
        <v>8085019.9377600104</v>
      </c>
      <c r="Q723" s="14" t="str">
        <f t="shared" si="33"/>
        <v/>
      </c>
      <c r="R723" s="14" t="str">
        <f t="shared" si="33"/>
        <v/>
      </c>
      <c r="S723" s="14" t="str">
        <f t="shared" si="34"/>
        <v/>
      </c>
      <c r="T723" s="14" t="s">
        <v>72</v>
      </c>
      <c r="U723" s="14">
        <v>1261.5103663223585</v>
      </c>
      <c r="V723">
        <v>6421</v>
      </c>
      <c r="W723">
        <v>29.375329589843702</v>
      </c>
      <c r="X723">
        <v>26.4783921832251</v>
      </c>
      <c r="Y723">
        <v>3.0096603907863799</v>
      </c>
      <c r="Z723" s="31">
        <v>1.35445633966634</v>
      </c>
      <c r="AA723">
        <v>3.3920551615801098</v>
      </c>
      <c r="AB723">
        <v>6.8733000000000002E-2</v>
      </c>
      <c r="AC723">
        <v>395343.329528915</v>
      </c>
      <c r="AD723">
        <v>447054.23703129712</v>
      </c>
      <c r="AE723">
        <v>1</v>
      </c>
      <c r="AF723">
        <v>24972.135131998239</v>
      </c>
      <c r="AG723">
        <v>85329.432476189802</v>
      </c>
    </row>
    <row r="724" spans="2:33" x14ac:dyDescent="0.25">
      <c r="B724">
        <v>14</v>
      </c>
      <c r="C724" t="s">
        <v>44</v>
      </c>
      <c r="D724" t="s">
        <v>26</v>
      </c>
      <c r="E724" t="s">
        <v>68</v>
      </c>
      <c r="F724">
        <v>248570</v>
      </c>
      <c r="G724">
        <v>963309</v>
      </c>
      <c r="H724">
        <v>20</v>
      </c>
      <c r="I724">
        <v>14374</v>
      </c>
      <c r="J724">
        <v>0</v>
      </c>
      <c r="K724">
        <v>918494</v>
      </c>
      <c r="L724">
        <v>2468957</v>
      </c>
      <c r="M724">
        <v>367812</v>
      </c>
      <c r="N724">
        <v>213773</v>
      </c>
      <c r="O724" s="43">
        <v>114857316.75852001</v>
      </c>
      <c r="P724" s="14">
        <f t="shared" si="35"/>
        <v>0</v>
      </c>
      <c r="Q724" s="14" t="str">
        <f t="shared" si="33"/>
        <v/>
      </c>
      <c r="R724" s="14" t="str">
        <f t="shared" si="33"/>
        <v/>
      </c>
      <c r="S724" s="14" t="str">
        <f t="shared" si="34"/>
        <v/>
      </c>
      <c r="T724" s="14" t="s">
        <v>72</v>
      </c>
      <c r="U724" s="14">
        <v>-7990.6300792069005</v>
      </c>
      <c r="V724">
        <v>6421</v>
      </c>
      <c r="W724">
        <v>25.687585449218702</v>
      </c>
      <c r="X724">
        <v>42.413649642221202</v>
      </c>
      <c r="Y724">
        <v>1.90033702491339</v>
      </c>
      <c r="Z724" s="31">
        <v>1.29194886965012</v>
      </c>
      <c r="AA724">
        <v>6.1358520029951702</v>
      </c>
      <c r="AB724">
        <v>6.8733000000000002E-2</v>
      </c>
      <c r="AC724">
        <v>395343.329528915</v>
      </c>
      <c r="AD724">
        <v>447054.23703129712</v>
      </c>
      <c r="AE724">
        <v>1</v>
      </c>
      <c r="AF724">
        <v>24972.135131998239</v>
      </c>
      <c r="AG724">
        <v>85329.432476189802</v>
      </c>
    </row>
    <row r="725" spans="2:33" x14ac:dyDescent="0.25">
      <c r="B725">
        <v>14</v>
      </c>
      <c r="C725" t="s">
        <v>44</v>
      </c>
      <c r="D725" t="s">
        <v>26</v>
      </c>
      <c r="E725" t="s">
        <v>68</v>
      </c>
      <c r="F725">
        <v>248570</v>
      </c>
      <c r="G725">
        <v>963309</v>
      </c>
      <c r="H725">
        <v>21</v>
      </c>
      <c r="I725">
        <v>3593</v>
      </c>
      <c r="J725">
        <v>0</v>
      </c>
      <c r="K725">
        <v>918494</v>
      </c>
      <c r="L725">
        <v>2468957</v>
      </c>
      <c r="M725">
        <v>367812</v>
      </c>
      <c r="N725">
        <v>213773</v>
      </c>
      <c r="O725" s="43">
        <v>114857316.75852001</v>
      </c>
      <c r="P725" s="14">
        <f t="shared" si="35"/>
        <v>0</v>
      </c>
      <c r="Q725" s="14" t="str">
        <f t="shared" si="33"/>
        <v/>
      </c>
      <c r="R725" s="14" t="str">
        <f t="shared" si="33"/>
        <v/>
      </c>
      <c r="S725" s="14" t="str">
        <f t="shared" si="34"/>
        <v/>
      </c>
      <c r="T725" s="14" t="s">
        <v>72</v>
      </c>
      <c r="U725" s="14">
        <v>0</v>
      </c>
      <c r="V725">
        <v>6421</v>
      </c>
      <c r="W725">
        <v>30.302636718750001</v>
      </c>
      <c r="X725">
        <v>18.363196383378298</v>
      </c>
      <c r="Y725">
        <v>3.5250698488476999</v>
      </c>
      <c r="Z725" s="31">
        <v>2.7356968624385898</v>
      </c>
      <c r="AA725">
        <v>4.1335850864304504</v>
      </c>
      <c r="AB725">
        <v>6.8733000000000002E-2</v>
      </c>
      <c r="AC725">
        <v>395343.329528915</v>
      </c>
      <c r="AD725">
        <v>447054.23703129712</v>
      </c>
      <c r="AE725">
        <v>1</v>
      </c>
      <c r="AF725">
        <v>24972.135131998239</v>
      </c>
      <c r="AG725">
        <v>85329.432476189802</v>
      </c>
    </row>
    <row r="726" spans="2:33" x14ac:dyDescent="0.25">
      <c r="B726">
        <v>14</v>
      </c>
      <c r="C726" t="s">
        <v>44</v>
      </c>
      <c r="D726" t="s">
        <v>26</v>
      </c>
      <c r="E726" t="s">
        <v>68</v>
      </c>
      <c r="F726">
        <v>253052</v>
      </c>
      <c r="G726">
        <v>963309</v>
      </c>
      <c r="H726">
        <v>22</v>
      </c>
      <c r="I726">
        <v>4182</v>
      </c>
      <c r="J726">
        <v>0.49318754418364202</v>
      </c>
      <c r="K726">
        <v>918494</v>
      </c>
      <c r="L726">
        <v>2468957</v>
      </c>
      <c r="M726">
        <v>367812</v>
      </c>
      <c r="N726">
        <v>213773</v>
      </c>
      <c r="O726" s="43">
        <v>123255723.43799999</v>
      </c>
      <c r="P726" s="14">
        <f t="shared" si="35"/>
        <v>8398406.6794799864</v>
      </c>
      <c r="Q726" s="14" t="str">
        <f t="shared" si="33"/>
        <v/>
      </c>
      <c r="R726" s="14" t="str">
        <f t="shared" si="33"/>
        <v/>
      </c>
      <c r="S726" s="14" t="str">
        <f t="shared" si="34"/>
        <v/>
      </c>
      <c r="T726" s="14" t="s">
        <v>72</v>
      </c>
      <c r="U726" s="14">
        <v>29472.913304160687</v>
      </c>
      <c r="V726">
        <v>6421</v>
      </c>
      <c r="W726">
        <v>31.216027832031202</v>
      </c>
      <c r="X726">
        <v>12.358683172659999</v>
      </c>
      <c r="Y726">
        <v>3.9870014352692702</v>
      </c>
      <c r="Z726" s="31">
        <v>3.6264352942357201</v>
      </c>
      <c r="AA726">
        <v>6.063160377</v>
      </c>
      <c r="AB726">
        <v>6.8733000000000002E-2</v>
      </c>
      <c r="AC726">
        <v>395343.329528915</v>
      </c>
      <c r="AD726">
        <v>447054.23703129712</v>
      </c>
      <c r="AE726">
        <v>1</v>
      </c>
      <c r="AF726">
        <v>24972.135131998239</v>
      </c>
      <c r="AG726">
        <v>85329.432476189802</v>
      </c>
    </row>
    <row r="727" spans="2:33" x14ac:dyDescent="0.25">
      <c r="B727">
        <v>14</v>
      </c>
      <c r="C727" t="s">
        <v>44</v>
      </c>
      <c r="D727" t="s">
        <v>26</v>
      </c>
      <c r="E727" t="s">
        <v>68</v>
      </c>
      <c r="F727">
        <v>278227</v>
      </c>
      <c r="G727">
        <v>963309</v>
      </c>
      <c r="H727">
        <v>23</v>
      </c>
      <c r="I727">
        <v>0</v>
      </c>
      <c r="J727">
        <v>2.7701910809511801</v>
      </c>
      <c r="K727">
        <v>918494</v>
      </c>
      <c r="L727">
        <v>2468957</v>
      </c>
      <c r="M727">
        <v>367812</v>
      </c>
      <c r="N727">
        <v>213773</v>
      </c>
      <c r="O727" s="43">
        <v>138330136.02671999</v>
      </c>
      <c r="P727" s="14">
        <f t="shared" si="35"/>
        <v>15074412.588719994</v>
      </c>
      <c r="Q727" s="14" t="str">
        <f t="shared" si="33"/>
        <v/>
      </c>
      <c r="R727" s="14" t="str">
        <f t="shared" si="33"/>
        <v/>
      </c>
      <c r="S727" s="14" t="str">
        <f t="shared" si="34"/>
        <v/>
      </c>
      <c r="T727" s="14" t="s">
        <v>72</v>
      </c>
      <c r="U727" s="14">
        <v>0</v>
      </c>
      <c r="V727">
        <v>6421</v>
      </c>
      <c r="W727">
        <v>33.122521972656202</v>
      </c>
      <c r="X727">
        <v>10.613240474722399</v>
      </c>
      <c r="Y727">
        <v>4.5281354227928698</v>
      </c>
      <c r="Z727" s="31">
        <v>4.2535507928113203</v>
      </c>
      <c r="AA727">
        <v>7.4508379041594601</v>
      </c>
      <c r="AB727">
        <v>6.8733000000000002E-2</v>
      </c>
      <c r="AC727">
        <v>395343.329528915</v>
      </c>
      <c r="AD727">
        <v>447054.23703129712</v>
      </c>
      <c r="AE727">
        <v>1</v>
      </c>
      <c r="AF727">
        <v>24972.135131998239</v>
      </c>
      <c r="AG727">
        <v>85329.432476189802</v>
      </c>
    </row>
    <row r="728" spans="2:33" x14ac:dyDescent="0.25">
      <c r="B728">
        <v>14</v>
      </c>
      <c r="C728" t="s">
        <v>44</v>
      </c>
      <c r="D728" t="s">
        <v>26</v>
      </c>
      <c r="E728" t="s">
        <v>68</v>
      </c>
      <c r="F728">
        <v>361812</v>
      </c>
      <c r="G728">
        <v>963309</v>
      </c>
      <c r="H728">
        <v>24</v>
      </c>
      <c r="I728">
        <v>0</v>
      </c>
      <c r="J728">
        <v>9.1974745382841849</v>
      </c>
      <c r="K728">
        <v>918494</v>
      </c>
      <c r="L728">
        <v>2468957</v>
      </c>
      <c r="M728">
        <v>367812</v>
      </c>
      <c r="N728">
        <v>213773</v>
      </c>
      <c r="O728" s="43">
        <v>147045299.11272001</v>
      </c>
      <c r="P728" s="14">
        <f t="shared" si="35"/>
        <v>8715163.0860000253</v>
      </c>
      <c r="Q728" s="14" t="str">
        <f t="shared" si="33"/>
        <v/>
      </c>
      <c r="R728" s="14" t="str">
        <f t="shared" si="33"/>
        <v/>
      </c>
      <c r="S728" s="14" t="str">
        <f t="shared" si="34"/>
        <v/>
      </c>
      <c r="T728" s="14" t="s">
        <v>72</v>
      </c>
      <c r="U728" s="14">
        <v>0</v>
      </c>
      <c r="V728">
        <v>6421</v>
      </c>
      <c r="W728">
        <v>32.824365234375001</v>
      </c>
      <c r="X728">
        <v>10.344247490740999</v>
      </c>
      <c r="Y728">
        <v>4.46649987735577</v>
      </c>
      <c r="Z728" s="31">
        <v>4.4212582499493696</v>
      </c>
      <c r="AA728">
        <v>9.1814466719999999</v>
      </c>
      <c r="AB728">
        <v>6.8733000000000002E-2</v>
      </c>
      <c r="AC728">
        <v>395343.329528915</v>
      </c>
      <c r="AD728">
        <v>447054.23703129712</v>
      </c>
      <c r="AE728">
        <v>1</v>
      </c>
      <c r="AF728">
        <v>24972.135131998239</v>
      </c>
      <c r="AG728">
        <v>85329.432476189802</v>
      </c>
    </row>
    <row r="729" spans="2:33" x14ac:dyDescent="0.25">
      <c r="B729">
        <v>14</v>
      </c>
      <c r="C729" t="s">
        <v>44</v>
      </c>
      <c r="D729" t="s">
        <v>26</v>
      </c>
      <c r="E729" t="s">
        <v>68</v>
      </c>
      <c r="F729">
        <v>361812</v>
      </c>
      <c r="G729">
        <v>963309</v>
      </c>
      <c r="H729">
        <v>25</v>
      </c>
      <c r="I729">
        <v>4482</v>
      </c>
      <c r="J729">
        <v>0</v>
      </c>
      <c r="K729">
        <v>918494</v>
      </c>
      <c r="L729">
        <v>2468957</v>
      </c>
      <c r="M729">
        <v>367812</v>
      </c>
      <c r="N729">
        <v>213773</v>
      </c>
      <c r="O729" s="43">
        <v>147045299.11272001</v>
      </c>
      <c r="P729" s="14">
        <f t="shared" si="35"/>
        <v>0</v>
      </c>
      <c r="Q729" s="14" t="str">
        <f t="shared" si="33"/>
        <v/>
      </c>
      <c r="R729" s="14" t="str">
        <f t="shared" si="33"/>
        <v/>
      </c>
      <c r="S729" s="14" t="str">
        <f t="shared" si="34"/>
        <v/>
      </c>
      <c r="T729" s="14" t="s">
        <v>72</v>
      </c>
      <c r="U729" s="14">
        <v>-32807.964996144583</v>
      </c>
      <c r="V729">
        <v>6421</v>
      </c>
      <c r="W729">
        <v>26.223443603515602</v>
      </c>
      <c r="X729">
        <v>11.6465912761408</v>
      </c>
      <c r="Y729">
        <v>3.0108335446795</v>
      </c>
      <c r="Z729" s="31">
        <v>4.7276908529132902</v>
      </c>
      <c r="AA729">
        <v>9.6460009016818091</v>
      </c>
      <c r="AB729">
        <v>6.8733000000000002E-2</v>
      </c>
      <c r="AC729">
        <v>395343.329528915</v>
      </c>
      <c r="AD729">
        <v>447054.23703129712</v>
      </c>
      <c r="AE729">
        <v>1</v>
      </c>
      <c r="AF729">
        <v>24972.135131998239</v>
      </c>
      <c r="AG729">
        <v>85329.432476189802</v>
      </c>
    </row>
    <row r="730" spans="2:33" x14ac:dyDescent="0.25">
      <c r="B730">
        <v>14</v>
      </c>
      <c r="C730" t="s">
        <v>44</v>
      </c>
      <c r="D730" t="s">
        <v>26</v>
      </c>
      <c r="E730" t="s">
        <v>68</v>
      </c>
      <c r="F730">
        <v>361812</v>
      </c>
      <c r="G730">
        <v>963309</v>
      </c>
      <c r="H730">
        <v>26</v>
      </c>
      <c r="I730">
        <v>25175</v>
      </c>
      <c r="J730">
        <v>0</v>
      </c>
      <c r="K730">
        <v>918494</v>
      </c>
      <c r="L730">
        <v>2468957</v>
      </c>
      <c r="M730">
        <v>367812</v>
      </c>
      <c r="N730">
        <v>213773</v>
      </c>
      <c r="O730" s="43">
        <v>193783349.33603999</v>
      </c>
      <c r="P730" s="14">
        <f t="shared" si="35"/>
        <v>46738050.223319978</v>
      </c>
      <c r="Q730" s="14" t="str">
        <f t="shared" si="33"/>
        <v/>
      </c>
      <c r="R730" s="14" t="str">
        <f t="shared" si="33"/>
        <v/>
      </c>
      <c r="S730" s="14" t="str">
        <f t="shared" si="34"/>
        <v/>
      </c>
      <c r="T730" s="14" t="s">
        <v>72</v>
      </c>
      <c r="U730" s="14">
        <v>7697.4518107662361</v>
      </c>
      <c r="V730">
        <v>6421</v>
      </c>
      <c r="W730">
        <v>29.685998535156202</v>
      </c>
      <c r="X730">
        <v>13.887477607760699</v>
      </c>
      <c r="Y730">
        <v>3.58954162796792</v>
      </c>
      <c r="Z730" s="31">
        <v>1.4155578611636399</v>
      </c>
      <c r="AA730">
        <v>2.3855034659564902</v>
      </c>
      <c r="AB730">
        <v>6.8733000000000002E-2</v>
      </c>
      <c r="AC730">
        <v>395343.329528915</v>
      </c>
      <c r="AD730">
        <v>447054.23703129712</v>
      </c>
      <c r="AE730">
        <v>1</v>
      </c>
      <c r="AF730">
        <v>24972.135131998239</v>
      </c>
      <c r="AG730">
        <v>85329.432476189802</v>
      </c>
    </row>
    <row r="731" spans="2:33" x14ac:dyDescent="0.25">
      <c r="B731">
        <v>14</v>
      </c>
      <c r="C731" t="s">
        <v>44</v>
      </c>
      <c r="D731" t="s">
        <v>26</v>
      </c>
      <c r="E731" t="s">
        <v>68</v>
      </c>
      <c r="F731">
        <v>463477</v>
      </c>
      <c r="G731">
        <v>963309</v>
      </c>
      <c r="H731">
        <v>27</v>
      </c>
      <c r="I731">
        <v>83585</v>
      </c>
      <c r="J731">
        <v>11.18695039701695</v>
      </c>
      <c r="K731">
        <v>918494</v>
      </c>
      <c r="L731">
        <v>2468957</v>
      </c>
      <c r="M731">
        <v>367812</v>
      </c>
      <c r="N731">
        <v>213773</v>
      </c>
      <c r="O731" s="43">
        <v>202259940.15419999</v>
      </c>
      <c r="P731" s="14">
        <f t="shared" si="35"/>
        <v>8476590.8181599975</v>
      </c>
      <c r="Q731" s="14" t="str">
        <f t="shared" si="33"/>
        <v/>
      </c>
      <c r="R731" s="14" t="str">
        <f t="shared" si="33"/>
        <v/>
      </c>
      <c r="S731" s="14" t="str">
        <f t="shared" si="34"/>
        <v/>
      </c>
      <c r="T731" s="14" t="s">
        <v>72</v>
      </c>
      <c r="U731" s="14">
        <v>101.41282309218158</v>
      </c>
      <c r="V731">
        <v>6421</v>
      </c>
      <c r="W731">
        <v>30.418145751953102</v>
      </c>
      <c r="X731">
        <v>12.9299538668918</v>
      </c>
      <c r="Y731">
        <v>3.7849807728139599</v>
      </c>
      <c r="Z731" s="31">
        <v>3.7271186819491899</v>
      </c>
      <c r="AA731">
        <v>5.3453135595861401</v>
      </c>
      <c r="AB731">
        <v>6.8733000000000002E-2</v>
      </c>
      <c r="AC731">
        <v>395343.329528915</v>
      </c>
      <c r="AD731">
        <v>447054.23703129712</v>
      </c>
      <c r="AE731">
        <v>1</v>
      </c>
      <c r="AF731">
        <v>24972.135131998239</v>
      </c>
      <c r="AG731">
        <v>85329.432476189802</v>
      </c>
    </row>
    <row r="732" spans="2:33" x14ac:dyDescent="0.25">
      <c r="B732">
        <v>14</v>
      </c>
      <c r="C732" t="s">
        <v>44</v>
      </c>
      <c r="D732" t="s">
        <v>26</v>
      </c>
      <c r="E732" t="s">
        <v>68</v>
      </c>
      <c r="F732">
        <v>489287</v>
      </c>
      <c r="G732">
        <v>963309</v>
      </c>
      <c r="H732">
        <v>28</v>
      </c>
      <c r="I732">
        <v>0</v>
      </c>
      <c r="J732">
        <v>2.8400648182462742</v>
      </c>
      <c r="K732">
        <v>918494</v>
      </c>
      <c r="L732">
        <v>2468957</v>
      </c>
      <c r="M732">
        <v>367812</v>
      </c>
      <c r="N732">
        <v>213773</v>
      </c>
      <c r="O732" s="43">
        <v>211048846.88435999</v>
      </c>
      <c r="P732" s="14">
        <f t="shared" si="35"/>
        <v>8788906.7301599979</v>
      </c>
      <c r="Q732" s="14" t="str">
        <f t="shared" si="33"/>
        <v/>
      </c>
      <c r="R732" s="14" t="str">
        <f t="shared" si="33"/>
        <v/>
      </c>
      <c r="S732" s="14" t="str">
        <f t="shared" si="34"/>
        <v/>
      </c>
      <c r="T732" s="14" t="s">
        <v>72</v>
      </c>
      <c r="U732" s="14">
        <v>0</v>
      </c>
      <c r="V732">
        <v>6421</v>
      </c>
      <c r="W732">
        <v>29.635583496093702</v>
      </c>
      <c r="X732">
        <v>17.1387330054439</v>
      </c>
      <c r="Y732">
        <v>3.4438240857936799</v>
      </c>
      <c r="Z732" s="31">
        <v>4.1857143673480204</v>
      </c>
      <c r="AA732">
        <v>6.5839239805244398</v>
      </c>
      <c r="AB732">
        <v>6.8733000000000002E-2</v>
      </c>
      <c r="AC732">
        <v>395343.329528915</v>
      </c>
      <c r="AD732">
        <v>447054.23703129712</v>
      </c>
      <c r="AE732">
        <v>1</v>
      </c>
      <c r="AF732">
        <v>24972.135131998239</v>
      </c>
      <c r="AG732">
        <v>85329.432476189802</v>
      </c>
    </row>
    <row r="733" spans="2:33" x14ac:dyDescent="0.25">
      <c r="B733">
        <v>14</v>
      </c>
      <c r="C733" t="s">
        <v>44</v>
      </c>
      <c r="D733" t="s">
        <v>26</v>
      </c>
      <c r="E733" t="s">
        <v>68</v>
      </c>
      <c r="F733">
        <v>482047</v>
      </c>
      <c r="G733">
        <v>963309</v>
      </c>
      <c r="H733">
        <v>29</v>
      </c>
      <c r="I733">
        <v>0</v>
      </c>
      <c r="J733">
        <v>0</v>
      </c>
      <c r="K733">
        <v>918494</v>
      </c>
      <c r="L733">
        <v>2468957</v>
      </c>
      <c r="M733">
        <v>367812</v>
      </c>
      <c r="N733">
        <v>213773</v>
      </c>
      <c r="O733" s="43">
        <v>220064250.49632001</v>
      </c>
      <c r="P733" s="14">
        <f t="shared" si="35"/>
        <v>9015403.6119600236</v>
      </c>
      <c r="Q733" s="14" t="str">
        <f t="shared" si="33"/>
        <v/>
      </c>
      <c r="R733" s="14" t="str">
        <f t="shared" si="33"/>
        <v/>
      </c>
      <c r="S733" s="14" t="str">
        <f t="shared" si="34"/>
        <v/>
      </c>
      <c r="T733" s="14" t="s">
        <v>72</v>
      </c>
      <c r="U733" s="14">
        <v>0</v>
      </c>
      <c r="V733">
        <v>6421</v>
      </c>
      <c r="W733">
        <v>31.205163574218702</v>
      </c>
      <c r="X733">
        <v>14.345811997319601</v>
      </c>
      <c r="Y733">
        <v>3.8940489980000002</v>
      </c>
      <c r="Z733" s="31">
        <v>1.5213446829980499</v>
      </c>
      <c r="AA733">
        <v>2.41645532406192</v>
      </c>
      <c r="AB733">
        <v>6.8733000000000002E-2</v>
      </c>
      <c r="AC733">
        <v>395343.329528915</v>
      </c>
      <c r="AD733">
        <v>447054.23703129712</v>
      </c>
      <c r="AE733">
        <v>1</v>
      </c>
      <c r="AF733">
        <v>24972.135131998239</v>
      </c>
      <c r="AG733">
        <v>85329.432476189802</v>
      </c>
    </row>
    <row r="734" spans="2:33" x14ac:dyDescent="0.25">
      <c r="B734">
        <v>14</v>
      </c>
      <c r="C734" t="s">
        <v>44</v>
      </c>
      <c r="D734" t="s">
        <v>26</v>
      </c>
      <c r="E734" t="s">
        <v>68</v>
      </c>
      <c r="F734">
        <v>490205</v>
      </c>
      <c r="G734">
        <v>963309</v>
      </c>
      <c r="H734">
        <v>30</v>
      </c>
      <c r="I734">
        <v>101665</v>
      </c>
      <c r="J734">
        <v>0.8976849588242195</v>
      </c>
      <c r="K734">
        <v>918494</v>
      </c>
      <c r="L734">
        <v>2468957</v>
      </c>
      <c r="M734">
        <v>367812</v>
      </c>
      <c r="N734">
        <v>213773</v>
      </c>
      <c r="O734" s="43">
        <v>228919523.7924</v>
      </c>
      <c r="P734" s="14">
        <f t="shared" si="35"/>
        <v>8855273.2960799932</v>
      </c>
      <c r="Q734" s="14" t="str">
        <f t="shared" si="33"/>
        <v/>
      </c>
      <c r="R734" s="14" t="str">
        <f t="shared" si="33"/>
        <v/>
      </c>
      <c r="S734" s="14" t="str">
        <f t="shared" si="34"/>
        <v/>
      </c>
      <c r="T734" s="14" t="s">
        <v>72</v>
      </c>
      <c r="U734" s="14">
        <v>87.102476723356048</v>
      </c>
      <c r="V734">
        <v>6421</v>
      </c>
      <c r="W734">
        <v>33.005822753906202</v>
      </c>
      <c r="X734">
        <v>13.811689969994999</v>
      </c>
      <c r="Y734">
        <v>4.3373477559873796</v>
      </c>
      <c r="Z734" s="31">
        <v>0.64700451790429903</v>
      </c>
      <c r="AA734">
        <v>0.62873379141263197</v>
      </c>
      <c r="AB734">
        <v>6.8733000000000002E-2</v>
      </c>
      <c r="AC734">
        <v>395343.329528915</v>
      </c>
      <c r="AD734">
        <v>447054.23703129712</v>
      </c>
      <c r="AE734">
        <v>1</v>
      </c>
      <c r="AF734">
        <v>24972.135131998239</v>
      </c>
      <c r="AG734">
        <v>85329.432476189802</v>
      </c>
    </row>
    <row r="735" spans="2:33" x14ac:dyDescent="0.25">
      <c r="B735">
        <v>14</v>
      </c>
      <c r="C735" t="s">
        <v>44</v>
      </c>
      <c r="D735" t="s">
        <v>26</v>
      </c>
      <c r="E735" t="s">
        <v>68</v>
      </c>
      <c r="F735">
        <v>490205</v>
      </c>
      <c r="G735">
        <v>963309</v>
      </c>
      <c r="H735">
        <v>31</v>
      </c>
      <c r="I735">
        <v>25810</v>
      </c>
      <c r="J735">
        <v>0</v>
      </c>
      <c r="K735">
        <v>918494</v>
      </c>
      <c r="L735">
        <v>2468957</v>
      </c>
      <c r="M735">
        <v>367812</v>
      </c>
      <c r="N735">
        <v>213773</v>
      </c>
      <c r="O735" s="43">
        <v>228919523.7924</v>
      </c>
      <c r="P735" s="14">
        <f t="shared" si="35"/>
        <v>0</v>
      </c>
      <c r="Q735" s="14" t="str">
        <f t="shared" si="33"/>
        <v/>
      </c>
      <c r="R735" s="14" t="str">
        <f t="shared" si="33"/>
        <v/>
      </c>
      <c r="S735" s="14" t="str">
        <f t="shared" si="34"/>
        <v/>
      </c>
      <c r="T735" s="14" t="s">
        <v>72</v>
      </c>
      <c r="U735" s="14">
        <v>-8869.4120028051148</v>
      </c>
      <c r="V735">
        <v>6421</v>
      </c>
      <c r="W735">
        <v>33.927789306640598</v>
      </c>
      <c r="X735">
        <v>10.716279943519</v>
      </c>
      <c r="Y735">
        <v>4.7309001458073503</v>
      </c>
      <c r="Z735" s="31">
        <v>2.0885692946240901</v>
      </c>
      <c r="AA735">
        <v>3.08609313485616</v>
      </c>
      <c r="AB735">
        <v>6.8733000000000002E-2</v>
      </c>
      <c r="AC735">
        <v>395343.329528915</v>
      </c>
      <c r="AD735">
        <v>447054.23703129712</v>
      </c>
      <c r="AE735">
        <v>1</v>
      </c>
      <c r="AF735">
        <v>24972.135131998239</v>
      </c>
      <c r="AG735">
        <v>85329.432476189802</v>
      </c>
    </row>
    <row r="736" spans="2:33" x14ac:dyDescent="0.25">
      <c r="B736">
        <v>14</v>
      </c>
      <c r="C736" t="s">
        <v>44</v>
      </c>
      <c r="D736" t="s">
        <v>26</v>
      </c>
      <c r="E736" t="s">
        <v>68</v>
      </c>
      <c r="F736">
        <v>510227</v>
      </c>
      <c r="G736">
        <v>963309</v>
      </c>
      <c r="H736">
        <v>32</v>
      </c>
      <c r="I736">
        <v>-7240</v>
      </c>
      <c r="J736">
        <v>2.203168453736029</v>
      </c>
      <c r="K736">
        <v>918494</v>
      </c>
      <c r="L736">
        <v>2468957</v>
      </c>
      <c r="M736">
        <v>367812</v>
      </c>
      <c r="N736">
        <v>213773</v>
      </c>
      <c r="O736" s="43">
        <v>246052746.16668001</v>
      </c>
      <c r="P736" s="14">
        <f t="shared" si="35"/>
        <v>17133222.374280006</v>
      </c>
      <c r="Q736" s="14" t="str">
        <f t="shared" si="33"/>
        <v/>
      </c>
      <c r="R736" s="14" t="str">
        <f t="shared" si="33"/>
        <v/>
      </c>
      <c r="S736" s="14" t="str">
        <f t="shared" si="34"/>
        <v/>
      </c>
      <c r="T736" s="14" t="s">
        <v>72</v>
      </c>
      <c r="U736" s="14">
        <v>-33985.185934624307</v>
      </c>
      <c r="V736">
        <v>6421</v>
      </c>
      <c r="W736">
        <v>31.425988769531202</v>
      </c>
      <c r="X736">
        <v>19.243248000010301</v>
      </c>
      <c r="Y736">
        <v>3.71727903752469</v>
      </c>
      <c r="Z736" s="31">
        <v>2.3960285189432202</v>
      </c>
      <c r="AA736">
        <v>1.4813881155330999</v>
      </c>
      <c r="AB736">
        <v>6.8733000000000002E-2</v>
      </c>
      <c r="AC736">
        <v>395343.329528915</v>
      </c>
      <c r="AD736">
        <v>447054.23703129712</v>
      </c>
      <c r="AE736">
        <v>1</v>
      </c>
      <c r="AF736">
        <v>24972.135131998239</v>
      </c>
      <c r="AG736">
        <v>85329.432476189802</v>
      </c>
    </row>
    <row r="737" spans="2:33" x14ac:dyDescent="0.25">
      <c r="B737">
        <v>14</v>
      </c>
      <c r="C737" t="s">
        <v>44</v>
      </c>
      <c r="D737" t="s">
        <v>26</v>
      </c>
      <c r="E737" t="s">
        <v>68</v>
      </c>
      <c r="F737">
        <v>517945</v>
      </c>
      <c r="G737">
        <v>963309</v>
      </c>
      <c r="H737">
        <v>33</v>
      </c>
      <c r="I737">
        <v>8158</v>
      </c>
      <c r="J737">
        <v>0.84926851093470523</v>
      </c>
      <c r="K737">
        <v>918494</v>
      </c>
      <c r="L737">
        <v>2468957</v>
      </c>
      <c r="M737">
        <v>367812</v>
      </c>
      <c r="N737">
        <v>213773</v>
      </c>
      <c r="O737" s="43">
        <v>258006808.44323999</v>
      </c>
      <c r="P737" s="14">
        <f t="shared" si="35"/>
        <v>11954062.276559979</v>
      </c>
      <c r="Q737" s="14" t="str">
        <f t="shared" si="33"/>
        <v/>
      </c>
      <c r="R737" s="14" t="str">
        <f t="shared" si="33"/>
        <v/>
      </c>
      <c r="S737" s="14" t="str">
        <f t="shared" si="34"/>
        <v/>
      </c>
      <c r="T737" s="14" t="s">
        <v>72</v>
      </c>
      <c r="U737" s="14">
        <v>1465.3177588330448</v>
      </c>
      <c r="V737">
        <v>6421</v>
      </c>
      <c r="W737">
        <v>32.369897460937501</v>
      </c>
      <c r="X737">
        <v>18.115690908860401</v>
      </c>
      <c r="Y737">
        <v>3.9757343593012702</v>
      </c>
      <c r="Z737" s="31">
        <v>2.1170964522773001</v>
      </c>
      <c r="AA737">
        <v>3.1333604217011302</v>
      </c>
      <c r="AB737">
        <v>6.8733000000000002E-2</v>
      </c>
      <c r="AC737">
        <v>395343.329528915</v>
      </c>
      <c r="AD737">
        <v>447054.23703129712</v>
      </c>
      <c r="AE737">
        <v>1</v>
      </c>
      <c r="AF737">
        <v>24972.135131998239</v>
      </c>
      <c r="AG737">
        <v>85329.432476189802</v>
      </c>
    </row>
    <row r="738" spans="2:33" x14ac:dyDescent="0.25">
      <c r="B738">
        <v>14</v>
      </c>
      <c r="C738" t="s">
        <v>44</v>
      </c>
      <c r="D738" t="s">
        <v>26</v>
      </c>
      <c r="E738" t="s">
        <v>68</v>
      </c>
      <c r="F738">
        <v>552589</v>
      </c>
      <c r="G738">
        <v>963309</v>
      </c>
      <c r="H738">
        <v>34</v>
      </c>
      <c r="I738">
        <v>0</v>
      </c>
      <c r="J738">
        <v>60.801705371796587</v>
      </c>
      <c r="K738">
        <v>918494</v>
      </c>
      <c r="L738">
        <v>2468957</v>
      </c>
      <c r="M738">
        <v>367812</v>
      </c>
      <c r="N738">
        <v>213773</v>
      </c>
      <c r="O738" s="43">
        <v>277605094.40208</v>
      </c>
      <c r="P738" s="14">
        <f t="shared" si="35"/>
        <v>19598285.958840013</v>
      </c>
      <c r="Q738" s="14" t="str">
        <f t="shared" si="33"/>
        <v/>
      </c>
      <c r="R738" s="14" t="str">
        <f t="shared" si="33"/>
        <v/>
      </c>
      <c r="S738" s="14" t="str">
        <f t="shared" si="34"/>
        <v/>
      </c>
      <c r="T738" s="14" t="s">
        <v>72</v>
      </c>
      <c r="U738" s="14">
        <v>0</v>
      </c>
      <c r="V738">
        <v>6421</v>
      </c>
      <c r="W738">
        <v>34.751733398437501</v>
      </c>
      <c r="X738">
        <v>15.6642929459359</v>
      </c>
      <c r="Y738">
        <v>4.67717345450935</v>
      </c>
      <c r="Z738" s="31">
        <v>3.2211640828300698</v>
      </c>
      <c r="AA738">
        <v>4.7761259322227598</v>
      </c>
      <c r="AB738">
        <v>6.8733000000000002E-2</v>
      </c>
      <c r="AC738">
        <v>395343.329528915</v>
      </c>
      <c r="AD738">
        <v>447054.23703129712</v>
      </c>
      <c r="AE738">
        <v>1</v>
      </c>
      <c r="AF738">
        <v>24972.135131998239</v>
      </c>
      <c r="AG738">
        <v>85329.432476189802</v>
      </c>
    </row>
    <row r="739" spans="2:33" x14ac:dyDescent="0.25">
      <c r="B739">
        <v>14</v>
      </c>
      <c r="C739" t="s">
        <v>44</v>
      </c>
      <c r="D739" t="s">
        <v>26</v>
      </c>
      <c r="E739" t="s">
        <v>68</v>
      </c>
      <c r="F739">
        <v>569707</v>
      </c>
      <c r="G739">
        <v>963309</v>
      </c>
      <c r="H739">
        <v>35</v>
      </c>
      <c r="I739">
        <v>20022</v>
      </c>
      <c r="J739">
        <v>1.883619897665235</v>
      </c>
      <c r="K739">
        <v>918494</v>
      </c>
      <c r="L739">
        <v>2468957</v>
      </c>
      <c r="M739">
        <v>367812</v>
      </c>
      <c r="N739">
        <v>213773</v>
      </c>
      <c r="O739" s="43">
        <v>294850733.54328001</v>
      </c>
      <c r="P739" s="14">
        <f t="shared" si="35"/>
        <v>17245639.141200006</v>
      </c>
      <c r="Q739" s="14" t="str">
        <f t="shared" si="33"/>
        <v/>
      </c>
      <c r="R739" s="14" t="str">
        <f t="shared" si="33"/>
        <v/>
      </c>
      <c r="S739" s="14" t="str">
        <f t="shared" si="34"/>
        <v/>
      </c>
      <c r="T739" s="14" t="s">
        <v>72</v>
      </c>
      <c r="U739" s="14">
        <v>861.33448912196616</v>
      </c>
      <c r="V739">
        <v>6421</v>
      </c>
      <c r="W739">
        <v>34.465966796875001</v>
      </c>
      <c r="X739">
        <v>15.1408552717368</v>
      </c>
      <c r="Y739">
        <v>4.6323827363079397</v>
      </c>
      <c r="Z739" s="31">
        <v>1.6526118083191801</v>
      </c>
      <c r="AA739">
        <v>2.4666289698443098</v>
      </c>
      <c r="AB739">
        <v>6.8733000000000002E-2</v>
      </c>
      <c r="AC739">
        <v>395343.329528915</v>
      </c>
      <c r="AD739">
        <v>447054.23703129712</v>
      </c>
      <c r="AE739">
        <v>1</v>
      </c>
      <c r="AF739">
        <v>24972.135131998239</v>
      </c>
      <c r="AG739">
        <v>85329.432476189802</v>
      </c>
    </row>
    <row r="740" spans="2:33" x14ac:dyDescent="0.25">
      <c r="B740">
        <v>14</v>
      </c>
      <c r="C740" t="s">
        <v>44</v>
      </c>
      <c r="D740" t="s">
        <v>26</v>
      </c>
      <c r="E740" t="s">
        <v>68</v>
      </c>
      <c r="F740">
        <v>578897</v>
      </c>
      <c r="G740">
        <v>963309</v>
      </c>
      <c r="H740">
        <v>36</v>
      </c>
      <c r="I740">
        <v>7718</v>
      </c>
      <c r="J740">
        <v>1.0112435366014441</v>
      </c>
      <c r="K740">
        <v>918494</v>
      </c>
      <c r="L740">
        <v>2468957</v>
      </c>
      <c r="M740">
        <v>367812</v>
      </c>
      <c r="N740">
        <v>213773</v>
      </c>
      <c r="O740" s="43">
        <v>302853866.10336</v>
      </c>
      <c r="P740" s="14">
        <f t="shared" si="35"/>
        <v>8003132.5600799918</v>
      </c>
      <c r="Q740" s="14" t="str">
        <f t="shared" si="33"/>
        <v/>
      </c>
      <c r="R740" s="14" t="str">
        <f t="shared" si="33"/>
        <v/>
      </c>
      <c r="S740" s="14" t="str">
        <f t="shared" si="34"/>
        <v/>
      </c>
      <c r="T740" s="14" t="s">
        <v>72</v>
      </c>
      <c r="U740" s="14">
        <v>1036.9438403835179</v>
      </c>
      <c r="V740">
        <v>6421</v>
      </c>
      <c r="W740">
        <v>34.165673828125001</v>
      </c>
      <c r="X740">
        <v>13.6666179871465</v>
      </c>
      <c r="Y740">
        <v>4.63515417147691</v>
      </c>
      <c r="Z740" s="31">
        <v>5.0135651352497899</v>
      </c>
      <c r="AA740">
        <v>10.516082215839999</v>
      </c>
      <c r="AB740">
        <v>6.8733000000000002E-2</v>
      </c>
      <c r="AC740">
        <v>395343.329528915</v>
      </c>
      <c r="AD740">
        <v>447054.23703129712</v>
      </c>
      <c r="AE740">
        <v>1</v>
      </c>
      <c r="AF740">
        <v>24972.135131998239</v>
      </c>
      <c r="AG740">
        <v>85329.432476189802</v>
      </c>
    </row>
    <row r="741" spans="2:33" x14ac:dyDescent="0.25">
      <c r="B741">
        <v>14</v>
      </c>
      <c r="C741" t="s">
        <v>44</v>
      </c>
      <c r="D741" t="s">
        <v>26</v>
      </c>
      <c r="E741" t="s">
        <v>68</v>
      </c>
      <c r="F741">
        <v>626751</v>
      </c>
      <c r="G741">
        <v>963309</v>
      </c>
      <c r="H741">
        <v>37</v>
      </c>
      <c r="I741">
        <v>552555</v>
      </c>
      <c r="J741">
        <v>5.2657288575109336</v>
      </c>
      <c r="K741">
        <v>918494</v>
      </c>
      <c r="L741">
        <v>2468957</v>
      </c>
      <c r="M741">
        <v>367812</v>
      </c>
      <c r="N741">
        <v>213773</v>
      </c>
      <c r="O741" s="43">
        <v>308887351.5654</v>
      </c>
      <c r="P741" s="14">
        <f t="shared" si="35"/>
        <v>6033485.4620400071</v>
      </c>
      <c r="Q741" s="14" t="str">
        <f t="shared" si="33"/>
        <v/>
      </c>
      <c r="R741" s="14" t="str">
        <f t="shared" si="33"/>
        <v/>
      </c>
      <c r="S741" s="14" t="str">
        <f t="shared" si="34"/>
        <v/>
      </c>
      <c r="T741" s="14" t="s">
        <v>72</v>
      </c>
      <c r="U741" s="14">
        <v>10.919248693867592</v>
      </c>
      <c r="V741">
        <v>6421</v>
      </c>
      <c r="W741">
        <v>27.053002929687501</v>
      </c>
      <c r="X741">
        <v>17.291814757245199</v>
      </c>
      <c r="Y741">
        <v>2.9591274074768199</v>
      </c>
      <c r="Z741" s="31">
        <v>4.4501332600352201</v>
      </c>
      <c r="AA741">
        <v>8.1815826269280993</v>
      </c>
      <c r="AB741">
        <v>6.8733000000000002E-2</v>
      </c>
      <c r="AC741">
        <v>395343.329528915</v>
      </c>
      <c r="AD741">
        <v>447054.23703129712</v>
      </c>
      <c r="AE741">
        <v>1</v>
      </c>
      <c r="AF741">
        <v>24972.135131998239</v>
      </c>
      <c r="AG741">
        <v>85329.432476189802</v>
      </c>
    </row>
    <row r="742" spans="2:33" x14ac:dyDescent="0.25">
      <c r="B742">
        <v>14</v>
      </c>
      <c r="C742" t="s">
        <v>44</v>
      </c>
      <c r="D742" t="s">
        <v>26</v>
      </c>
      <c r="E742" t="s">
        <v>68</v>
      </c>
      <c r="F742">
        <v>662647</v>
      </c>
      <c r="G742">
        <v>963309</v>
      </c>
      <c r="H742">
        <v>38</v>
      </c>
      <c r="I742">
        <v>17118</v>
      </c>
      <c r="J742">
        <v>3.9499018487318192</v>
      </c>
      <c r="K742">
        <v>918494</v>
      </c>
      <c r="L742">
        <v>2468957</v>
      </c>
      <c r="M742">
        <v>367812</v>
      </c>
      <c r="N742">
        <v>213773</v>
      </c>
      <c r="O742" s="43">
        <v>322127479.20491999</v>
      </c>
      <c r="P742" s="14">
        <f t="shared" si="35"/>
        <v>13240127.639519989</v>
      </c>
      <c r="Q742" s="14" t="str">
        <f t="shared" si="33"/>
        <v/>
      </c>
      <c r="R742" s="14" t="str">
        <f t="shared" si="33"/>
        <v/>
      </c>
      <c r="S742" s="14" t="str">
        <f t="shared" si="34"/>
        <v/>
      </c>
      <c r="T742" s="14" t="s">
        <v>72</v>
      </c>
      <c r="U742" s="14">
        <v>773.46229930599304</v>
      </c>
      <c r="V742">
        <v>6421</v>
      </c>
      <c r="W742">
        <v>22.286706542968702</v>
      </c>
      <c r="X742">
        <v>19.7194274530709</v>
      </c>
      <c r="Y742">
        <v>2.1613497709574099</v>
      </c>
      <c r="Z742" s="31">
        <v>3.62951207031566</v>
      </c>
      <c r="AA742">
        <v>7.0873575504981998</v>
      </c>
      <c r="AB742">
        <v>6.8733000000000002E-2</v>
      </c>
      <c r="AC742">
        <v>395343.329528915</v>
      </c>
      <c r="AD742">
        <v>447054.23703129712</v>
      </c>
      <c r="AE742">
        <v>1</v>
      </c>
      <c r="AF742">
        <v>24972.135131998239</v>
      </c>
      <c r="AG742">
        <v>85329.432476189802</v>
      </c>
    </row>
    <row r="743" spans="2:33" x14ac:dyDescent="0.25">
      <c r="B743">
        <v>14</v>
      </c>
      <c r="C743" t="s">
        <v>44</v>
      </c>
      <c r="D743" t="s">
        <v>26</v>
      </c>
      <c r="E743" t="s">
        <v>68</v>
      </c>
      <c r="F743">
        <v>700630</v>
      </c>
      <c r="G743">
        <v>963309</v>
      </c>
      <c r="H743">
        <v>39</v>
      </c>
      <c r="I743">
        <v>9190</v>
      </c>
      <c r="J743">
        <v>4.1795498640623103</v>
      </c>
      <c r="K743">
        <v>918494</v>
      </c>
      <c r="L743">
        <v>2468957</v>
      </c>
      <c r="M743">
        <v>367812</v>
      </c>
      <c r="N743">
        <v>213773</v>
      </c>
      <c r="O743" s="43">
        <v>342389853.72719997</v>
      </c>
      <c r="P743" s="14">
        <f t="shared" si="35"/>
        <v>20262374.522279978</v>
      </c>
      <c r="Q743" s="14" t="str">
        <f t="shared" si="33"/>
        <v/>
      </c>
      <c r="R743" s="14" t="str">
        <f t="shared" si="33"/>
        <v/>
      </c>
      <c r="S743" s="14" t="str">
        <f t="shared" si="34"/>
        <v/>
      </c>
      <c r="T743" s="14" t="s">
        <v>72</v>
      </c>
      <c r="U743" s="14">
        <v>2204.82856608052</v>
      </c>
      <c r="V743">
        <v>6421</v>
      </c>
      <c r="W743">
        <v>24.618188476562501</v>
      </c>
      <c r="X743">
        <v>21.4594016454488</v>
      </c>
      <c r="Y743">
        <v>2.4331317811857698</v>
      </c>
      <c r="Z743" s="31">
        <v>2.6940912405289099</v>
      </c>
      <c r="AA743">
        <v>5.18995871773381</v>
      </c>
      <c r="AB743">
        <v>6.8733000000000002E-2</v>
      </c>
      <c r="AC743">
        <v>395343.329528915</v>
      </c>
      <c r="AD743">
        <v>447054.23703129712</v>
      </c>
      <c r="AE743">
        <v>1</v>
      </c>
      <c r="AF743">
        <v>24972.135131998239</v>
      </c>
      <c r="AG743">
        <v>85329.432476189802</v>
      </c>
    </row>
    <row r="744" spans="2:33" x14ac:dyDescent="0.25">
      <c r="B744">
        <v>14</v>
      </c>
      <c r="C744" t="s">
        <v>44</v>
      </c>
      <c r="D744" t="s">
        <v>26</v>
      </c>
      <c r="E744" t="s">
        <v>68</v>
      </c>
      <c r="F744">
        <v>714219</v>
      </c>
      <c r="G744">
        <v>963309</v>
      </c>
      <c r="H744">
        <v>40</v>
      </c>
      <c r="I744">
        <v>47854</v>
      </c>
      <c r="J744">
        <v>1.495297978115018</v>
      </c>
      <c r="K744">
        <v>918494</v>
      </c>
      <c r="L744">
        <v>2468957</v>
      </c>
      <c r="M744">
        <v>367812</v>
      </c>
      <c r="N744">
        <v>213773</v>
      </c>
      <c r="O744" s="43">
        <v>354899346.44651997</v>
      </c>
      <c r="P744" s="14">
        <f t="shared" si="35"/>
        <v>12509492.719319999</v>
      </c>
      <c r="Q744" s="14" t="str">
        <f t="shared" si="33"/>
        <v/>
      </c>
      <c r="R744" s="14" t="str">
        <f t="shared" si="33"/>
        <v/>
      </c>
      <c r="S744" s="14" t="str">
        <f t="shared" si="34"/>
        <v/>
      </c>
      <c r="T744" s="14" t="s">
        <v>72</v>
      </c>
      <c r="U744" s="14">
        <v>261.40955237430518</v>
      </c>
      <c r="V744">
        <v>6421</v>
      </c>
      <c r="W744">
        <v>26.833886718750001</v>
      </c>
      <c r="X744">
        <v>21.6253328556189</v>
      </c>
      <c r="Y744">
        <v>2.7681072337336601</v>
      </c>
      <c r="Z744" s="31">
        <v>3.3646082118448599</v>
      </c>
      <c r="AA744">
        <v>5.7568181880081903</v>
      </c>
      <c r="AB744">
        <v>6.8733000000000002E-2</v>
      </c>
      <c r="AC744">
        <v>395343.329528915</v>
      </c>
      <c r="AD744">
        <v>447054.23703129712</v>
      </c>
      <c r="AE744">
        <v>1</v>
      </c>
      <c r="AF744">
        <v>24972.135131998239</v>
      </c>
      <c r="AG744">
        <v>85329.432476189802</v>
      </c>
    </row>
    <row r="745" spans="2:33" x14ac:dyDescent="0.25">
      <c r="B745">
        <v>14</v>
      </c>
      <c r="C745" t="s">
        <v>44</v>
      </c>
      <c r="D745" t="s">
        <v>26</v>
      </c>
      <c r="E745" t="s">
        <v>68</v>
      </c>
      <c r="F745">
        <v>721298</v>
      </c>
      <c r="G745">
        <v>963309</v>
      </c>
      <c r="H745">
        <v>41</v>
      </c>
      <c r="I745">
        <v>35896</v>
      </c>
      <c r="J745">
        <v>0.77895462411334271</v>
      </c>
      <c r="K745">
        <v>918494</v>
      </c>
      <c r="L745">
        <v>2468957</v>
      </c>
      <c r="M745">
        <v>367812</v>
      </c>
      <c r="N745">
        <v>213773</v>
      </c>
      <c r="O745" s="43">
        <v>367605646.81308001</v>
      </c>
      <c r="P745" s="14">
        <f t="shared" si="35"/>
        <v>12706300.366560042</v>
      </c>
      <c r="Q745" s="14" t="str">
        <f t="shared" si="33"/>
        <v/>
      </c>
      <c r="R745" s="14" t="str">
        <f t="shared" si="33"/>
        <v/>
      </c>
      <c r="S745" s="14" t="str">
        <f t="shared" si="34"/>
        <v/>
      </c>
      <c r="T745" s="14" t="s">
        <v>72</v>
      </c>
      <c r="U745" s="14">
        <v>353.97538351237023</v>
      </c>
      <c r="V745">
        <v>6421</v>
      </c>
      <c r="W745">
        <v>22.761254882812501</v>
      </c>
      <c r="X745">
        <v>29.006061598171499</v>
      </c>
      <c r="Y745">
        <v>1.96695010880619</v>
      </c>
      <c r="Z745" s="31">
        <v>3.8730079583517898</v>
      </c>
      <c r="AA745">
        <v>6.53200207213452</v>
      </c>
      <c r="AB745">
        <v>6.8733000000000002E-2</v>
      </c>
      <c r="AC745">
        <v>395343.329528915</v>
      </c>
      <c r="AD745">
        <v>447054.23703129712</v>
      </c>
      <c r="AE745">
        <v>1</v>
      </c>
      <c r="AF745">
        <v>24972.135131998239</v>
      </c>
      <c r="AG745">
        <v>85329.432476189802</v>
      </c>
    </row>
    <row r="746" spans="2:33" x14ac:dyDescent="0.25">
      <c r="B746">
        <v>14</v>
      </c>
      <c r="C746" t="s">
        <v>44</v>
      </c>
      <c r="D746" t="s">
        <v>26</v>
      </c>
      <c r="E746" t="s">
        <v>68</v>
      </c>
      <c r="F746">
        <v>725821.5</v>
      </c>
      <c r="G746">
        <v>963309</v>
      </c>
      <c r="H746">
        <v>42</v>
      </c>
      <c r="I746">
        <v>37983</v>
      </c>
      <c r="J746">
        <v>0.49775409551867572</v>
      </c>
      <c r="K746">
        <v>918494</v>
      </c>
      <c r="L746">
        <v>2468957</v>
      </c>
      <c r="M746">
        <v>367812</v>
      </c>
      <c r="N746">
        <v>213773</v>
      </c>
      <c r="O746" s="43">
        <v>379498392.49787998</v>
      </c>
      <c r="P746" s="14">
        <f t="shared" si="35"/>
        <v>11892745.684799969</v>
      </c>
      <c r="Q746" s="14" t="str">
        <f t="shared" si="33"/>
        <v/>
      </c>
      <c r="R746" s="14" t="str">
        <f t="shared" si="33"/>
        <v/>
      </c>
      <c r="S746" s="14" t="str">
        <f t="shared" si="34"/>
        <v/>
      </c>
      <c r="T746" s="14" t="s">
        <v>72</v>
      </c>
      <c r="U746" s="14">
        <v>313.10706591896292</v>
      </c>
      <c r="V746">
        <v>6421</v>
      </c>
      <c r="W746">
        <v>26.134332275390602</v>
      </c>
      <c r="X746">
        <v>16.630577950377699</v>
      </c>
      <c r="Y746">
        <v>2.82598600445752</v>
      </c>
      <c r="Z746" s="31">
        <v>3.5307559824886199</v>
      </c>
      <c r="AA746">
        <v>5.1605476620158601</v>
      </c>
      <c r="AB746">
        <v>6.8733000000000002E-2</v>
      </c>
      <c r="AC746">
        <v>395343.329528915</v>
      </c>
      <c r="AD746">
        <v>447054.23703129712</v>
      </c>
      <c r="AE746">
        <v>1</v>
      </c>
      <c r="AF746">
        <v>24972.135131998239</v>
      </c>
      <c r="AG746">
        <v>85329.432476189802</v>
      </c>
    </row>
    <row r="747" spans="2:33" x14ac:dyDescent="0.25">
      <c r="B747">
        <v>14</v>
      </c>
      <c r="C747" t="s">
        <v>44</v>
      </c>
      <c r="D747" t="s">
        <v>26</v>
      </c>
      <c r="E747" t="s">
        <v>68</v>
      </c>
      <c r="F747">
        <v>727896</v>
      </c>
      <c r="G747">
        <v>963309</v>
      </c>
      <c r="H747">
        <v>43</v>
      </c>
      <c r="I747">
        <v>13589</v>
      </c>
      <c r="J747">
        <v>0.22827254806090261</v>
      </c>
      <c r="K747">
        <v>918494</v>
      </c>
      <c r="L747">
        <v>2468957</v>
      </c>
      <c r="M747">
        <v>367812</v>
      </c>
      <c r="N747">
        <v>213773</v>
      </c>
      <c r="O747" s="43">
        <v>379498392.49787998</v>
      </c>
      <c r="P747" s="14">
        <f t="shared" si="35"/>
        <v>0</v>
      </c>
      <c r="Q747" s="14" t="str">
        <f t="shared" si="33"/>
        <v/>
      </c>
      <c r="R747" s="14" t="str">
        <f t="shared" si="33"/>
        <v/>
      </c>
      <c r="S747" s="14" t="str">
        <f t="shared" si="34"/>
        <v/>
      </c>
      <c r="T747" s="14" t="s">
        <v>72</v>
      </c>
      <c r="U747" s="14">
        <v>0</v>
      </c>
      <c r="V747">
        <v>6421</v>
      </c>
      <c r="W747">
        <v>25.548364257812501</v>
      </c>
      <c r="X747">
        <v>14.226987949901799</v>
      </c>
      <c r="Y747">
        <v>2.8085098022611801</v>
      </c>
      <c r="Z747" s="31">
        <v>4.1955206069999997</v>
      </c>
      <c r="AA747">
        <v>7.0115806805410799</v>
      </c>
      <c r="AB747">
        <v>6.8733000000000002E-2</v>
      </c>
      <c r="AC747">
        <v>395343.329528915</v>
      </c>
      <c r="AD747">
        <v>447054.23703129712</v>
      </c>
      <c r="AE747">
        <v>1</v>
      </c>
      <c r="AF747">
        <v>24972.135131998239</v>
      </c>
      <c r="AG747">
        <v>85329.432476189802</v>
      </c>
    </row>
    <row r="748" spans="2:33" x14ac:dyDescent="0.25">
      <c r="B748">
        <v>14</v>
      </c>
      <c r="C748" t="s">
        <v>44</v>
      </c>
      <c r="D748" t="s">
        <v>26</v>
      </c>
      <c r="E748" t="s">
        <v>68</v>
      </c>
      <c r="F748">
        <v>735064</v>
      </c>
      <c r="G748">
        <v>963309</v>
      </c>
      <c r="H748">
        <v>44</v>
      </c>
      <c r="I748">
        <v>7079</v>
      </c>
      <c r="J748">
        <v>0.78874795107281259</v>
      </c>
      <c r="K748">
        <v>918494</v>
      </c>
      <c r="L748">
        <v>2468957</v>
      </c>
      <c r="M748">
        <v>367812</v>
      </c>
      <c r="N748">
        <v>213773</v>
      </c>
      <c r="O748" s="43">
        <v>401359502.22299999</v>
      </c>
      <c r="P748" s="14">
        <f t="shared" si="35"/>
        <v>21861109.725120008</v>
      </c>
      <c r="Q748" s="14" t="str">
        <f t="shared" si="33"/>
        <v/>
      </c>
      <c r="R748" s="14" t="str">
        <f t="shared" si="33"/>
        <v/>
      </c>
      <c r="S748" s="14" t="str">
        <f t="shared" si="34"/>
        <v/>
      </c>
      <c r="T748" s="14" t="s">
        <v>72</v>
      </c>
      <c r="U748" s="14">
        <v>3088.1635435965545</v>
      </c>
      <c r="V748">
        <v>6421</v>
      </c>
      <c r="W748">
        <v>24.832269287109401</v>
      </c>
      <c r="X748">
        <v>17.023571426894801</v>
      </c>
      <c r="Y748">
        <v>2.6036947093879199</v>
      </c>
      <c r="Z748" s="31">
        <v>4.0532987250000003</v>
      </c>
      <c r="AA748">
        <v>7.2367986874858596</v>
      </c>
      <c r="AB748">
        <v>6.8733000000000002E-2</v>
      </c>
      <c r="AC748">
        <v>395343.329528915</v>
      </c>
      <c r="AD748">
        <v>447054.23703129712</v>
      </c>
      <c r="AE748">
        <v>1</v>
      </c>
      <c r="AF748">
        <v>24972.135131998239</v>
      </c>
      <c r="AG748">
        <v>85329.432476189802</v>
      </c>
    </row>
    <row r="749" spans="2:33" x14ac:dyDescent="0.25">
      <c r="B749">
        <v>14</v>
      </c>
      <c r="C749" t="s">
        <v>44</v>
      </c>
      <c r="D749" t="s">
        <v>26</v>
      </c>
      <c r="E749" t="s">
        <v>68</v>
      </c>
      <c r="F749">
        <v>742724</v>
      </c>
      <c r="G749">
        <v>963309</v>
      </c>
      <c r="H749">
        <v>45</v>
      </c>
      <c r="I749">
        <v>4523.5</v>
      </c>
      <c r="J749">
        <v>0.8428863428038148</v>
      </c>
      <c r="K749">
        <v>918494</v>
      </c>
      <c r="L749">
        <v>2468957</v>
      </c>
      <c r="M749">
        <v>367812</v>
      </c>
      <c r="N749">
        <v>213773</v>
      </c>
      <c r="O749" s="43">
        <v>407301993.16632003</v>
      </c>
      <c r="P749" s="14">
        <f t="shared" si="35"/>
        <v>5942490.9433200359</v>
      </c>
      <c r="Q749" s="14" t="str">
        <f t="shared" si="33"/>
        <v/>
      </c>
      <c r="R749" s="14" t="str">
        <f t="shared" si="33"/>
        <v/>
      </c>
      <c r="S749" s="14" t="str">
        <f t="shared" si="34"/>
        <v/>
      </c>
      <c r="T749" s="14" t="s">
        <v>72</v>
      </c>
      <c r="U749" s="14">
        <v>1313.6931454227868</v>
      </c>
      <c r="V749">
        <v>6421</v>
      </c>
      <c r="W749">
        <v>25.723474121093702</v>
      </c>
      <c r="X749">
        <v>13.7486202021575</v>
      </c>
      <c r="Y749">
        <v>2.85362440175424</v>
      </c>
      <c r="Z749" s="31">
        <v>4.1001385033644198</v>
      </c>
      <c r="AA749">
        <v>6.9836025919850497</v>
      </c>
      <c r="AB749">
        <v>6.8733000000000002E-2</v>
      </c>
      <c r="AC749">
        <v>395343.329528915</v>
      </c>
      <c r="AD749">
        <v>447054.23703129712</v>
      </c>
      <c r="AE749">
        <v>1</v>
      </c>
      <c r="AF749">
        <v>24972.135131998239</v>
      </c>
      <c r="AG749">
        <v>85329.432476189802</v>
      </c>
    </row>
    <row r="750" spans="2:33" x14ac:dyDescent="0.25">
      <c r="B750">
        <v>14</v>
      </c>
      <c r="C750" t="s">
        <v>44</v>
      </c>
      <c r="D750" t="s">
        <v>26</v>
      </c>
      <c r="E750" t="s">
        <v>68</v>
      </c>
      <c r="F750">
        <v>750672</v>
      </c>
      <c r="G750">
        <v>963309</v>
      </c>
      <c r="H750">
        <v>46</v>
      </c>
      <c r="I750">
        <v>2074.5</v>
      </c>
      <c r="J750">
        <v>0.87457710869513317</v>
      </c>
      <c r="K750">
        <v>918494</v>
      </c>
      <c r="L750">
        <v>2468957</v>
      </c>
      <c r="M750">
        <v>367812</v>
      </c>
      <c r="N750">
        <v>213773</v>
      </c>
      <c r="O750" s="43">
        <v>425872982.53439999</v>
      </c>
      <c r="P750" s="14">
        <f t="shared" si="35"/>
        <v>18570989.36807996</v>
      </c>
      <c r="Q750" s="14" t="str">
        <f t="shared" si="33"/>
        <v/>
      </c>
      <c r="R750" s="14" t="str">
        <f t="shared" si="33"/>
        <v/>
      </c>
      <c r="S750" s="14" t="str">
        <f t="shared" si="34"/>
        <v/>
      </c>
      <c r="T750" s="14" t="s">
        <v>72</v>
      </c>
      <c r="U750" s="14">
        <v>8952.0315102820059</v>
      </c>
      <c r="V750">
        <v>6421</v>
      </c>
      <c r="W750">
        <v>29.296228027343702</v>
      </c>
      <c r="X750">
        <v>12.275015115427699</v>
      </c>
      <c r="Y750">
        <v>3.57575917452156</v>
      </c>
      <c r="Z750" s="31">
        <v>1.7891589828075301</v>
      </c>
      <c r="AA750">
        <v>2.9085431565050999</v>
      </c>
      <c r="AB750">
        <v>6.8733000000000002E-2</v>
      </c>
      <c r="AC750">
        <v>395343.329528915</v>
      </c>
      <c r="AD750">
        <v>447054.23703129712</v>
      </c>
      <c r="AE750">
        <v>1</v>
      </c>
      <c r="AF750">
        <v>24972.135131998239</v>
      </c>
      <c r="AG750">
        <v>85329.432476189802</v>
      </c>
    </row>
    <row r="751" spans="2:33" x14ac:dyDescent="0.25">
      <c r="B751">
        <v>14</v>
      </c>
      <c r="C751" t="s">
        <v>44</v>
      </c>
      <c r="D751" t="s">
        <v>26</v>
      </c>
      <c r="E751" t="s">
        <v>68</v>
      </c>
      <c r="F751">
        <v>756768</v>
      </c>
      <c r="G751">
        <v>963309</v>
      </c>
      <c r="H751">
        <v>47</v>
      </c>
      <c r="I751">
        <v>7168</v>
      </c>
      <c r="J751">
        <v>0.67078787803290529</v>
      </c>
      <c r="K751">
        <v>918494</v>
      </c>
      <c r="L751">
        <v>2468957</v>
      </c>
      <c r="M751">
        <v>367812</v>
      </c>
      <c r="N751">
        <v>213773</v>
      </c>
      <c r="O751" s="43">
        <v>440918384.34456003</v>
      </c>
      <c r="P751" s="14">
        <f t="shared" si="35"/>
        <v>15045401.810160041</v>
      </c>
      <c r="Q751" s="14" t="str">
        <f t="shared" si="33"/>
        <v/>
      </c>
      <c r="R751" s="14" t="str">
        <f t="shared" si="33"/>
        <v/>
      </c>
      <c r="S751" s="14" t="str">
        <f t="shared" si="34"/>
        <v/>
      </c>
      <c r="T751" s="14" t="s">
        <v>72</v>
      </c>
      <c r="U751" s="14">
        <v>2098.967886462051</v>
      </c>
      <c r="V751">
        <v>6421</v>
      </c>
      <c r="W751">
        <v>29.764123535156202</v>
      </c>
      <c r="X751">
        <v>14.7116320510144</v>
      </c>
      <c r="Y751">
        <v>3.5711228692271701</v>
      </c>
      <c r="Z751" s="31">
        <v>0.82261792383573495</v>
      </c>
      <c r="AA751">
        <v>1.3855271411983401</v>
      </c>
      <c r="AB751">
        <v>6.8733000000000002E-2</v>
      </c>
      <c r="AC751">
        <v>395343.329528915</v>
      </c>
      <c r="AD751">
        <v>447054.23703129712</v>
      </c>
      <c r="AE751">
        <v>1</v>
      </c>
      <c r="AF751">
        <v>24972.135131998239</v>
      </c>
      <c r="AG751">
        <v>85329.432476189802</v>
      </c>
    </row>
    <row r="752" spans="2:33" x14ac:dyDescent="0.25">
      <c r="B752">
        <v>14</v>
      </c>
      <c r="C752" t="s">
        <v>44</v>
      </c>
      <c r="D752" t="s">
        <v>26</v>
      </c>
      <c r="E752" t="s">
        <v>68</v>
      </c>
      <c r="F752">
        <v>759218</v>
      </c>
      <c r="G752">
        <v>963309</v>
      </c>
      <c r="H752">
        <v>48</v>
      </c>
      <c r="I752">
        <v>7660</v>
      </c>
      <c r="J752">
        <v>0.26959158483934031</v>
      </c>
      <c r="K752">
        <v>918494</v>
      </c>
      <c r="L752">
        <v>2468957</v>
      </c>
      <c r="M752">
        <v>367812</v>
      </c>
      <c r="N752">
        <v>213773</v>
      </c>
      <c r="O752" s="43">
        <v>441162138.88547999</v>
      </c>
      <c r="P752" s="14">
        <f t="shared" si="35"/>
        <v>243754.54091995955</v>
      </c>
      <c r="Q752" s="14" t="str">
        <f t="shared" si="33"/>
        <v/>
      </c>
      <c r="R752" s="14" t="str">
        <f t="shared" si="33"/>
        <v/>
      </c>
      <c r="S752" s="14" t="str">
        <f t="shared" si="34"/>
        <v/>
      </c>
      <c r="T752" s="14" t="s">
        <v>72</v>
      </c>
      <c r="U752" s="14">
        <v>31.821741634467251</v>
      </c>
      <c r="V752">
        <v>6421</v>
      </c>
      <c r="W752">
        <v>30.855645751953102</v>
      </c>
      <c r="X752">
        <v>12.686956369210501</v>
      </c>
      <c r="Y752">
        <v>3.8914668159024202</v>
      </c>
      <c r="Z752" s="31">
        <v>1.10744960206085</v>
      </c>
      <c r="AA752">
        <v>1.9357193722374799</v>
      </c>
      <c r="AB752">
        <v>6.8733000000000002E-2</v>
      </c>
      <c r="AC752">
        <v>395343.329528915</v>
      </c>
      <c r="AD752">
        <v>447054.23703129712</v>
      </c>
      <c r="AE752">
        <v>1</v>
      </c>
      <c r="AF752">
        <v>24972.135131998239</v>
      </c>
      <c r="AG752">
        <v>85329.432476189802</v>
      </c>
    </row>
    <row r="753" spans="2:33" x14ac:dyDescent="0.25">
      <c r="B753">
        <v>14</v>
      </c>
      <c r="C753" t="s">
        <v>44</v>
      </c>
      <c r="D753" t="s">
        <v>26</v>
      </c>
      <c r="E753" t="s">
        <v>68</v>
      </c>
      <c r="F753">
        <v>771183</v>
      </c>
      <c r="G753">
        <v>963309</v>
      </c>
      <c r="H753">
        <v>49</v>
      </c>
      <c r="I753">
        <v>7948</v>
      </c>
      <c r="J753">
        <v>1.3165972704500839</v>
      </c>
      <c r="K753">
        <v>918494</v>
      </c>
      <c r="L753">
        <v>2468957</v>
      </c>
      <c r="M753">
        <v>367812</v>
      </c>
      <c r="N753">
        <v>213773</v>
      </c>
      <c r="O753" s="43">
        <v>456755625.72144002</v>
      </c>
      <c r="P753" s="14">
        <f t="shared" si="35"/>
        <v>15593486.835960031</v>
      </c>
      <c r="Q753" s="14" t="str">
        <f t="shared" si="33"/>
        <v/>
      </c>
      <c r="R753" s="14" t="str">
        <f t="shared" si="33"/>
        <v/>
      </c>
      <c r="S753" s="14" t="str">
        <f t="shared" si="34"/>
        <v/>
      </c>
      <c r="T753" s="14" t="s">
        <v>72</v>
      </c>
      <c r="U753" s="14">
        <v>1961.9384544489219</v>
      </c>
      <c r="V753">
        <v>6421</v>
      </c>
      <c r="W753">
        <v>31.730706787109401</v>
      </c>
      <c r="X753">
        <v>9.6576031297488498</v>
      </c>
      <c r="Y753">
        <v>4.2317469929999998</v>
      </c>
      <c r="Z753" s="31">
        <v>4.2150495793401896</v>
      </c>
      <c r="AA753">
        <v>7.6768537597437403</v>
      </c>
      <c r="AB753">
        <v>6.8733000000000002E-2</v>
      </c>
      <c r="AC753">
        <v>395343.329528915</v>
      </c>
      <c r="AD753">
        <v>447054.23703129712</v>
      </c>
      <c r="AE753">
        <v>1</v>
      </c>
      <c r="AF753">
        <v>24972.135131998239</v>
      </c>
      <c r="AG753">
        <v>85329.432476189802</v>
      </c>
    </row>
    <row r="754" spans="2:33" x14ac:dyDescent="0.25">
      <c r="B754">
        <v>14</v>
      </c>
      <c r="C754" t="s">
        <v>44</v>
      </c>
      <c r="D754" t="s">
        <v>26</v>
      </c>
      <c r="E754" t="s">
        <v>68</v>
      </c>
      <c r="F754">
        <v>807396</v>
      </c>
      <c r="G754">
        <v>963309</v>
      </c>
      <c r="H754">
        <v>50</v>
      </c>
      <c r="I754">
        <v>6096</v>
      </c>
      <c r="J754">
        <v>3.9847836986885832</v>
      </c>
      <c r="K754">
        <v>918494</v>
      </c>
      <c r="L754">
        <v>2468957</v>
      </c>
      <c r="M754">
        <v>367812</v>
      </c>
      <c r="N754">
        <v>213773</v>
      </c>
      <c r="O754" s="43">
        <v>467412941.47608</v>
      </c>
      <c r="P754" s="14">
        <f t="shared" si="35"/>
        <v>10657315.754639983</v>
      </c>
      <c r="Q754" s="14" t="str">
        <f t="shared" si="33"/>
        <v/>
      </c>
      <c r="R754" s="14" t="str">
        <f t="shared" si="33"/>
        <v/>
      </c>
      <c r="S754" s="14" t="str">
        <f t="shared" si="34"/>
        <v/>
      </c>
      <c r="T754" s="14" t="s">
        <v>72</v>
      </c>
      <c r="U754" s="14">
        <v>1748.2473350787375</v>
      </c>
      <c r="V754">
        <v>6421</v>
      </c>
      <c r="W754">
        <v>30.907312011718702</v>
      </c>
      <c r="X754">
        <v>8.8674093240000005</v>
      </c>
      <c r="Y754">
        <v>4.0738934509979199</v>
      </c>
      <c r="Z754" s="31">
        <v>4.74633268465724</v>
      </c>
      <c r="AA754">
        <v>9.5839820949003798</v>
      </c>
      <c r="AB754">
        <v>6.8733000000000002E-2</v>
      </c>
      <c r="AC754">
        <v>395343.329528915</v>
      </c>
      <c r="AD754">
        <v>447054.23703129712</v>
      </c>
      <c r="AE754">
        <v>1</v>
      </c>
      <c r="AF754">
        <v>24972.135131998239</v>
      </c>
      <c r="AG754">
        <v>85329.432476189802</v>
      </c>
    </row>
    <row r="755" spans="2:33" x14ac:dyDescent="0.25">
      <c r="B755">
        <v>14</v>
      </c>
      <c r="C755" t="s">
        <v>44</v>
      </c>
      <c r="D755" t="s">
        <v>26</v>
      </c>
      <c r="E755" t="s">
        <v>68</v>
      </c>
      <c r="F755">
        <v>844081</v>
      </c>
      <c r="G755">
        <v>963309</v>
      </c>
      <c r="H755">
        <v>51</v>
      </c>
      <c r="I755">
        <v>2450</v>
      </c>
      <c r="J755">
        <v>4.0367213427882431</v>
      </c>
      <c r="K755">
        <v>918494</v>
      </c>
      <c r="L755">
        <v>2468957</v>
      </c>
      <c r="M755">
        <v>367812</v>
      </c>
      <c r="N755">
        <v>213773</v>
      </c>
      <c r="O755" s="43">
        <v>478677040.00812</v>
      </c>
      <c r="P755" s="14">
        <f t="shared" si="35"/>
        <v>11264098.53204</v>
      </c>
      <c r="Q755" s="14" t="str">
        <f t="shared" si="33"/>
        <v/>
      </c>
      <c r="R755" s="14" t="str">
        <f t="shared" si="33"/>
        <v/>
      </c>
      <c r="S755" s="14" t="str">
        <f t="shared" si="34"/>
        <v/>
      </c>
      <c r="T755" s="14" t="s">
        <v>72</v>
      </c>
      <c r="U755" s="14">
        <v>4597.591237567347</v>
      </c>
      <c r="V755">
        <v>6421</v>
      </c>
      <c r="W755">
        <v>28.784753417968702</v>
      </c>
      <c r="X755">
        <v>9.4274334320000008</v>
      </c>
      <c r="Y755">
        <v>3.5845156158335199</v>
      </c>
      <c r="Z755" s="31">
        <v>4.5443160815613997</v>
      </c>
      <c r="AA755">
        <v>8.6693116499999991</v>
      </c>
      <c r="AB755">
        <v>6.8733000000000002E-2</v>
      </c>
      <c r="AC755">
        <v>395343.329528915</v>
      </c>
      <c r="AD755">
        <v>447054.23703129712</v>
      </c>
      <c r="AE755">
        <v>1</v>
      </c>
      <c r="AF755">
        <v>24972.135131998239</v>
      </c>
      <c r="AG755">
        <v>85329.432476189802</v>
      </c>
    </row>
    <row r="756" spans="2:33" x14ac:dyDescent="0.25">
      <c r="B756">
        <v>14</v>
      </c>
      <c r="C756" t="s">
        <v>44</v>
      </c>
      <c r="D756" t="s">
        <v>26</v>
      </c>
      <c r="E756" t="s">
        <v>68</v>
      </c>
      <c r="F756">
        <v>859457</v>
      </c>
      <c r="G756">
        <v>963309</v>
      </c>
      <c r="H756">
        <v>52</v>
      </c>
      <c r="I756">
        <v>11965</v>
      </c>
      <c r="J756">
        <v>1.691934778975386</v>
      </c>
      <c r="K756">
        <v>918494</v>
      </c>
      <c r="L756">
        <v>2468957</v>
      </c>
      <c r="M756">
        <v>367812</v>
      </c>
      <c r="N756">
        <v>213773</v>
      </c>
      <c r="O756" s="43">
        <v>489323924.50176001</v>
      </c>
      <c r="P756" s="14">
        <f t="shared" si="35"/>
        <v>10646884.493640006</v>
      </c>
      <c r="Q756" s="14" t="str">
        <f t="shared" si="33"/>
        <v/>
      </c>
      <c r="R756" s="14" t="str">
        <f t="shared" si="33"/>
        <v/>
      </c>
      <c r="S756" s="14" t="str">
        <f t="shared" si="34"/>
        <v/>
      </c>
      <c r="T756" s="14" t="s">
        <v>72</v>
      </c>
      <c r="U756" s="14">
        <v>889.83572867864655</v>
      </c>
      <c r="V756">
        <v>6421</v>
      </c>
      <c r="W756">
        <v>25.480493164062501</v>
      </c>
      <c r="X756">
        <v>13.064496928541301</v>
      </c>
      <c r="Y756">
        <v>2.8351633803652998</v>
      </c>
      <c r="Z756" s="31">
        <v>4.3710255925427299</v>
      </c>
      <c r="AA756">
        <v>7.6123354528397504</v>
      </c>
      <c r="AB756">
        <v>6.8733000000000002E-2</v>
      </c>
      <c r="AC756">
        <v>395343.329528915</v>
      </c>
      <c r="AD756">
        <v>447054.23703129712</v>
      </c>
      <c r="AE756">
        <v>1</v>
      </c>
      <c r="AF756">
        <v>24972.135131998239</v>
      </c>
      <c r="AG756">
        <v>85329.432476189802</v>
      </c>
    </row>
    <row r="757" spans="2:33" x14ac:dyDescent="0.25">
      <c r="B757">
        <v>14</v>
      </c>
      <c r="C757" t="s">
        <v>44</v>
      </c>
      <c r="D757" t="s">
        <v>26</v>
      </c>
      <c r="E757" t="s">
        <v>68</v>
      </c>
      <c r="F757">
        <v>865703</v>
      </c>
      <c r="G757">
        <v>963309</v>
      </c>
      <c r="H757">
        <v>53</v>
      </c>
      <c r="I757">
        <v>36213</v>
      </c>
      <c r="J757">
        <v>0.68729348526796696</v>
      </c>
      <c r="K757">
        <v>918494</v>
      </c>
      <c r="L757">
        <v>2468957</v>
      </c>
      <c r="M757">
        <v>367812</v>
      </c>
      <c r="N757">
        <v>213773</v>
      </c>
      <c r="O757" s="43">
        <v>524628262.19304001</v>
      </c>
      <c r="P757" s="14">
        <f t="shared" si="35"/>
        <v>35304337.691280007</v>
      </c>
      <c r="Q757" s="14" t="str">
        <f t="shared" si="33"/>
        <v/>
      </c>
      <c r="R757" s="14" t="str">
        <f t="shared" si="33"/>
        <v/>
      </c>
      <c r="S757" s="14" t="str">
        <f t="shared" si="34"/>
        <v/>
      </c>
      <c r="T757" s="14" t="s">
        <v>72</v>
      </c>
      <c r="U757" s="14">
        <v>974.90784224670722</v>
      </c>
      <c r="V757">
        <v>6421</v>
      </c>
      <c r="W757">
        <v>25.888421630859401</v>
      </c>
      <c r="X757">
        <v>14.282906020297199</v>
      </c>
      <c r="Y757">
        <v>2.86374076441964</v>
      </c>
      <c r="Z757" s="31">
        <v>3.0128332957350601</v>
      </c>
      <c r="AA757">
        <v>4.0101134229062296</v>
      </c>
      <c r="AB757">
        <v>6.8733000000000002E-2</v>
      </c>
      <c r="AC757">
        <v>395343.329528915</v>
      </c>
      <c r="AD757">
        <v>447054.23703129712</v>
      </c>
      <c r="AE757">
        <v>1</v>
      </c>
      <c r="AF757">
        <v>24972.135131998239</v>
      </c>
      <c r="AG757">
        <v>85329.432476189802</v>
      </c>
    </row>
    <row r="758" spans="2:33" x14ac:dyDescent="0.25">
      <c r="B758">
        <v>14</v>
      </c>
      <c r="C758" t="s">
        <v>44</v>
      </c>
      <c r="D758" t="s">
        <v>26</v>
      </c>
      <c r="E758" t="s">
        <v>68</v>
      </c>
      <c r="F758">
        <v>885954</v>
      </c>
      <c r="G758">
        <v>963309</v>
      </c>
      <c r="H758">
        <v>54</v>
      </c>
      <c r="I758">
        <v>36685</v>
      </c>
      <c r="J758">
        <v>2.2283670141148888</v>
      </c>
      <c r="K758">
        <v>918494</v>
      </c>
      <c r="L758">
        <v>2468957</v>
      </c>
      <c r="M758">
        <v>367812</v>
      </c>
      <c r="N758">
        <v>213773</v>
      </c>
      <c r="O758" s="43">
        <v>507338608.21884</v>
      </c>
      <c r="P758" s="14">
        <f t="shared" si="35"/>
        <v>-17289653.97420001</v>
      </c>
      <c r="Q758" s="17">
        <f t="shared" si="33"/>
        <v>-17289653.97420001</v>
      </c>
      <c r="R758" s="17"/>
      <c r="S758" s="14">
        <f t="shared" si="34"/>
        <v>298932134547570.19</v>
      </c>
      <c r="U758" s="14">
        <v>-471.30036729453485</v>
      </c>
      <c r="V758">
        <v>6421</v>
      </c>
      <c r="W758">
        <v>26.901727294921798</v>
      </c>
      <c r="X758">
        <v>13.921832861734</v>
      </c>
      <c r="Y758">
        <v>3.0526313770937499</v>
      </c>
      <c r="Z758" s="31">
        <v>0.42042040673939202</v>
      </c>
      <c r="AA758">
        <v>1.8461011586709499</v>
      </c>
      <c r="AB758">
        <v>6.8733000000000002E-2</v>
      </c>
      <c r="AC758">
        <v>395343.329528915</v>
      </c>
      <c r="AD758">
        <v>447054.23703129712</v>
      </c>
      <c r="AE758">
        <v>1</v>
      </c>
      <c r="AF758">
        <v>24972.135131998239</v>
      </c>
      <c r="AG758">
        <v>85329.432476189802</v>
      </c>
    </row>
    <row r="759" spans="2:33" x14ac:dyDescent="0.25">
      <c r="B759">
        <v>14</v>
      </c>
      <c r="C759" t="s">
        <v>44</v>
      </c>
      <c r="D759" t="s">
        <v>26</v>
      </c>
      <c r="E759" t="s">
        <v>68</v>
      </c>
      <c r="F759">
        <v>893852</v>
      </c>
      <c r="G759">
        <v>963309</v>
      </c>
      <c r="H759">
        <v>55</v>
      </c>
      <c r="I759">
        <v>15376</v>
      </c>
      <c r="J759">
        <v>0.86907523961677924</v>
      </c>
      <c r="K759">
        <v>918494</v>
      </c>
      <c r="L759">
        <v>2468957</v>
      </c>
      <c r="M759">
        <v>367812</v>
      </c>
      <c r="N759">
        <v>213773</v>
      </c>
      <c r="O759" s="43">
        <v>516460699.03680003</v>
      </c>
      <c r="P759" s="14">
        <f t="shared" si="35"/>
        <v>9122090.8179600239</v>
      </c>
      <c r="Q759" s="14" t="str">
        <f t="shared" si="33"/>
        <v/>
      </c>
      <c r="R759" s="14" t="str">
        <f t="shared" si="33"/>
        <v/>
      </c>
      <c r="S759" s="14" t="str">
        <f t="shared" si="34"/>
        <v/>
      </c>
      <c r="T759" s="14" t="s">
        <v>72</v>
      </c>
      <c r="U759" s="14">
        <v>593.26813332205802</v>
      </c>
      <c r="V759">
        <v>6421</v>
      </c>
      <c r="W759">
        <v>30.022729492187501</v>
      </c>
      <c r="X759">
        <v>8.6546639331326602</v>
      </c>
      <c r="Y759">
        <v>3.88220568276089</v>
      </c>
      <c r="Z759" s="31">
        <v>2.2199731196649699</v>
      </c>
      <c r="AA759">
        <v>2.7932911683430501</v>
      </c>
      <c r="AB759">
        <v>6.8733000000000002E-2</v>
      </c>
      <c r="AC759">
        <v>395343.329528915</v>
      </c>
      <c r="AD759">
        <v>447054.23703129712</v>
      </c>
      <c r="AE759">
        <v>1</v>
      </c>
      <c r="AF759">
        <v>24972.135131998239</v>
      </c>
      <c r="AG759">
        <v>85329.432476189802</v>
      </c>
    </row>
    <row r="760" spans="2:33" x14ac:dyDescent="0.25">
      <c r="B760">
        <v>14</v>
      </c>
      <c r="C760" t="s">
        <v>44</v>
      </c>
      <c r="D760" t="s">
        <v>26</v>
      </c>
      <c r="E760" t="s">
        <v>68</v>
      </c>
      <c r="F760">
        <v>898951</v>
      </c>
      <c r="G760">
        <v>963309</v>
      </c>
      <c r="H760">
        <v>56</v>
      </c>
      <c r="I760">
        <v>6246</v>
      </c>
      <c r="J760">
        <v>0.56108060861052889</v>
      </c>
      <c r="K760">
        <v>918494</v>
      </c>
      <c r="L760">
        <v>2468957</v>
      </c>
      <c r="M760">
        <v>367812</v>
      </c>
      <c r="N760">
        <v>213773</v>
      </c>
      <c r="O760" s="43">
        <v>519978249.15263999</v>
      </c>
      <c r="P760" s="14">
        <f t="shared" si="35"/>
        <v>3517550.1158399582</v>
      </c>
      <c r="Q760" s="14" t="str">
        <f t="shared" si="33"/>
        <v/>
      </c>
      <c r="R760" s="14" t="str">
        <f t="shared" si="33"/>
        <v/>
      </c>
      <c r="S760" s="14" t="str">
        <f t="shared" si="34"/>
        <v/>
      </c>
      <c r="T760" s="14" t="s">
        <v>72</v>
      </c>
      <c r="U760" s="14">
        <v>563.16844634006054</v>
      </c>
      <c r="V760">
        <v>6421</v>
      </c>
      <c r="W760">
        <v>31.937799072265602</v>
      </c>
      <c r="X760">
        <v>6.5906863909358302</v>
      </c>
      <c r="Y760">
        <v>4.4270879471667</v>
      </c>
      <c r="Z760" s="31">
        <v>3.4213152087953498</v>
      </c>
      <c r="AA760">
        <v>5.9429648914352198</v>
      </c>
      <c r="AB760">
        <v>6.8733000000000002E-2</v>
      </c>
      <c r="AC760">
        <v>395343.329528915</v>
      </c>
      <c r="AD760">
        <v>447054.23703129712</v>
      </c>
      <c r="AE760">
        <v>1</v>
      </c>
      <c r="AF760">
        <v>24972.135131998239</v>
      </c>
      <c r="AG760">
        <v>85329.432476189802</v>
      </c>
    </row>
    <row r="761" spans="2:33" x14ac:dyDescent="0.25">
      <c r="B761">
        <v>14</v>
      </c>
      <c r="C761" t="s">
        <v>44</v>
      </c>
      <c r="D761" t="s">
        <v>26</v>
      </c>
      <c r="E761" t="s">
        <v>68</v>
      </c>
      <c r="F761">
        <v>915655</v>
      </c>
      <c r="G761">
        <v>963309</v>
      </c>
      <c r="H761">
        <v>57</v>
      </c>
      <c r="I761">
        <v>20251</v>
      </c>
      <c r="J761">
        <v>1.838064421696465</v>
      </c>
      <c r="K761">
        <v>918494</v>
      </c>
      <c r="L761">
        <v>2468957</v>
      </c>
      <c r="M761">
        <v>367812</v>
      </c>
      <c r="N761">
        <v>213773</v>
      </c>
      <c r="O761" s="43">
        <v>532433134.07928002</v>
      </c>
      <c r="P761" s="14">
        <f t="shared" si="35"/>
        <v>12454884.926640034</v>
      </c>
      <c r="Q761" s="14" t="str">
        <f t="shared" si="33"/>
        <v/>
      </c>
      <c r="R761" s="14" t="str">
        <f t="shared" si="33"/>
        <v/>
      </c>
      <c r="S761" s="14" t="str">
        <f t="shared" si="34"/>
        <v/>
      </c>
      <c r="T761" s="14" t="s">
        <v>72</v>
      </c>
      <c r="U761" s="14">
        <v>615.02567412177348</v>
      </c>
      <c r="V761">
        <v>6421</v>
      </c>
      <c r="W761">
        <v>32.503808593750001</v>
      </c>
      <c r="X761">
        <v>8.7488100149602808</v>
      </c>
      <c r="Y761">
        <v>4.4649491009840396</v>
      </c>
      <c r="Z761" s="31">
        <v>3.1246233573450599</v>
      </c>
      <c r="AA761">
        <v>5.2423791030019196</v>
      </c>
      <c r="AB761">
        <v>6.8733000000000002E-2</v>
      </c>
      <c r="AC761">
        <v>395343.329528915</v>
      </c>
      <c r="AD761">
        <v>447054.23703129712</v>
      </c>
      <c r="AE761">
        <v>1</v>
      </c>
      <c r="AF761">
        <v>24972.135131998239</v>
      </c>
      <c r="AG761">
        <v>85329.432476189802</v>
      </c>
    </row>
    <row r="762" spans="2:33" x14ac:dyDescent="0.25">
      <c r="B762">
        <v>14</v>
      </c>
      <c r="C762" t="s">
        <v>44</v>
      </c>
      <c r="D762" t="s">
        <v>26</v>
      </c>
      <c r="E762" t="s">
        <v>68</v>
      </c>
      <c r="F762">
        <v>922192</v>
      </c>
      <c r="G762">
        <v>963309</v>
      </c>
      <c r="H762">
        <v>58</v>
      </c>
      <c r="I762">
        <v>7898</v>
      </c>
      <c r="J762">
        <v>0.71931436330398657</v>
      </c>
      <c r="K762">
        <v>918494</v>
      </c>
      <c r="L762">
        <v>2468957</v>
      </c>
      <c r="M762">
        <v>367812</v>
      </c>
      <c r="N762">
        <v>213773</v>
      </c>
      <c r="O762" s="43">
        <v>548660959.18307996</v>
      </c>
      <c r="P762" s="14">
        <f t="shared" si="35"/>
        <v>16227825.103799939</v>
      </c>
      <c r="Q762" s="14" t="str">
        <f t="shared" si="33"/>
        <v/>
      </c>
      <c r="R762" s="14" t="str">
        <f t="shared" si="33"/>
        <v/>
      </c>
      <c r="S762" s="14" t="str">
        <f t="shared" si="34"/>
        <v/>
      </c>
      <c r="T762" s="14" t="s">
        <v>72</v>
      </c>
      <c r="U762" s="14">
        <v>2054.6752473790757</v>
      </c>
      <c r="V762">
        <v>6421</v>
      </c>
      <c r="W762">
        <v>33.250939941406202</v>
      </c>
      <c r="X762">
        <v>13.0649960297006</v>
      </c>
      <c r="Y762">
        <v>4.4354604154276398</v>
      </c>
      <c r="Z762" s="31">
        <v>2.52357380614386</v>
      </c>
      <c r="AA762">
        <v>4.0981180663613799</v>
      </c>
      <c r="AB762">
        <v>6.8733000000000002E-2</v>
      </c>
      <c r="AC762">
        <v>395343.329528915</v>
      </c>
      <c r="AD762">
        <v>447054.23703129712</v>
      </c>
      <c r="AE762">
        <v>1</v>
      </c>
      <c r="AF762">
        <v>24972.135131998239</v>
      </c>
      <c r="AG762">
        <v>85329.432476189802</v>
      </c>
    </row>
    <row r="763" spans="2:33" x14ac:dyDescent="0.25">
      <c r="B763">
        <v>14</v>
      </c>
      <c r="C763" t="s">
        <v>44</v>
      </c>
      <c r="D763" t="s">
        <v>26</v>
      </c>
      <c r="E763" t="s">
        <v>68</v>
      </c>
      <c r="F763">
        <v>922507</v>
      </c>
      <c r="G763">
        <v>963309</v>
      </c>
      <c r="H763">
        <v>59</v>
      </c>
      <c r="I763">
        <v>5099</v>
      </c>
      <c r="J763">
        <v>3.4661775193629459E-2</v>
      </c>
      <c r="K763">
        <v>918494</v>
      </c>
      <c r="L763">
        <v>2468957</v>
      </c>
      <c r="M763">
        <v>367812</v>
      </c>
      <c r="N763">
        <v>213773</v>
      </c>
      <c r="O763" s="43">
        <v>553733172</v>
      </c>
      <c r="P763" s="14">
        <f t="shared" si="35"/>
        <v>5072212.816920042</v>
      </c>
      <c r="Q763" s="14" t="str">
        <f t="shared" si="33"/>
        <v/>
      </c>
      <c r="R763" s="14" t="str">
        <f t="shared" si="33"/>
        <v/>
      </c>
      <c r="S763" s="14" t="str">
        <f t="shared" si="34"/>
        <v/>
      </c>
      <c r="T763" s="14" t="s">
        <v>72</v>
      </c>
      <c r="U763" s="14">
        <v>994.74658107865116</v>
      </c>
      <c r="V763">
        <v>6421</v>
      </c>
      <c r="W763">
        <v>31.330651855468702</v>
      </c>
      <c r="X763">
        <v>16.0477928664667</v>
      </c>
      <c r="Y763">
        <v>3.8438172901190302</v>
      </c>
      <c r="Z763" s="31">
        <v>3.8554259550165</v>
      </c>
      <c r="AA763">
        <v>7.5160055561396204</v>
      </c>
      <c r="AB763">
        <v>6.8733000000000002E-2</v>
      </c>
      <c r="AC763">
        <v>395343.329528915</v>
      </c>
      <c r="AD763">
        <v>447054.23703129712</v>
      </c>
      <c r="AE763">
        <v>1</v>
      </c>
      <c r="AF763">
        <v>24972.135131998239</v>
      </c>
      <c r="AG763">
        <v>85329.432476189802</v>
      </c>
    </row>
    <row r="764" spans="2:33" x14ac:dyDescent="0.25">
      <c r="B764">
        <v>14</v>
      </c>
      <c r="C764" t="s">
        <v>44</v>
      </c>
      <c r="D764" t="s">
        <v>26</v>
      </c>
      <c r="E764" t="s">
        <v>68</v>
      </c>
      <c r="F764">
        <v>950591</v>
      </c>
      <c r="G764">
        <v>963309</v>
      </c>
      <c r="H764">
        <v>60</v>
      </c>
      <c r="I764">
        <v>16704</v>
      </c>
      <c r="J764">
        <v>3.0902898239298091</v>
      </c>
      <c r="K764">
        <v>918494</v>
      </c>
      <c r="L764">
        <v>2468957</v>
      </c>
      <c r="M764">
        <v>367812</v>
      </c>
      <c r="N764">
        <v>213773</v>
      </c>
      <c r="O764" s="43">
        <v>565424917.17947996</v>
      </c>
      <c r="P764" s="14">
        <f t="shared" si="35"/>
        <v>11691745.179479957</v>
      </c>
      <c r="Q764" s="14" t="str">
        <f t="shared" si="33"/>
        <v/>
      </c>
      <c r="R764" s="14" t="str">
        <f t="shared" si="33"/>
        <v/>
      </c>
      <c r="S764" s="14" t="str">
        <f t="shared" si="34"/>
        <v/>
      </c>
      <c r="T764" s="14" t="s">
        <v>72</v>
      </c>
      <c r="U764" s="14">
        <v>699.93685221982503</v>
      </c>
      <c r="V764">
        <v>6421</v>
      </c>
      <c r="W764">
        <v>28.238397216796798</v>
      </c>
      <c r="X764">
        <v>19.01477117</v>
      </c>
      <c r="Y764">
        <v>3.1047993806191401</v>
      </c>
      <c r="Z764">
        <v>3.2099511733122701</v>
      </c>
      <c r="AA764">
        <v>10.099859335009899</v>
      </c>
      <c r="AB764">
        <v>6.8733000000000002E-2</v>
      </c>
      <c r="AC764">
        <v>395343.329528915</v>
      </c>
      <c r="AD764">
        <v>447054.23703129712</v>
      </c>
      <c r="AE764">
        <v>1</v>
      </c>
      <c r="AF764">
        <v>24972.135131998239</v>
      </c>
      <c r="AG764">
        <v>85329.432476189802</v>
      </c>
    </row>
    <row r="765" spans="2:33" x14ac:dyDescent="0.25">
      <c r="B765">
        <v>14</v>
      </c>
      <c r="C765" t="s">
        <v>44</v>
      </c>
      <c r="D765" t="s">
        <v>26</v>
      </c>
      <c r="E765" t="s">
        <v>68</v>
      </c>
      <c r="F765">
        <v>953696</v>
      </c>
      <c r="G765">
        <v>963309</v>
      </c>
      <c r="H765">
        <v>61</v>
      </c>
      <c r="I765">
        <v>6537</v>
      </c>
      <c r="J765">
        <v>0.34166606976577613</v>
      </c>
      <c r="K765">
        <v>918494</v>
      </c>
      <c r="L765">
        <v>2468957</v>
      </c>
      <c r="M765">
        <v>367812</v>
      </c>
      <c r="N765">
        <v>213773</v>
      </c>
      <c r="O765" s="43">
        <v>576428782.60511994</v>
      </c>
      <c r="P765" s="14">
        <f t="shared" si="35"/>
        <v>11003865.425639987</v>
      </c>
      <c r="Q765" s="14" t="str">
        <f t="shared" si="33"/>
        <v/>
      </c>
      <c r="R765" s="14" t="str">
        <f t="shared" si="33"/>
        <v/>
      </c>
      <c r="S765" s="14" t="str">
        <f t="shared" si="34"/>
        <v/>
      </c>
      <c r="T765" s="14" t="s">
        <v>72</v>
      </c>
      <c r="U765" s="14">
        <v>1683.3203955392362</v>
      </c>
      <c r="V765">
        <v>6421</v>
      </c>
      <c r="W765">
        <v>23.836358642578102</v>
      </c>
      <c r="X765">
        <v>31.154664744351098</v>
      </c>
      <c r="Y765">
        <v>2.0350270861893098</v>
      </c>
      <c r="Z765" s="31">
        <v>3.8992976703715301</v>
      </c>
      <c r="AA765">
        <v>11.0095740923992</v>
      </c>
      <c r="AB765">
        <v>6.8733000000000002E-2</v>
      </c>
      <c r="AC765">
        <v>395343.329528915</v>
      </c>
      <c r="AD765">
        <v>447054.23703129712</v>
      </c>
      <c r="AE765">
        <v>1</v>
      </c>
      <c r="AF765">
        <v>24972.135131998239</v>
      </c>
      <c r="AG765">
        <v>85329.432476189802</v>
      </c>
    </row>
    <row r="766" spans="2:33" x14ac:dyDescent="0.25">
      <c r="B766">
        <v>14</v>
      </c>
      <c r="C766" t="s">
        <v>44</v>
      </c>
      <c r="D766" t="s">
        <v>26</v>
      </c>
      <c r="E766" t="s">
        <v>68</v>
      </c>
      <c r="F766">
        <v>960213</v>
      </c>
      <c r="G766">
        <v>963309</v>
      </c>
      <c r="H766">
        <v>62</v>
      </c>
      <c r="I766">
        <v>315</v>
      </c>
      <c r="J766">
        <v>0.71711361567264498</v>
      </c>
      <c r="K766">
        <v>918494</v>
      </c>
      <c r="L766">
        <v>2468957</v>
      </c>
      <c r="M766">
        <v>367812</v>
      </c>
      <c r="N766">
        <v>213773</v>
      </c>
      <c r="O766" s="43">
        <v>592120512.13139999</v>
      </c>
      <c r="P766" s="14">
        <f t="shared" si="35"/>
        <v>15691729.526280046</v>
      </c>
      <c r="Q766" s="14" t="str">
        <f t="shared" si="33"/>
        <v/>
      </c>
      <c r="R766" s="14" t="str">
        <f t="shared" si="33"/>
        <v/>
      </c>
      <c r="S766" s="14" t="str">
        <f t="shared" si="34"/>
        <v/>
      </c>
      <c r="T766" s="14" t="s">
        <v>72</v>
      </c>
      <c r="U766" s="14">
        <v>49815.014369142998</v>
      </c>
      <c r="V766">
        <v>6421</v>
      </c>
      <c r="W766">
        <v>26.641442871093702</v>
      </c>
      <c r="X766">
        <v>19.734493044376698</v>
      </c>
      <c r="Y766">
        <v>2.8031194145079401</v>
      </c>
      <c r="Z766" s="31">
        <v>3.3524779765408401</v>
      </c>
      <c r="AA766">
        <v>5.5563088967713403</v>
      </c>
      <c r="AB766">
        <v>6.8733000000000002E-2</v>
      </c>
      <c r="AC766">
        <v>395343.329528915</v>
      </c>
      <c r="AD766">
        <v>447054.23703129712</v>
      </c>
      <c r="AE766">
        <v>1</v>
      </c>
      <c r="AF766">
        <v>24972.135131998239</v>
      </c>
      <c r="AG766">
        <v>85329.432476189802</v>
      </c>
    </row>
    <row r="767" spans="2:33" x14ac:dyDescent="0.25">
      <c r="B767">
        <v>14</v>
      </c>
      <c r="C767" t="s">
        <v>44</v>
      </c>
      <c r="D767" t="s">
        <v>26</v>
      </c>
      <c r="E767" t="s">
        <v>68</v>
      </c>
      <c r="F767">
        <v>960335</v>
      </c>
      <c r="G767">
        <v>963309</v>
      </c>
      <c r="H767">
        <v>63</v>
      </c>
      <c r="I767">
        <v>28084</v>
      </c>
      <c r="J767">
        <v>1.3424560551183471E-2</v>
      </c>
      <c r="K767">
        <v>918494</v>
      </c>
      <c r="L767">
        <v>2468957</v>
      </c>
      <c r="M767">
        <v>367812</v>
      </c>
      <c r="N767">
        <v>213773</v>
      </c>
      <c r="O767" s="43">
        <v>600402498.02279997</v>
      </c>
      <c r="P767" s="14">
        <f t="shared" si="35"/>
        <v>8281985.8913999796</v>
      </c>
      <c r="Q767" s="14" t="str">
        <f t="shared" si="33"/>
        <v/>
      </c>
      <c r="R767" s="14" t="str">
        <f t="shared" si="33"/>
        <v/>
      </c>
      <c r="S767" s="14" t="str">
        <f t="shared" si="34"/>
        <v/>
      </c>
      <c r="T767" s="14" t="s">
        <v>72</v>
      </c>
      <c r="U767" s="14">
        <v>294.90050888050064</v>
      </c>
      <c r="V767">
        <v>6421</v>
      </c>
      <c r="W767">
        <v>27.657067871093702</v>
      </c>
      <c r="X767">
        <v>14.690369294549599</v>
      </c>
      <c r="Y767">
        <v>3.1620099048830599</v>
      </c>
      <c r="Z767" s="31">
        <v>3.2957321675004798</v>
      </c>
      <c r="AA767">
        <v>5.4008074253176099</v>
      </c>
      <c r="AB767">
        <v>6.8733000000000002E-2</v>
      </c>
      <c r="AC767">
        <v>395343.329528915</v>
      </c>
      <c r="AD767">
        <v>447054.23703129712</v>
      </c>
      <c r="AE767">
        <v>1</v>
      </c>
      <c r="AF767">
        <v>24972.135131998239</v>
      </c>
      <c r="AG767">
        <v>85329.432476189802</v>
      </c>
    </row>
    <row r="768" spans="2:33" x14ac:dyDescent="0.25">
      <c r="B768">
        <v>14</v>
      </c>
      <c r="C768" t="s">
        <v>44</v>
      </c>
      <c r="D768" t="s">
        <v>26</v>
      </c>
      <c r="E768" t="s">
        <v>68</v>
      </c>
      <c r="F768">
        <v>960470</v>
      </c>
      <c r="G768">
        <v>963309</v>
      </c>
      <c r="H768">
        <v>64</v>
      </c>
      <c r="I768">
        <v>3105</v>
      </c>
      <c r="J768">
        <v>1.485504651155548E-2</v>
      </c>
      <c r="K768">
        <v>918494</v>
      </c>
      <c r="L768">
        <v>2468957</v>
      </c>
      <c r="M768">
        <v>367812</v>
      </c>
      <c r="N768">
        <v>213773</v>
      </c>
      <c r="O768" s="43">
        <v>610610400</v>
      </c>
      <c r="P768" s="14">
        <f t="shared" si="35"/>
        <v>10207901.977200031</v>
      </c>
      <c r="Q768" s="14" t="str">
        <f t="shared" si="33"/>
        <v/>
      </c>
      <c r="R768" s="14" t="str">
        <f t="shared" si="33"/>
        <v/>
      </c>
      <c r="S768" s="14" t="str">
        <f t="shared" si="34"/>
        <v/>
      </c>
      <c r="T768" s="14" t="s">
        <v>72</v>
      </c>
      <c r="U768" s="14">
        <v>3287.5690747826188</v>
      </c>
      <c r="V768">
        <v>6421</v>
      </c>
      <c r="W768">
        <v>28.529565429687501</v>
      </c>
      <c r="X768">
        <v>15.027981229005</v>
      </c>
      <c r="Y768">
        <v>3.3133437035376598</v>
      </c>
      <c r="Z768" s="31">
        <v>0.64755219126444097</v>
      </c>
      <c r="AA768">
        <v>1.44189833334716</v>
      </c>
      <c r="AB768">
        <v>6.8733000000000002E-2</v>
      </c>
      <c r="AC768">
        <v>395343.329528915</v>
      </c>
      <c r="AD768">
        <v>447054.23703129712</v>
      </c>
      <c r="AE768">
        <v>1</v>
      </c>
      <c r="AF768">
        <v>24972.135131998239</v>
      </c>
      <c r="AG768">
        <v>85329.432476189802</v>
      </c>
    </row>
    <row r="769" spans="2:33" x14ac:dyDescent="0.25">
      <c r="B769">
        <v>14</v>
      </c>
      <c r="C769" t="s">
        <v>44</v>
      </c>
      <c r="D769" t="s">
        <v>26</v>
      </c>
      <c r="E769" t="s">
        <v>68</v>
      </c>
      <c r="F769">
        <v>960470</v>
      </c>
      <c r="G769">
        <v>963309</v>
      </c>
      <c r="H769">
        <v>65</v>
      </c>
      <c r="I769">
        <v>6517</v>
      </c>
      <c r="J769">
        <v>0</v>
      </c>
      <c r="K769">
        <v>918494</v>
      </c>
      <c r="L769">
        <v>2468957</v>
      </c>
      <c r="M769">
        <v>367812</v>
      </c>
      <c r="N769">
        <v>213773</v>
      </c>
      <c r="O769" s="43">
        <v>621918000</v>
      </c>
      <c r="P769" s="14">
        <f t="shared" si="35"/>
        <v>11307600</v>
      </c>
      <c r="Q769" s="14" t="str">
        <f t="shared" si="33"/>
        <v/>
      </c>
      <c r="R769" s="14" t="str">
        <f t="shared" si="33"/>
        <v/>
      </c>
      <c r="S769" s="14" t="str">
        <f t="shared" si="34"/>
        <v/>
      </c>
      <c r="T769" s="14" t="s">
        <v>72</v>
      </c>
      <c r="U769" s="14">
        <v>1735.0928341261317</v>
      </c>
      <c r="V769">
        <v>6421</v>
      </c>
      <c r="W769">
        <v>29.839288330078102</v>
      </c>
      <c r="X769">
        <v>14.778649952560899</v>
      </c>
      <c r="Y769">
        <v>3.58373865174529</v>
      </c>
      <c r="Z769" s="31">
        <v>0.72088406473418498</v>
      </c>
      <c r="AA769">
        <v>2.7600798353759801</v>
      </c>
      <c r="AB769">
        <v>6.8733000000000002E-2</v>
      </c>
      <c r="AC769">
        <v>395343.329528915</v>
      </c>
      <c r="AD769">
        <v>447054.23703129712</v>
      </c>
      <c r="AE769">
        <v>1</v>
      </c>
      <c r="AF769">
        <v>24972.135131998239</v>
      </c>
      <c r="AG769">
        <v>85329.432476189802</v>
      </c>
    </row>
    <row r="770" spans="2:33" x14ac:dyDescent="0.25">
      <c r="B770">
        <v>14</v>
      </c>
      <c r="C770" t="s">
        <v>44</v>
      </c>
      <c r="D770" t="s">
        <v>26</v>
      </c>
      <c r="E770" t="s">
        <v>68</v>
      </c>
      <c r="F770">
        <v>960470</v>
      </c>
      <c r="G770">
        <v>963309</v>
      </c>
      <c r="H770">
        <v>66</v>
      </c>
      <c r="I770">
        <v>122</v>
      </c>
      <c r="J770">
        <v>0</v>
      </c>
      <c r="K770">
        <v>918494</v>
      </c>
      <c r="L770">
        <v>2468957</v>
      </c>
      <c r="M770">
        <v>367812</v>
      </c>
      <c r="N770">
        <v>213773</v>
      </c>
      <c r="O770" s="43">
        <v>624179520</v>
      </c>
      <c r="P770" s="14">
        <f t="shared" si="35"/>
        <v>2261520</v>
      </c>
      <c r="Q770" s="14" t="str">
        <f t="shared" si="33"/>
        <v/>
      </c>
      <c r="R770" s="14" t="str">
        <f t="shared" si="33"/>
        <v/>
      </c>
      <c r="S770" s="14" t="str">
        <f t="shared" si="34"/>
        <v/>
      </c>
      <c r="T770" s="14" t="s">
        <v>72</v>
      </c>
      <c r="U770" s="14">
        <v>18537.049180327867</v>
      </c>
      <c r="V770">
        <v>6421</v>
      </c>
      <c r="W770">
        <v>27.335870361328102</v>
      </c>
      <c r="X770">
        <v>18.990914588881601</v>
      </c>
      <c r="Y770">
        <v>2.9466393914891902</v>
      </c>
      <c r="Z770" s="31">
        <v>4.1381111776998001</v>
      </c>
      <c r="AA770">
        <v>7.0776190929581499</v>
      </c>
      <c r="AB770">
        <v>6.8733000000000002E-2</v>
      </c>
      <c r="AC770">
        <v>395343.329528915</v>
      </c>
      <c r="AD770">
        <v>447054.23703129712</v>
      </c>
      <c r="AE770">
        <v>1</v>
      </c>
      <c r="AF770">
        <v>24972.135131998239</v>
      </c>
      <c r="AG770">
        <v>85329.432476189802</v>
      </c>
    </row>
    <row r="771" spans="2:33" x14ac:dyDescent="0.25">
      <c r="B771">
        <v>14</v>
      </c>
      <c r="C771" t="s">
        <v>44</v>
      </c>
      <c r="D771" t="s">
        <v>26</v>
      </c>
      <c r="E771" t="s">
        <v>68</v>
      </c>
      <c r="F771">
        <v>960581</v>
      </c>
      <c r="G771">
        <v>963309</v>
      </c>
      <c r="H771">
        <v>67</v>
      </c>
      <c r="I771">
        <v>135</v>
      </c>
      <c r="J771">
        <v>1.221414935394562E-2</v>
      </c>
      <c r="K771">
        <v>918494</v>
      </c>
      <c r="L771">
        <v>2468957</v>
      </c>
      <c r="M771">
        <v>367812</v>
      </c>
      <c r="N771">
        <v>213773</v>
      </c>
      <c r="O771" s="43">
        <v>628702560</v>
      </c>
      <c r="P771" s="14">
        <f t="shared" si="35"/>
        <v>4523040</v>
      </c>
      <c r="Q771" s="14" t="str">
        <f t="shared" ref="Q771:R834" si="36">IF(P771&gt;=0,"",P771)</f>
        <v/>
      </c>
      <c r="R771" s="14" t="str">
        <f t="shared" si="36"/>
        <v/>
      </c>
      <c r="S771" s="14" t="str">
        <f t="shared" ref="S771:S834" si="37">IFERROR(IF(ISNA(Q771),NA(),Q771^2),"")</f>
        <v/>
      </c>
      <c r="T771" s="14" t="s">
        <v>72</v>
      </c>
      <c r="U771" s="14">
        <v>33504</v>
      </c>
      <c r="V771">
        <v>6421</v>
      </c>
      <c r="W771">
        <v>25.159265136718702</v>
      </c>
      <c r="X771">
        <v>19.540342045042799</v>
      </c>
      <c r="Y771">
        <v>2.5742620344764502</v>
      </c>
      <c r="Z771" s="31">
        <v>1.01705310556481</v>
      </c>
      <c r="AA771">
        <v>2.4224123739999999</v>
      </c>
      <c r="AB771">
        <v>6.8733000000000002E-2</v>
      </c>
      <c r="AC771">
        <v>395343.329528915</v>
      </c>
      <c r="AD771">
        <v>447054.23703129712</v>
      </c>
      <c r="AE771">
        <v>1</v>
      </c>
      <c r="AF771">
        <v>24972.135131998239</v>
      </c>
      <c r="AG771">
        <v>85329.432476189802</v>
      </c>
    </row>
    <row r="772" spans="2:33" x14ac:dyDescent="0.25">
      <c r="B772">
        <v>14</v>
      </c>
      <c r="C772" t="s">
        <v>44</v>
      </c>
      <c r="D772" t="s">
        <v>26</v>
      </c>
      <c r="E772" t="s">
        <v>68</v>
      </c>
      <c r="F772">
        <v>960641</v>
      </c>
      <c r="G772">
        <v>963309</v>
      </c>
      <c r="H772">
        <v>68</v>
      </c>
      <c r="I772">
        <v>0</v>
      </c>
      <c r="J772">
        <v>6.6022428940246576E-3</v>
      </c>
      <c r="K772">
        <v>918494</v>
      </c>
      <c r="L772">
        <v>2468957</v>
      </c>
      <c r="M772">
        <v>367812</v>
      </c>
      <c r="N772">
        <v>213773</v>
      </c>
      <c r="O772" s="43">
        <v>637748640</v>
      </c>
      <c r="P772" s="14">
        <f t="shared" ref="P772:P835" si="38">O772-O771</f>
        <v>9046080</v>
      </c>
      <c r="Q772" s="14" t="str">
        <f t="shared" si="36"/>
        <v/>
      </c>
      <c r="R772" s="14" t="str">
        <f t="shared" si="36"/>
        <v/>
      </c>
      <c r="S772" s="14" t="str">
        <f t="shared" si="37"/>
        <v/>
      </c>
      <c r="T772" s="14" t="s">
        <v>72</v>
      </c>
      <c r="U772" s="14">
        <v>0</v>
      </c>
      <c r="V772">
        <v>6421</v>
      </c>
      <c r="W772">
        <v>24.691217041015602</v>
      </c>
      <c r="X772">
        <v>14.9254227592712</v>
      </c>
      <c r="Y772">
        <v>2.6472186392121202</v>
      </c>
      <c r="Z772" s="31">
        <v>4.4392688984035704</v>
      </c>
      <c r="AA772">
        <v>11.8181597661455</v>
      </c>
      <c r="AB772">
        <v>6.8733000000000002E-2</v>
      </c>
      <c r="AC772">
        <v>395343.329528915</v>
      </c>
      <c r="AD772">
        <v>447054.23703129712</v>
      </c>
      <c r="AE772">
        <v>1</v>
      </c>
      <c r="AF772">
        <v>24972.135131998239</v>
      </c>
      <c r="AG772">
        <v>85329.432476189802</v>
      </c>
    </row>
    <row r="773" spans="2:33" x14ac:dyDescent="0.25">
      <c r="B773">
        <v>14</v>
      </c>
      <c r="C773" t="s">
        <v>44</v>
      </c>
      <c r="D773" t="s">
        <v>26</v>
      </c>
      <c r="E773" t="s">
        <v>68</v>
      </c>
      <c r="F773">
        <v>963301</v>
      </c>
      <c r="G773">
        <v>963309</v>
      </c>
      <c r="H773">
        <v>69</v>
      </c>
      <c r="I773">
        <v>0</v>
      </c>
      <c r="J773">
        <v>0.29269943496842649</v>
      </c>
      <c r="K773">
        <v>918494</v>
      </c>
      <c r="L773">
        <v>2468957</v>
      </c>
      <c r="M773">
        <v>367812</v>
      </c>
      <c r="N773">
        <v>213773</v>
      </c>
      <c r="O773" s="43">
        <v>637748640</v>
      </c>
      <c r="P773" s="14">
        <f t="shared" si="38"/>
        <v>0</v>
      </c>
      <c r="Q773" s="14" t="str">
        <f t="shared" si="36"/>
        <v/>
      </c>
      <c r="R773" s="14" t="str">
        <f t="shared" si="36"/>
        <v/>
      </c>
      <c r="S773" s="14" t="str">
        <f t="shared" si="37"/>
        <v/>
      </c>
      <c r="T773" s="14" t="s">
        <v>72</v>
      </c>
      <c r="U773" s="14">
        <v>0</v>
      </c>
      <c r="V773">
        <v>6421</v>
      </c>
      <c r="W773">
        <v>15.759912109375</v>
      </c>
      <c r="X773">
        <v>50.221741504362598</v>
      </c>
      <c r="Y773">
        <v>0.89225766100000004</v>
      </c>
      <c r="Z773" s="31">
        <v>4.7141714609595802</v>
      </c>
      <c r="AA773">
        <v>21.4899834259759</v>
      </c>
      <c r="AB773">
        <v>6.8733000000000002E-2</v>
      </c>
      <c r="AC773">
        <v>395343.329528915</v>
      </c>
      <c r="AD773">
        <v>447054.23703129712</v>
      </c>
      <c r="AE773">
        <v>1</v>
      </c>
      <c r="AF773">
        <v>24972.135131998239</v>
      </c>
      <c r="AG773">
        <v>85329.432476189802</v>
      </c>
    </row>
    <row r="774" spans="2:33" x14ac:dyDescent="0.25">
      <c r="B774">
        <v>14</v>
      </c>
      <c r="C774" t="s">
        <v>44</v>
      </c>
      <c r="D774" t="s">
        <v>26</v>
      </c>
      <c r="E774" t="s">
        <v>68</v>
      </c>
      <c r="F774">
        <v>963195</v>
      </c>
      <c r="G774">
        <v>963309</v>
      </c>
      <c r="H774">
        <v>70</v>
      </c>
      <c r="I774">
        <v>111</v>
      </c>
      <c r="J774">
        <v>0</v>
      </c>
      <c r="K774">
        <v>918494</v>
      </c>
      <c r="L774">
        <v>2468957</v>
      </c>
      <c r="M774">
        <v>367812</v>
      </c>
      <c r="N774">
        <v>213773</v>
      </c>
      <c r="O774" s="43">
        <v>643402440</v>
      </c>
      <c r="P774" s="14">
        <f t="shared" si="38"/>
        <v>5653800</v>
      </c>
      <c r="Q774" s="14" t="str">
        <f t="shared" si="36"/>
        <v/>
      </c>
      <c r="R774" s="14" t="str">
        <f t="shared" si="36"/>
        <v/>
      </c>
      <c r="S774" s="14" t="str">
        <f t="shared" si="37"/>
        <v/>
      </c>
      <c r="T774" s="14" t="s">
        <v>72</v>
      </c>
      <c r="U774" s="14">
        <v>50935.135135135133</v>
      </c>
      <c r="V774">
        <v>6421</v>
      </c>
      <c r="W774">
        <v>19.380334472656202</v>
      </c>
      <c r="X774">
        <v>23.432527060140998</v>
      </c>
      <c r="Y774">
        <v>1.7242800656457999</v>
      </c>
      <c r="Z774" s="31">
        <v>2.4564489625479098</v>
      </c>
      <c r="AA774">
        <v>3.6975822943484502</v>
      </c>
      <c r="AB774">
        <v>6.8733000000000002E-2</v>
      </c>
      <c r="AC774">
        <v>395343.329528915</v>
      </c>
      <c r="AD774">
        <v>447054.23703129712</v>
      </c>
      <c r="AE774">
        <v>1</v>
      </c>
      <c r="AF774">
        <v>24972.135131998239</v>
      </c>
      <c r="AG774">
        <v>85329.432476189802</v>
      </c>
    </row>
    <row r="775" spans="2:33" x14ac:dyDescent="0.25">
      <c r="B775">
        <v>14</v>
      </c>
      <c r="C775" t="s">
        <v>44</v>
      </c>
      <c r="D775" t="s">
        <v>26</v>
      </c>
      <c r="E775" t="s">
        <v>68</v>
      </c>
      <c r="F775">
        <v>963276</v>
      </c>
      <c r="G775">
        <v>963309</v>
      </c>
      <c r="H775">
        <v>71</v>
      </c>
      <c r="I775">
        <v>60</v>
      </c>
      <c r="J775">
        <v>8.9130279069332893E-3</v>
      </c>
      <c r="K775">
        <v>918494</v>
      </c>
      <c r="L775">
        <v>2468957</v>
      </c>
      <c r="M775">
        <v>367812</v>
      </c>
      <c r="N775">
        <v>213773</v>
      </c>
      <c r="O775" s="43">
        <v>654710040</v>
      </c>
      <c r="P775" s="14">
        <f t="shared" si="38"/>
        <v>11307600</v>
      </c>
      <c r="Q775" s="14" t="str">
        <f t="shared" si="36"/>
        <v/>
      </c>
      <c r="R775" s="14" t="str">
        <f t="shared" si="36"/>
        <v/>
      </c>
      <c r="S775" s="14" t="str">
        <f t="shared" si="37"/>
        <v/>
      </c>
      <c r="T775" s="14" t="s">
        <v>72</v>
      </c>
      <c r="U775" s="14">
        <v>188460</v>
      </c>
      <c r="V775">
        <v>6421</v>
      </c>
      <c r="W775">
        <v>20.981195068359401</v>
      </c>
      <c r="X775">
        <v>18.616327517079</v>
      </c>
      <c r="Y775">
        <v>2.0231812245906702</v>
      </c>
      <c r="Z775" s="31">
        <v>4.2253239991599001</v>
      </c>
      <c r="AA775">
        <v>7.2416397775761103</v>
      </c>
      <c r="AB775">
        <v>6.8733000000000002E-2</v>
      </c>
      <c r="AC775">
        <v>395343.329528915</v>
      </c>
      <c r="AD775">
        <v>447054.23703129712</v>
      </c>
      <c r="AE775">
        <v>1</v>
      </c>
      <c r="AF775">
        <v>24972.135131998239</v>
      </c>
      <c r="AG775">
        <v>85329.432476189802</v>
      </c>
    </row>
    <row r="776" spans="2:33" x14ac:dyDescent="0.25">
      <c r="B776">
        <v>14</v>
      </c>
      <c r="C776" t="s">
        <v>44</v>
      </c>
      <c r="D776" t="s">
        <v>26</v>
      </c>
      <c r="E776" t="s">
        <v>68</v>
      </c>
      <c r="F776">
        <v>963276</v>
      </c>
      <c r="G776">
        <v>963309</v>
      </c>
      <c r="H776">
        <v>72</v>
      </c>
      <c r="I776">
        <v>2660</v>
      </c>
      <c r="J776">
        <v>0</v>
      </c>
      <c r="K776">
        <v>918494</v>
      </c>
      <c r="L776">
        <v>2468957</v>
      </c>
      <c r="M776">
        <v>367812</v>
      </c>
      <c r="N776">
        <v>213773</v>
      </c>
      <c r="O776" s="43">
        <v>638879400</v>
      </c>
      <c r="P776" s="14">
        <f t="shared" si="38"/>
        <v>-15830640</v>
      </c>
      <c r="Q776" s="17">
        <f t="shared" si="36"/>
        <v>-15830640</v>
      </c>
      <c r="R776" s="17"/>
      <c r="S776" s="14">
        <f t="shared" si="37"/>
        <v>250609162809600</v>
      </c>
      <c r="U776" s="14">
        <v>-5951.3684210526317</v>
      </c>
      <c r="V776">
        <v>6421</v>
      </c>
      <c r="W776">
        <v>26.993035888671798</v>
      </c>
      <c r="X776">
        <v>14.486298043179501</v>
      </c>
      <c r="Y776">
        <v>3.0488765990000002</v>
      </c>
      <c r="Z776" s="31">
        <v>2.9310741414922798</v>
      </c>
      <c r="AA776">
        <v>6.2772325250784</v>
      </c>
      <c r="AB776">
        <v>6.8733000000000002E-2</v>
      </c>
      <c r="AC776">
        <v>395343.329528915</v>
      </c>
      <c r="AD776">
        <v>447054.23703129712</v>
      </c>
      <c r="AE776">
        <v>1</v>
      </c>
      <c r="AF776">
        <v>24972.135131998239</v>
      </c>
      <c r="AG776">
        <v>85329.432476189802</v>
      </c>
    </row>
    <row r="777" spans="2:33" x14ac:dyDescent="0.25">
      <c r="B777">
        <v>14</v>
      </c>
      <c r="C777" t="s">
        <v>44</v>
      </c>
      <c r="D777" t="s">
        <v>26</v>
      </c>
      <c r="E777" t="s">
        <v>68</v>
      </c>
      <c r="F777">
        <v>963276</v>
      </c>
      <c r="G777">
        <v>963309</v>
      </c>
      <c r="H777">
        <v>73</v>
      </c>
      <c r="I777">
        <v>-106</v>
      </c>
      <c r="J777">
        <v>0</v>
      </c>
      <c r="K777">
        <v>918494</v>
      </c>
      <c r="L777">
        <v>2468957</v>
      </c>
      <c r="M777">
        <v>367812</v>
      </c>
      <c r="N777">
        <v>213773</v>
      </c>
      <c r="O777" s="43">
        <v>644533200</v>
      </c>
      <c r="P777" s="14">
        <f t="shared" si="38"/>
        <v>5653800</v>
      </c>
      <c r="Q777" s="14" t="str">
        <f t="shared" si="36"/>
        <v/>
      </c>
      <c r="R777" s="14" t="str">
        <f t="shared" si="36"/>
        <v/>
      </c>
      <c r="S777" s="14" t="str">
        <f t="shared" si="37"/>
        <v/>
      </c>
      <c r="T777" s="14" t="s">
        <v>72</v>
      </c>
      <c r="U777" s="14">
        <v>-53337.735849056604</v>
      </c>
      <c r="V777">
        <v>6421</v>
      </c>
      <c r="W777">
        <v>25.294580078125001</v>
      </c>
      <c r="X777">
        <v>20.106517015105201</v>
      </c>
      <c r="Y777">
        <v>2.5767573526712302</v>
      </c>
      <c r="Z777" s="31">
        <v>4.3450692829515702</v>
      </c>
      <c r="AA777">
        <v>8.4982316865822298</v>
      </c>
      <c r="AB777">
        <v>6.8733000000000002E-2</v>
      </c>
      <c r="AC777">
        <v>395343.329528915</v>
      </c>
      <c r="AD777">
        <v>447054.23703129712</v>
      </c>
      <c r="AE777">
        <v>1</v>
      </c>
      <c r="AF777">
        <v>24972.135131998239</v>
      </c>
      <c r="AG777">
        <v>85329.432476189802</v>
      </c>
    </row>
    <row r="778" spans="2:33" x14ac:dyDescent="0.25">
      <c r="B778">
        <v>14</v>
      </c>
      <c r="C778" t="s">
        <v>44</v>
      </c>
      <c r="D778" t="s">
        <v>26</v>
      </c>
      <c r="E778" t="s">
        <v>68</v>
      </c>
      <c r="F778">
        <v>963276</v>
      </c>
      <c r="G778">
        <v>963309</v>
      </c>
      <c r="H778">
        <v>74</v>
      </c>
      <c r="I778">
        <v>81</v>
      </c>
      <c r="J778">
        <v>0</v>
      </c>
      <c r="K778">
        <v>918494</v>
      </c>
      <c r="L778">
        <v>2468957</v>
      </c>
      <c r="M778">
        <v>367812</v>
      </c>
      <c r="N778">
        <v>213773</v>
      </c>
      <c r="O778" s="43">
        <v>644533200</v>
      </c>
      <c r="P778" s="14">
        <f t="shared" si="38"/>
        <v>0</v>
      </c>
      <c r="Q778" s="14" t="str">
        <f t="shared" si="36"/>
        <v/>
      </c>
      <c r="R778" s="14" t="str">
        <f t="shared" si="36"/>
        <v/>
      </c>
      <c r="S778" s="14" t="str">
        <f t="shared" si="37"/>
        <v/>
      </c>
      <c r="T778" s="14" t="s">
        <v>72</v>
      </c>
      <c r="U778" s="14">
        <v>-7957200</v>
      </c>
      <c r="V778">
        <v>6421</v>
      </c>
      <c r="W778">
        <v>24.667077636718702</v>
      </c>
      <c r="X778">
        <v>15.4653762593849</v>
      </c>
      <c r="Y778">
        <v>2.6266231683458501</v>
      </c>
      <c r="Z778" s="31">
        <v>3.2714302315074701</v>
      </c>
      <c r="AA778">
        <v>4.8852450909265697</v>
      </c>
      <c r="AB778">
        <v>6.8733000000000002E-2</v>
      </c>
      <c r="AC778">
        <v>395343.329528915</v>
      </c>
      <c r="AD778">
        <v>447054.23703129712</v>
      </c>
      <c r="AE778">
        <v>1</v>
      </c>
      <c r="AF778">
        <v>24972.135131998239</v>
      </c>
      <c r="AG778">
        <v>85329.432476189802</v>
      </c>
    </row>
    <row r="779" spans="2:33" x14ac:dyDescent="0.25">
      <c r="B779">
        <v>14</v>
      </c>
      <c r="C779" t="s">
        <v>44</v>
      </c>
      <c r="D779" t="s">
        <v>26</v>
      </c>
      <c r="E779" t="s">
        <v>68</v>
      </c>
      <c r="F779">
        <v>963276</v>
      </c>
      <c r="G779">
        <v>963309</v>
      </c>
      <c r="H779">
        <v>75</v>
      </c>
      <c r="I779" s="4">
        <v>0</v>
      </c>
      <c r="J779">
        <v>0</v>
      </c>
      <c r="K779">
        <v>918494</v>
      </c>
      <c r="L779">
        <v>2468957</v>
      </c>
      <c r="M779">
        <v>367812</v>
      </c>
      <c r="N779">
        <v>213773</v>
      </c>
      <c r="O779" s="43">
        <v>653579280</v>
      </c>
      <c r="P779" s="14">
        <f t="shared" si="38"/>
        <v>9046080</v>
      </c>
      <c r="Q779" s="14" t="str">
        <f t="shared" si="36"/>
        <v/>
      </c>
      <c r="R779" s="14" t="str">
        <f t="shared" si="36"/>
        <v/>
      </c>
      <c r="S779" s="14" t="str">
        <f t="shared" si="37"/>
        <v/>
      </c>
      <c r="T779" s="14" t="s">
        <v>72</v>
      </c>
      <c r="U779" s="14">
        <v>0</v>
      </c>
      <c r="V779">
        <v>6421</v>
      </c>
      <c r="W779">
        <v>28.803582763671798</v>
      </c>
      <c r="X779">
        <v>12.852938190560099</v>
      </c>
      <c r="Y779">
        <v>3.4525894526977399</v>
      </c>
      <c r="Z779" s="31">
        <v>0.52995912886028496</v>
      </c>
      <c r="AA779">
        <v>2.8438529062122702</v>
      </c>
      <c r="AB779">
        <v>6.8733000000000002E-2</v>
      </c>
      <c r="AC779">
        <v>395343.329528915</v>
      </c>
      <c r="AD779">
        <v>447054.23703129712</v>
      </c>
      <c r="AE779">
        <v>1</v>
      </c>
      <c r="AF779">
        <v>24972.135131998239</v>
      </c>
      <c r="AG779">
        <v>85329.432476189802</v>
      </c>
    </row>
    <row r="780" spans="2:33" x14ac:dyDescent="0.25">
      <c r="B780">
        <v>14</v>
      </c>
      <c r="C780" t="s">
        <v>44</v>
      </c>
      <c r="D780" t="s">
        <v>26</v>
      </c>
      <c r="E780" t="s">
        <v>68</v>
      </c>
      <c r="F780">
        <v>963276</v>
      </c>
      <c r="G780">
        <v>963309</v>
      </c>
      <c r="H780">
        <v>76</v>
      </c>
      <c r="I780" s="4">
        <v>0</v>
      </c>
      <c r="J780">
        <v>0</v>
      </c>
      <c r="K780">
        <v>918494</v>
      </c>
      <c r="L780">
        <v>2468957</v>
      </c>
      <c r="M780">
        <v>367812</v>
      </c>
      <c r="N780">
        <v>213773</v>
      </c>
      <c r="O780" s="43">
        <v>656971560</v>
      </c>
      <c r="P780" s="14">
        <f t="shared" si="38"/>
        <v>3392280</v>
      </c>
      <c r="Q780" s="14" t="str">
        <f t="shared" si="36"/>
        <v/>
      </c>
      <c r="R780" s="14" t="str">
        <f t="shared" si="36"/>
        <v/>
      </c>
      <c r="S780" s="14" t="str">
        <f t="shared" si="37"/>
        <v/>
      </c>
      <c r="T780" s="14" t="s">
        <v>72</v>
      </c>
      <c r="U780" s="14">
        <v>0</v>
      </c>
      <c r="V780">
        <v>6421</v>
      </c>
      <c r="W780">
        <v>25.315942382812501</v>
      </c>
      <c r="X780">
        <v>16.874033948252698</v>
      </c>
      <c r="Y780">
        <v>2.6845113427688898</v>
      </c>
      <c r="Z780" s="31">
        <v>4.2703286550352697</v>
      </c>
      <c r="AA780">
        <v>8.8783824004240302</v>
      </c>
      <c r="AB780">
        <v>6.8733000000000002E-2</v>
      </c>
      <c r="AC780">
        <v>395343.329528915</v>
      </c>
      <c r="AD780">
        <v>447054.23703129712</v>
      </c>
      <c r="AE780">
        <v>1</v>
      </c>
      <c r="AF780">
        <v>24972.135131998239</v>
      </c>
      <c r="AG780">
        <v>85329.432476189802</v>
      </c>
    </row>
    <row r="781" spans="2:33" x14ac:dyDescent="0.25">
      <c r="B781">
        <v>14</v>
      </c>
      <c r="C781" t="s">
        <v>44</v>
      </c>
      <c r="D781" t="s">
        <v>26</v>
      </c>
      <c r="E781" t="s">
        <v>68</v>
      </c>
      <c r="F781">
        <v>963276</v>
      </c>
      <c r="G781">
        <v>963309</v>
      </c>
      <c r="H781">
        <v>77</v>
      </c>
      <c r="I781" s="4">
        <v>0</v>
      </c>
      <c r="J781">
        <v>0</v>
      </c>
      <c r="K781">
        <v>918494</v>
      </c>
      <c r="L781">
        <v>2468957</v>
      </c>
      <c r="M781">
        <v>367812</v>
      </c>
      <c r="N781">
        <v>213773</v>
      </c>
      <c r="O781" s="43">
        <v>661494600</v>
      </c>
      <c r="P781" s="14">
        <f t="shared" si="38"/>
        <v>4523040</v>
      </c>
      <c r="Q781" s="14" t="str">
        <f t="shared" si="36"/>
        <v/>
      </c>
      <c r="R781" s="14" t="str">
        <f t="shared" si="36"/>
        <v/>
      </c>
      <c r="S781" s="14" t="str">
        <f t="shared" si="37"/>
        <v/>
      </c>
      <c r="T781" s="14" t="s">
        <v>72</v>
      </c>
      <c r="U781" s="14">
        <v>0</v>
      </c>
      <c r="V781">
        <v>6421</v>
      </c>
      <c r="W781">
        <v>23.708673095703102</v>
      </c>
      <c r="X781">
        <v>15.6009803226515</v>
      </c>
      <c r="Y781">
        <v>2.4761470719063001</v>
      </c>
      <c r="Z781" s="31">
        <v>4.4867312348474897</v>
      </c>
      <c r="AA781">
        <v>11.4070257978388</v>
      </c>
      <c r="AB781">
        <v>6.8733000000000002E-2</v>
      </c>
      <c r="AC781">
        <v>395343.329528915</v>
      </c>
      <c r="AD781">
        <v>447054.23703129712</v>
      </c>
      <c r="AE781">
        <v>1</v>
      </c>
      <c r="AF781">
        <v>24972.135131998239</v>
      </c>
      <c r="AG781">
        <v>85329.432476189802</v>
      </c>
    </row>
    <row r="782" spans="2:33" x14ac:dyDescent="0.25">
      <c r="B782">
        <v>14</v>
      </c>
      <c r="C782" t="s">
        <v>44</v>
      </c>
      <c r="D782" t="s">
        <v>26</v>
      </c>
      <c r="E782" t="s">
        <v>68</v>
      </c>
      <c r="F782">
        <v>963309</v>
      </c>
      <c r="G782">
        <v>963309</v>
      </c>
      <c r="H782">
        <v>78</v>
      </c>
      <c r="I782" s="4">
        <v>0</v>
      </c>
      <c r="J782">
        <v>3.631233591713562E-3</v>
      </c>
      <c r="K782">
        <v>918494</v>
      </c>
      <c r="L782">
        <v>2468957</v>
      </c>
      <c r="M782">
        <v>367812</v>
      </c>
      <c r="N782">
        <v>213773</v>
      </c>
      <c r="O782" s="43">
        <v>664886880</v>
      </c>
      <c r="P782" s="14">
        <f t="shared" si="38"/>
        <v>3392280</v>
      </c>
      <c r="Q782" s="14" t="str">
        <f t="shared" si="36"/>
        <v/>
      </c>
      <c r="R782" s="14" t="str">
        <f t="shared" si="36"/>
        <v/>
      </c>
      <c r="S782" s="14" t="str">
        <f t="shared" si="37"/>
        <v/>
      </c>
      <c r="T782" s="14" t="s">
        <v>72</v>
      </c>
      <c r="U782" s="14">
        <v>0</v>
      </c>
      <c r="V782">
        <v>6421</v>
      </c>
      <c r="W782">
        <v>18.401422119140602</v>
      </c>
      <c r="X782">
        <v>39.537058939319401</v>
      </c>
      <c r="Y782">
        <v>1.28086047668117</v>
      </c>
      <c r="Z782" s="31">
        <v>6.4605482189999996</v>
      </c>
      <c r="AA782">
        <v>17.356652288064499</v>
      </c>
      <c r="AB782">
        <v>6.8733000000000002E-2</v>
      </c>
      <c r="AC782">
        <v>395343.329528915</v>
      </c>
      <c r="AD782">
        <v>447054.23703129712</v>
      </c>
      <c r="AE782">
        <v>1</v>
      </c>
      <c r="AF782">
        <v>24972.135131998239</v>
      </c>
      <c r="AG782">
        <v>85329.432476189802</v>
      </c>
    </row>
    <row r="783" spans="2:33" x14ac:dyDescent="0.25">
      <c r="B783">
        <v>14</v>
      </c>
      <c r="C783" t="s">
        <v>44</v>
      </c>
      <c r="D783" t="s">
        <v>26</v>
      </c>
      <c r="E783" t="s">
        <v>68</v>
      </c>
      <c r="F783">
        <v>963309</v>
      </c>
      <c r="G783">
        <v>963309</v>
      </c>
      <c r="H783">
        <v>79</v>
      </c>
      <c r="I783" s="4">
        <v>0</v>
      </c>
      <c r="J783">
        <v>0</v>
      </c>
      <c r="K783">
        <v>918494</v>
      </c>
      <c r="L783">
        <v>2468957</v>
      </c>
      <c r="M783">
        <v>367812</v>
      </c>
      <c r="N783">
        <v>213773</v>
      </c>
      <c r="O783" s="43">
        <v>669409920</v>
      </c>
      <c r="P783" s="14">
        <f t="shared" si="38"/>
        <v>4523040</v>
      </c>
      <c r="Q783" s="14" t="str">
        <f t="shared" si="36"/>
        <v/>
      </c>
      <c r="R783" s="14" t="str">
        <f t="shared" si="36"/>
        <v/>
      </c>
      <c r="S783" s="14" t="str">
        <f t="shared" si="37"/>
        <v/>
      </c>
      <c r="T783" s="14" t="s">
        <v>72</v>
      </c>
      <c r="U783" s="14">
        <v>0</v>
      </c>
      <c r="V783">
        <v>6421</v>
      </c>
      <c r="W783">
        <v>15.6078735351562</v>
      </c>
      <c r="X783">
        <v>25.0316522660058</v>
      </c>
      <c r="Y783">
        <v>1.3308848898769701</v>
      </c>
      <c r="Z783" s="31">
        <v>1.8823846588376201</v>
      </c>
      <c r="AA783">
        <v>1.1837822629053201</v>
      </c>
      <c r="AB783">
        <v>6.8733000000000002E-2</v>
      </c>
      <c r="AC783">
        <v>395343.329528915</v>
      </c>
      <c r="AD783">
        <v>447054.23703129712</v>
      </c>
      <c r="AE783">
        <v>1</v>
      </c>
      <c r="AF783">
        <v>24972.135131998239</v>
      </c>
      <c r="AG783">
        <v>85329.432476189802</v>
      </c>
    </row>
    <row r="784" spans="2:33" x14ac:dyDescent="0.25">
      <c r="B784">
        <v>14</v>
      </c>
      <c r="C784" t="s">
        <v>44</v>
      </c>
      <c r="D784" t="s">
        <v>26</v>
      </c>
      <c r="E784" t="s">
        <v>68</v>
      </c>
      <c r="F784">
        <v>963309</v>
      </c>
      <c r="G784">
        <v>963309</v>
      </c>
      <c r="H784">
        <v>80</v>
      </c>
      <c r="I784" s="4">
        <v>0</v>
      </c>
      <c r="J784">
        <v>0</v>
      </c>
      <c r="K784">
        <v>918494</v>
      </c>
      <c r="L784">
        <v>2468957</v>
      </c>
      <c r="M784">
        <v>367812</v>
      </c>
      <c r="N784">
        <v>213773</v>
      </c>
      <c r="O784" s="43">
        <v>669409920</v>
      </c>
      <c r="P784" s="14">
        <f t="shared" si="38"/>
        <v>0</v>
      </c>
      <c r="Q784" s="14" t="str">
        <f t="shared" si="36"/>
        <v/>
      </c>
      <c r="R784" s="14" t="str">
        <f t="shared" si="36"/>
        <v/>
      </c>
      <c r="S784" s="14" t="str">
        <f t="shared" si="37"/>
        <v/>
      </c>
      <c r="T784" s="14" t="s">
        <v>72</v>
      </c>
      <c r="U784" s="14">
        <v>0</v>
      </c>
      <c r="V784">
        <v>6421</v>
      </c>
      <c r="W784">
        <v>17.561120605468702</v>
      </c>
      <c r="X784">
        <v>20.7233079303927</v>
      </c>
      <c r="Y784">
        <v>1.59320534551747</v>
      </c>
      <c r="Z784" s="31">
        <v>2.6999086404595101</v>
      </c>
      <c r="AA784">
        <v>5.8994149770232296</v>
      </c>
      <c r="AB784">
        <v>6.8733000000000002E-2</v>
      </c>
      <c r="AC784">
        <v>395343.329528915</v>
      </c>
      <c r="AD784">
        <v>447054.23703129712</v>
      </c>
      <c r="AE784">
        <v>1</v>
      </c>
      <c r="AF784">
        <v>24972.135131998239</v>
      </c>
      <c r="AG784">
        <v>85329.432476189802</v>
      </c>
    </row>
    <row r="785" spans="2:33" x14ac:dyDescent="0.25">
      <c r="B785">
        <v>14</v>
      </c>
      <c r="C785" t="s">
        <v>44</v>
      </c>
      <c r="D785" t="s">
        <v>26</v>
      </c>
      <c r="E785" t="s">
        <v>68</v>
      </c>
      <c r="F785">
        <v>963309</v>
      </c>
      <c r="G785">
        <v>963309</v>
      </c>
      <c r="H785">
        <v>81</v>
      </c>
      <c r="I785" s="4">
        <v>33</v>
      </c>
      <c r="J785">
        <v>0</v>
      </c>
      <c r="K785">
        <v>918494</v>
      </c>
      <c r="L785">
        <v>2468957</v>
      </c>
      <c r="M785">
        <v>367812</v>
      </c>
      <c r="N785">
        <v>213773</v>
      </c>
      <c r="O785" s="43">
        <v>676194480</v>
      </c>
      <c r="P785" s="14">
        <f t="shared" si="38"/>
        <v>6784560</v>
      </c>
      <c r="Q785" s="14" t="str">
        <f t="shared" si="36"/>
        <v/>
      </c>
      <c r="R785" s="14" t="str">
        <f t="shared" si="36"/>
        <v/>
      </c>
      <c r="S785" s="14" t="str">
        <f t="shared" si="37"/>
        <v/>
      </c>
      <c r="T785" s="14" t="s">
        <v>72</v>
      </c>
      <c r="U785" s="14">
        <v>205592.72727272726</v>
      </c>
      <c r="V785">
        <v>6421</v>
      </c>
      <c r="W785">
        <v>20.342553710937501</v>
      </c>
      <c r="X785">
        <v>17.300623339172802</v>
      </c>
      <c r="Y785">
        <v>1.97667937046592</v>
      </c>
      <c r="Z785" s="31">
        <v>2.37476773571324</v>
      </c>
      <c r="AA785">
        <v>1.76385873945758</v>
      </c>
      <c r="AB785">
        <v>6.8733000000000002E-2</v>
      </c>
      <c r="AC785">
        <v>395343.329528915</v>
      </c>
      <c r="AD785">
        <v>447054.23703129712</v>
      </c>
      <c r="AE785">
        <v>1</v>
      </c>
      <c r="AF785">
        <v>24972.135131998239</v>
      </c>
      <c r="AG785">
        <v>85329.432476189802</v>
      </c>
    </row>
    <row r="786" spans="2:33" x14ac:dyDescent="0.25">
      <c r="B786">
        <v>14</v>
      </c>
      <c r="C786" t="s">
        <v>44</v>
      </c>
      <c r="D786" t="s">
        <v>26</v>
      </c>
      <c r="E786" t="s">
        <v>68</v>
      </c>
      <c r="F786">
        <v>963309</v>
      </c>
      <c r="G786">
        <v>963309</v>
      </c>
      <c r="H786">
        <v>82</v>
      </c>
      <c r="I786" s="4">
        <v>0</v>
      </c>
      <c r="J786">
        <v>0</v>
      </c>
      <c r="K786">
        <v>918494</v>
      </c>
      <c r="L786">
        <v>2468957</v>
      </c>
      <c r="M786">
        <v>367812</v>
      </c>
      <c r="N786">
        <v>213773</v>
      </c>
      <c r="O786" s="43">
        <v>679586760</v>
      </c>
      <c r="P786" s="14">
        <f t="shared" si="38"/>
        <v>3392280</v>
      </c>
      <c r="Q786" s="14" t="str">
        <f t="shared" si="36"/>
        <v/>
      </c>
      <c r="R786" s="14" t="str">
        <f t="shared" si="36"/>
        <v/>
      </c>
      <c r="S786" s="14" t="str">
        <f t="shared" si="37"/>
        <v/>
      </c>
      <c r="T786" s="14" t="s">
        <v>72</v>
      </c>
      <c r="U786" s="14">
        <v>0</v>
      </c>
      <c r="V786">
        <v>6421</v>
      </c>
      <c r="W786">
        <v>23.114373779296798</v>
      </c>
      <c r="X786">
        <v>14.2133103115382</v>
      </c>
      <c r="Y786">
        <v>2.4283596734316202</v>
      </c>
      <c r="Z786" s="31">
        <v>0.73594434071482695</v>
      </c>
      <c r="AA786">
        <v>2.6404012971581698</v>
      </c>
      <c r="AB786">
        <v>6.8733000000000002E-2</v>
      </c>
      <c r="AC786">
        <v>395343.329528915</v>
      </c>
      <c r="AD786">
        <v>447054.23703129712</v>
      </c>
      <c r="AE786">
        <v>1</v>
      </c>
      <c r="AF786">
        <v>24972.135131998239</v>
      </c>
      <c r="AG786">
        <v>85329.432476189802</v>
      </c>
    </row>
    <row r="787" spans="2:33" x14ac:dyDescent="0.25">
      <c r="B787">
        <v>14</v>
      </c>
      <c r="C787" t="s">
        <v>44</v>
      </c>
      <c r="D787" t="s">
        <v>26</v>
      </c>
      <c r="E787" t="s">
        <v>68</v>
      </c>
      <c r="F787">
        <v>963309</v>
      </c>
      <c r="G787">
        <v>963309</v>
      </c>
      <c r="H787">
        <v>83</v>
      </c>
      <c r="I787" s="4">
        <v>0</v>
      </c>
      <c r="J787">
        <v>0</v>
      </c>
      <c r="K787">
        <v>918494</v>
      </c>
      <c r="L787">
        <v>2468957</v>
      </c>
      <c r="M787">
        <v>367812</v>
      </c>
      <c r="N787">
        <v>213773</v>
      </c>
      <c r="O787" s="43">
        <v>682979040</v>
      </c>
      <c r="P787" s="14">
        <f t="shared" si="38"/>
        <v>3392280</v>
      </c>
      <c r="Q787" s="14" t="str">
        <f t="shared" si="36"/>
        <v/>
      </c>
      <c r="R787" s="14" t="str">
        <f t="shared" si="36"/>
        <v/>
      </c>
      <c r="S787" s="14" t="str">
        <f t="shared" si="37"/>
        <v/>
      </c>
      <c r="T787" s="14" t="s">
        <v>72</v>
      </c>
      <c r="U787" s="14">
        <v>0</v>
      </c>
      <c r="V787">
        <v>6421</v>
      </c>
      <c r="W787">
        <v>24.852655029296798</v>
      </c>
      <c r="X787">
        <v>13.173009953660401</v>
      </c>
      <c r="Y787">
        <v>2.7278984444651102</v>
      </c>
      <c r="Z787" s="31">
        <v>0.52272078767997499</v>
      </c>
      <c r="AA787">
        <v>2.4240248704104101</v>
      </c>
      <c r="AB787">
        <v>6.8733000000000002E-2</v>
      </c>
      <c r="AC787">
        <v>395343.329528915</v>
      </c>
      <c r="AD787">
        <v>447054.23703129712</v>
      </c>
      <c r="AE787">
        <v>1</v>
      </c>
      <c r="AF787">
        <v>24972.135131998239</v>
      </c>
      <c r="AG787">
        <v>85329.432476189802</v>
      </c>
    </row>
    <row r="788" spans="2:33" x14ac:dyDescent="0.25">
      <c r="B788">
        <v>14</v>
      </c>
      <c r="C788" t="s">
        <v>44</v>
      </c>
      <c r="D788" t="s">
        <v>26</v>
      </c>
      <c r="E788" t="s">
        <v>68</v>
      </c>
      <c r="F788">
        <v>963309</v>
      </c>
      <c r="G788">
        <v>963309</v>
      </c>
      <c r="H788">
        <v>84</v>
      </c>
      <c r="I788" s="4">
        <v>0</v>
      </c>
      <c r="J788">
        <v>0</v>
      </c>
      <c r="K788">
        <v>918494</v>
      </c>
      <c r="L788">
        <v>2468957</v>
      </c>
      <c r="M788">
        <v>367812</v>
      </c>
      <c r="N788">
        <v>213773</v>
      </c>
      <c r="O788" s="43">
        <v>686169581.10839999</v>
      </c>
      <c r="P788" s="14">
        <f t="shared" si="38"/>
        <v>3190541.1083999872</v>
      </c>
      <c r="Q788" s="14" t="str">
        <f t="shared" si="36"/>
        <v/>
      </c>
      <c r="R788" s="14" t="str">
        <f t="shared" si="36"/>
        <v/>
      </c>
      <c r="S788" s="14" t="str">
        <f t="shared" si="37"/>
        <v/>
      </c>
      <c r="T788" s="14" t="s">
        <v>72</v>
      </c>
      <c r="U788" s="14">
        <v>0</v>
      </c>
      <c r="V788">
        <v>6421</v>
      </c>
      <c r="W788">
        <v>25.277398681640602</v>
      </c>
      <c r="X788">
        <v>14.7844227888394</v>
      </c>
      <c r="Y788">
        <v>2.7457518240583898</v>
      </c>
      <c r="Z788" s="31">
        <v>1.35510702736374</v>
      </c>
      <c r="AA788">
        <v>2.67528404450881</v>
      </c>
      <c r="AB788">
        <v>6.8733000000000002E-2</v>
      </c>
      <c r="AC788">
        <v>395343.329528915</v>
      </c>
      <c r="AD788">
        <v>447054.23703129712</v>
      </c>
      <c r="AE788">
        <v>1</v>
      </c>
      <c r="AF788">
        <v>24972.135131998239</v>
      </c>
      <c r="AG788">
        <v>85329.432476189802</v>
      </c>
    </row>
    <row r="789" spans="2:33" x14ac:dyDescent="0.25">
      <c r="B789">
        <v>14</v>
      </c>
      <c r="C789" t="s">
        <v>44</v>
      </c>
      <c r="D789" t="s">
        <v>26</v>
      </c>
      <c r="E789" t="s">
        <v>68</v>
      </c>
      <c r="F789">
        <v>963309</v>
      </c>
      <c r="G789">
        <v>963309</v>
      </c>
      <c r="H789">
        <v>85</v>
      </c>
      <c r="I789" s="4">
        <v>0</v>
      </c>
      <c r="J789">
        <v>0</v>
      </c>
      <c r="K789">
        <v>918494</v>
      </c>
      <c r="L789">
        <v>2468957</v>
      </c>
      <c r="M789">
        <v>367812</v>
      </c>
      <c r="N789">
        <v>213773</v>
      </c>
      <c r="O789" s="43">
        <v>690123373.90919995</v>
      </c>
      <c r="P789" s="14">
        <f t="shared" si="38"/>
        <v>3953792.8007999659</v>
      </c>
      <c r="Q789" s="14" t="str">
        <f t="shared" si="36"/>
        <v/>
      </c>
      <c r="R789" s="14" t="str">
        <f t="shared" si="36"/>
        <v/>
      </c>
      <c r="S789" s="14" t="str">
        <f t="shared" si="37"/>
        <v/>
      </c>
      <c r="T789" s="14" t="s">
        <v>72</v>
      </c>
      <c r="U789" s="14">
        <v>0</v>
      </c>
      <c r="V789">
        <v>6421</v>
      </c>
      <c r="W789">
        <v>23.065637207031202</v>
      </c>
      <c r="X789">
        <v>13.594514398521699</v>
      </c>
      <c r="Y789">
        <v>2.43868840154955</v>
      </c>
      <c r="Z789" s="31">
        <v>3.85423367670335</v>
      </c>
      <c r="AA789">
        <v>9.0704436578275693</v>
      </c>
      <c r="AB789">
        <v>6.8733000000000002E-2</v>
      </c>
      <c r="AC789">
        <v>395343.329528915</v>
      </c>
      <c r="AD789">
        <v>447054.23703129712</v>
      </c>
      <c r="AE789">
        <v>1</v>
      </c>
      <c r="AF789">
        <v>24972.135131998239</v>
      </c>
      <c r="AG789">
        <v>85329.432476189802</v>
      </c>
    </row>
    <row r="790" spans="2:33" x14ac:dyDescent="0.25">
      <c r="B790">
        <v>14</v>
      </c>
      <c r="C790" t="s">
        <v>44</v>
      </c>
      <c r="D790" t="s">
        <v>26</v>
      </c>
      <c r="E790" t="s">
        <v>68</v>
      </c>
      <c r="F790">
        <v>963309</v>
      </c>
      <c r="G790">
        <v>963309</v>
      </c>
      <c r="H790">
        <v>86</v>
      </c>
      <c r="I790" s="4">
        <v>0</v>
      </c>
      <c r="J790">
        <v>0</v>
      </c>
      <c r="K790">
        <v>918494</v>
      </c>
      <c r="L790">
        <v>2468957</v>
      </c>
      <c r="M790">
        <v>367812</v>
      </c>
      <c r="N790">
        <v>213773</v>
      </c>
      <c r="O790" s="43">
        <v>696255941.08547997</v>
      </c>
      <c r="P790" s="14">
        <f t="shared" si="38"/>
        <v>6132567.1762800217</v>
      </c>
      <c r="Q790" s="14" t="str">
        <f t="shared" si="36"/>
        <v/>
      </c>
      <c r="R790" s="14" t="str">
        <f t="shared" si="36"/>
        <v/>
      </c>
      <c r="S790" s="14" t="str">
        <f t="shared" si="37"/>
        <v/>
      </c>
      <c r="T790" s="14" t="s">
        <v>72</v>
      </c>
      <c r="U790" s="14">
        <v>0</v>
      </c>
      <c r="V790">
        <v>6421</v>
      </c>
      <c r="W790">
        <v>19.165063476562501</v>
      </c>
      <c r="X790">
        <v>26.295248354742998</v>
      </c>
      <c r="Y790">
        <v>1.63772704303154</v>
      </c>
      <c r="Z790" s="31">
        <v>4.1481504849792303</v>
      </c>
      <c r="AA790">
        <v>16.887517328487402</v>
      </c>
      <c r="AB790">
        <v>6.8733000000000002E-2</v>
      </c>
      <c r="AC790">
        <v>395343.329528915</v>
      </c>
      <c r="AD790">
        <v>447054.23703129712</v>
      </c>
      <c r="AE790">
        <v>1</v>
      </c>
      <c r="AF790">
        <v>24972.135131998239</v>
      </c>
      <c r="AG790">
        <v>85329.432476189802</v>
      </c>
    </row>
    <row r="791" spans="2:33" x14ac:dyDescent="0.25">
      <c r="B791">
        <v>14</v>
      </c>
      <c r="C791" t="s">
        <v>44</v>
      </c>
      <c r="D791" t="s">
        <v>26</v>
      </c>
      <c r="E791" t="s">
        <v>68</v>
      </c>
      <c r="F791">
        <v>963309</v>
      </c>
      <c r="G791">
        <v>963309</v>
      </c>
      <c r="H791">
        <v>87</v>
      </c>
      <c r="I791" s="4">
        <v>0</v>
      </c>
      <c r="J791">
        <v>0</v>
      </c>
      <c r="K791">
        <v>918494</v>
      </c>
      <c r="L791">
        <v>2468957</v>
      </c>
      <c r="M791">
        <v>367812</v>
      </c>
      <c r="N791">
        <v>213773</v>
      </c>
      <c r="O791" s="43">
        <v>700838714.61324</v>
      </c>
      <c r="P791" s="14">
        <f t="shared" si="38"/>
        <v>4582773.5277600288</v>
      </c>
      <c r="Q791" s="14" t="str">
        <f t="shared" si="36"/>
        <v/>
      </c>
      <c r="R791" s="14" t="str">
        <f t="shared" si="36"/>
        <v/>
      </c>
      <c r="S791" s="14" t="str">
        <f t="shared" si="37"/>
        <v/>
      </c>
      <c r="T791" s="14" t="s">
        <v>72</v>
      </c>
      <c r="U791" s="14">
        <v>0</v>
      </c>
      <c r="V791">
        <v>6421</v>
      </c>
      <c r="W791">
        <v>15.4607482910156</v>
      </c>
      <c r="X791">
        <v>35.614477186002901</v>
      </c>
      <c r="Y791">
        <v>1.1322979702629401</v>
      </c>
      <c r="Z791" s="31">
        <v>4.2875873044291604</v>
      </c>
      <c r="AA791">
        <v>12.3893098689169</v>
      </c>
      <c r="AB791">
        <v>6.8733000000000002E-2</v>
      </c>
      <c r="AC791">
        <v>395343.329528915</v>
      </c>
      <c r="AD791">
        <v>447054.23703129712</v>
      </c>
      <c r="AE791">
        <v>1</v>
      </c>
      <c r="AF791">
        <v>24972.135131998239</v>
      </c>
      <c r="AG791">
        <v>85329.432476189802</v>
      </c>
    </row>
    <row r="792" spans="2:33" x14ac:dyDescent="0.25">
      <c r="B792">
        <v>14</v>
      </c>
      <c r="C792" t="s">
        <v>44</v>
      </c>
      <c r="D792" t="s">
        <v>26</v>
      </c>
      <c r="E792" t="s">
        <v>68</v>
      </c>
      <c r="F792">
        <v>963309</v>
      </c>
      <c r="G792">
        <v>963309</v>
      </c>
      <c r="H792">
        <v>88</v>
      </c>
      <c r="I792" s="4">
        <v>0</v>
      </c>
      <c r="J792">
        <v>0</v>
      </c>
      <c r="K792">
        <v>918494</v>
      </c>
      <c r="L792">
        <v>2468957</v>
      </c>
      <c r="M792">
        <v>367812</v>
      </c>
      <c r="N792">
        <v>213773</v>
      </c>
      <c r="O792" s="43">
        <v>702505841.57315993</v>
      </c>
      <c r="P792" s="14">
        <f t="shared" si="38"/>
        <v>1667126.9599199295</v>
      </c>
      <c r="Q792" s="14" t="str">
        <f t="shared" si="36"/>
        <v/>
      </c>
      <c r="R792" s="14" t="str">
        <f t="shared" si="36"/>
        <v/>
      </c>
      <c r="S792" s="14" t="str">
        <f t="shared" si="37"/>
        <v/>
      </c>
      <c r="T792" s="14" t="s">
        <v>72</v>
      </c>
      <c r="U792" s="14">
        <v>0</v>
      </c>
      <c r="V792">
        <v>6421</v>
      </c>
      <c r="W792">
        <v>14.3929077148437</v>
      </c>
      <c r="X792">
        <v>43.064188562763597</v>
      </c>
      <c r="Y792">
        <v>0.93480997207098604</v>
      </c>
      <c r="Z792" s="31">
        <v>3.83561194576688</v>
      </c>
      <c r="AA792">
        <v>13.482308452807199</v>
      </c>
      <c r="AB792">
        <v>6.8733000000000002E-2</v>
      </c>
      <c r="AC792">
        <v>395343.329528915</v>
      </c>
      <c r="AD792">
        <v>447054.23703129712</v>
      </c>
      <c r="AE792">
        <v>1</v>
      </c>
      <c r="AF792">
        <v>24972.135131998239</v>
      </c>
      <c r="AG792">
        <v>85329.432476189802</v>
      </c>
    </row>
    <row r="793" spans="2:33" x14ac:dyDescent="0.25">
      <c r="B793">
        <v>14</v>
      </c>
      <c r="C793" t="s">
        <v>44</v>
      </c>
      <c r="D793" t="s">
        <v>26</v>
      </c>
      <c r="E793" t="s">
        <v>68</v>
      </c>
      <c r="F793">
        <v>963309</v>
      </c>
      <c r="G793">
        <v>963309</v>
      </c>
      <c r="H793">
        <v>89</v>
      </c>
      <c r="I793" s="4">
        <v>0</v>
      </c>
      <c r="J793">
        <v>0</v>
      </c>
      <c r="K793">
        <v>918494</v>
      </c>
      <c r="L793">
        <v>2468957</v>
      </c>
      <c r="M793">
        <v>367812</v>
      </c>
      <c r="N793">
        <v>213773</v>
      </c>
      <c r="O793" s="43">
        <v>705601093.53636003</v>
      </c>
      <c r="P793" s="14">
        <f t="shared" si="38"/>
        <v>3095251.9632000923</v>
      </c>
      <c r="Q793" s="14" t="str">
        <f t="shared" si="36"/>
        <v/>
      </c>
      <c r="R793" s="14" t="str">
        <f t="shared" si="36"/>
        <v/>
      </c>
      <c r="S793" s="14" t="str">
        <f t="shared" si="37"/>
        <v/>
      </c>
      <c r="T793" s="14" t="s">
        <v>72</v>
      </c>
      <c r="U793" s="14">
        <v>0</v>
      </c>
      <c r="V793">
        <v>6421</v>
      </c>
      <c r="W793">
        <v>11.4713684082031</v>
      </c>
      <c r="X793">
        <v>34.175787834132599</v>
      </c>
      <c r="Y793">
        <v>0.89291900558117898</v>
      </c>
      <c r="Z793" s="31">
        <v>4.2910821136424699</v>
      </c>
      <c r="AA793">
        <v>7.0801169809557702</v>
      </c>
      <c r="AB793">
        <v>6.8733000000000002E-2</v>
      </c>
      <c r="AC793">
        <v>395343.329528915</v>
      </c>
      <c r="AD793">
        <v>447054.23703129712</v>
      </c>
      <c r="AE793">
        <v>1</v>
      </c>
      <c r="AF793">
        <v>24972.135131998239</v>
      </c>
      <c r="AG793">
        <v>85329.432476189802</v>
      </c>
    </row>
    <row r="794" spans="2:33" x14ac:dyDescent="0.25">
      <c r="B794">
        <v>14</v>
      </c>
      <c r="C794" t="s">
        <v>44</v>
      </c>
      <c r="D794" t="s">
        <v>26</v>
      </c>
      <c r="E794" t="s">
        <v>68</v>
      </c>
      <c r="F794">
        <v>963309</v>
      </c>
      <c r="G794">
        <v>963309</v>
      </c>
      <c r="H794">
        <v>90</v>
      </c>
      <c r="I794" s="4">
        <v>0</v>
      </c>
      <c r="J794">
        <v>0</v>
      </c>
      <c r="K794">
        <v>918494</v>
      </c>
      <c r="L794">
        <v>2468957</v>
      </c>
      <c r="M794">
        <v>367812</v>
      </c>
      <c r="N794">
        <v>213773</v>
      </c>
      <c r="O794" s="43">
        <v>709288078.99212003</v>
      </c>
      <c r="P794" s="14">
        <f t="shared" si="38"/>
        <v>3686985.4557600021</v>
      </c>
      <c r="Q794" s="14" t="str">
        <f t="shared" si="36"/>
        <v/>
      </c>
      <c r="R794" s="14" t="str">
        <f t="shared" si="36"/>
        <v/>
      </c>
      <c r="S794" s="14" t="str">
        <f t="shared" si="37"/>
        <v/>
      </c>
      <c r="T794" s="14" t="s">
        <v>72</v>
      </c>
      <c r="U794" s="14">
        <v>0</v>
      </c>
      <c r="V794">
        <v>6421</v>
      </c>
      <c r="W794">
        <v>16.159204101562501</v>
      </c>
      <c r="X794">
        <v>27.246109571201998</v>
      </c>
      <c r="Y794">
        <v>1.3378539707778401</v>
      </c>
      <c r="Z794" s="31">
        <v>1.13294897264521</v>
      </c>
      <c r="AA794">
        <v>3.75468697781317</v>
      </c>
      <c r="AB794">
        <v>6.8733000000000002E-2</v>
      </c>
      <c r="AC794">
        <v>395343.329528915</v>
      </c>
      <c r="AD794">
        <v>447054.23703129712</v>
      </c>
      <c r="AE794">
        <v>1</v>
      </c>
      <c r="AF794">
        <v>24972.135131998239</v>
      </c>
      <c r="AG794">
        <v>85329.432476189802</v>
      </c>
    </row>
    <row r="795" spans="2:33" x14ac:dyDescent="0.25">
      <c r="B795">
        <v>14</v>
      </c>
      <c r="C795" t="s">
        <v>44</v>
      </c>
      <c r="D795" t="s">
        <v>26</v>
      </c>
      <c r="E795" t="s">
        <v>68</v>
      </c>
      <c r="F795">
        <v>963309</v>
      </c>
      <c r="G795">
        <v>963309</v>
      </c>
      <c r="H795">
        <v>91</v>
      </c>
      <c r="I795" s="4">
        <v>0</v>
      </c>
      <c r="J795">
        <v>0</v>
      </c>
      <c r="K795">
        <v>918494</v>
      </c>
      <c r="L795">
        <v>2468957</v>
      </c>
      <c r="M795">
        <v>367812</v>
      </c>
      <c r="N795">
        <v>213773</v>
      </c>
      <c r="O795" s="43">
        <v>710409865.28076005</v>
      </c>
      <c r="P795" s="14">
        <f t="shared" si="38"/>
        <v>1121786.2886400223</v>
      </c>
      <c r="Q795" s="14" t="str">
        <f t="shared" si="36"/>
        <v/>
      </c>
      <c r="R795" s="14" t="str">
        <f t="shared" si="36"/>
        <v/>
      </c>
      <c r="S795" s="14" t="str">
        <f t="shared" si="37"/>
        <v/>
      </c>
      <c r="T795" s="14" t="s">
        <v>72</v>
      </c>
      <c r="U795" s="14">
        <v>0</v>
      </c>
      <c r="V795">
        <v>6421</v>
      </c>
      <c r="W795">
        <v>18.989953613281202</v>
      </c>
      <c r="X795">
        <v>21.778856426198502</v>
      </c>
      <c r="Y795">
        <v>1.7192526656357101</v>
      </c>
      <c r="Z795" s="31">
        <v>4.4915199306724602</v>
      </c>
      <c r="AA795">
        <v>9.6056931082918897</v>
      </c>
      <c r="AB795">
        <v>6.8733000000000002E-2</v>
      </c>
      <c r="AC795">
        <v>395343.329528915</v>
      </c>
      <c r="AD795">
        <v>447054.23703129712</v>
      </c>
      <c r="AE795">
        <v>1</v>
      </c>
      <c r="AF795">
        <v>24972.135131998239</v>
      </c>
      <c r="AG795">
        <v>85329.432476189802</v>
      </c>
    </row>
    <row r="796" spans="2:33" x14ac:dyDescent="0.25">
      <c r="B796">
        <v>14</v>
      </c>
      <c r="C796" t="s">
        <v>44</v>
      </c>
      <c r="D796" t="s">
        <v>26</v>
      </c>
      <c r="E796" t="s">
        <v>68</v>
      </c>
      <c r="F796">
        <v>963309</v>
      </c>
      <c r="G796">
        <v>963309</v>
      </c>
      <c r="H796">
        <v>92</v>
      </c>
      <c r="I796" s="4">
        <v>0</v>
      </c>
      <c r="J796">
        <v>0</v>
      </c>
      <c r="K796">
        <v>918494</v>
      </c>
      <c r="L796">
        <v>2468957</v>
      </c>
      <c r="M796">
        <v>367812</v>
      </c>
      <c r="N796">
        <v>213773</v>
      </c>
      <c r="O796" s="43">
        <v>710162707.15224004</v>
      </c>
      <c r="P796" s="14">
        <f t="shared" si="38"/>
        <v>-247158.1285200119</v>
      </c>
      <c r="Q796" s="14">
        <f t="shared" si="36"/>
        <v>-247158.1285200119</v>
      </c>
      <c r="R796" s="14">
        <f t="shared" si="36"/>
        <v>-247158.1285200119</v>
      </c>
      <c r="S796" s="14">
        <f t="shared" si="37"/>
        <v>61087140493.514717</v>
      </c>
      <c r="T796" s="14">
        <v>61087140493.514717</v>
      </c>
      <c r="U796" s="14">
        <v>0</v>
      </c>
      <c r="V796">
        <v>6421</v>
      </c>
      <c r="W796">
        <v>6.9383483886718897</v>
      </c>
      <c r="X796">
        <v>24.6055499587005</v>
      </c>
      <c r="Y796">
        <v>0.75355170487499201</v>
      </c>
      <c r="Z796" s="31">
        <v>6.0327981133389397</v>
      </c>
      <c r="AA796">
        <v>13.618507941029099</v>
      </c>
      <c r="AB796">
        <v>6.8733000000000002E-2</v>
      </c>
      <c r="AC796">
        <v>395343.329528915</v>
      </c>
      <c r="AD796">
        <v>447054.23703129712</v>
      </c>
      <c r="AE796">
        <v>1</v>
      </c>
      <c r="AF796">
        <v>24972.135131998239</v>
      </c>
      <c r="AG796">
        <v>85329.432476189802</v>
      </c>
    </row>
    <row r="797" spans="2:33" x14ac:dyDescent="0.25">
      <c r="B797">
        <v>14</v>
      </c>
      <c r="C797" t="s">
        <v>44</v>
      </c>
      <c r="D797" t="s">
        <v>26</v>
      </c>
      <c r="E797" t="s">
        <v>68</v>
      </c>
      <c r="F797">
        <v>963309</v>
      </c>
      <c r="G797">
        <v>963309</v>
      </c>
      <c r="H797">
        <v>93</v>
      </c>
      <c r="I797" s="4">
        <v>0</v>
      </c>
      <c r="J797">
        <v>0</v>
      </c>
      <c r="K797">
        <v>918494</v>
      </c>
      <c r="L797">
        <v>2468957</v>
      </c>
      <c r="M797">
        <v>367812</v>
      </c>
      <c r="N797">
        <v>213773</v>
      </c>
      <c r="O797" s="43">
        <v>693752457.66840005</v>
      </c>
      <c r="P797" s="14">
        <f t="shared" si="38"/>
        <v>-16410249.483839989</v>
      </c>
      <c r="Q797" s="17">
        <f t="shared" si="36"/>
        <v>-16410249.483839989</v>
      </c>
      <c r="R797" s="17"/>
      <c r="S797" s="14">
        <f t="shared" si="37"/>
        <v>269296288121870.63</v>
      </c>
      <c r="U797" s="14">
        <v>0</v>
      </c>
      <c r="V797">
        <v>6421</v>
      </c>
      <c r="W797">
        <v>11.0043579101562</v>
      </c>
      <c r="X797">
        <v>14.253587068373299</v>
      </c>
      <c r="Y797">
        <v>1.12739865887642</v>
      </c>
      <c r="Z797" s="31">
        <v>1.24153263183634</v>
      </c>
      <c r="AA797">
        <v>8.2091087370575408</v>
      </c>
      <c r="AB797">
        <v>6.8733000000000002E-2</v>
      </c>
      <c r="AC797">
        <v>395343.329528915</v>
      </c>
      <c r="AD797">
        <v>447054.23703129712</v>
      </c>
      <c r="AE797">
        <v>1</v>
      </c>
      <c r="AF797">
        <v>24972.135131998239</v>
      </c>
      <c r="AG797">
        <v>85329.432476189802</v>
      </c>
    </row>
    <row r="798" spans="2:33" x14ac:dyDescent="0.25">
      <c r="B798">
        <v>14</v>
      </c>
      <c r="C798" t="s">
        <v>44</v>
      </c>
      <c r="D798" t="s">
        <v>26</v>
      </c>
      <c r="E798" t="s">
        <v>68</v>
      </c>
      <c r="F798">
        <v>963309</v>
      </c>
      <c r="G798">
        <v>963309</v>
      </c>
      <c r="H798">
        <v>94</v>
      </c>
      <c r="I798" s="4">
        <v>0</v>
      </c>
      <c r="J798">
        <v>0</v>
      </c>
      <c r="K798">
        <v>918494</v>
      </c>
      <c r="L798">
        <v>2468957</v>
      </c>
      <c r="M798">
        <v>367812</v>
      </c>
      <c r="N798">
        <v>213773</v>
      </c>
      <c r="O798" s="43">
        <v>695632006.9404</v>
      </c>
      <c r="P798" s="14">
        <f t="shared" si="38"/>
        <v>1879549.2719999552</v>
      </c>
      <c r="Q798" s="14" t="str">
        <f t="shared" si="36"/>
        <v/>
      </c>
      <c r="R798" s="14" t="str">
        <f t="shared" si="36"/>
        <v/>
      </c>
      <c r="S798" s="14" t="str">
        <f t="shared" si="37"/>
        <v/>
      </c>
      <c r="T798" s="14" t="s">
        <v>72</v>
      </c>
      <c r="U798" s="14">
        <v>0</v>
      </c>
      <c r="V798">
        <v>6421</v>
      </c>
      <c r="W798">
        <v>13.4460693359375</v>
      </c>
      <c r="X798">
        <v>27.4700370014002</v>
      </c>
      <c r="Y798">
        <v>1.11993026517899</v>
      </c>
      <c r="Z798" s="31">
        <v>3.0513353156025902</v>
      </c>
      <c r="AA798">
        <v>5.6295510075997504</v>
      </c>
      <c r="AB798">
        <v>6.8733000000000002E-2</v>
      </c>
      <c r="AC798">
        <v>395343.329528915</v>
      </c>
      <c r="AD798">
        <v>447054.23703129712</v>
      </c>
      <c r="AE798">
        <v>1</v>
      </c>
      <c r="AF798">
        <v>24972.135131998239</v>
      </c>
      <c r="AG798">
        <v>85329.432476189802</v>
      </c>
    </row>
    <row r="799" spans="2:33" x14ac:dyDescent="0.25">
      <c r="B799">
        <v>14</v>
      </c>
      <c r="C799" t="s">
        <v>44</v>
      </c>
      <c r="D799" t="s">
        <v>26</v>
      </c>
      <c r="E799" t="s">
        <v>68</v>
      </c>
      <c r="F799">
        <v>963309</v>
      </c>
      <c r="G799">
        <v>963309</v>
      </c>
      <c r="H799">
        <v>95</v>
      </c>
      <c r="I799" s="4">
        <v>0</v>
      </c>
      <c r="J799">
        <v>0</v>
      </c>
      <c r="K799">
        <v>918494</v>
      </c>
      <c r="L799">
        <v>2468957</v>
      </c>
      <c r="M799">
        <v>367812</v>
      </c>
      <c r="N799">
        <v>213773</v>
      </c>
      <c r="O799" s="43">
        <v>698024213.39663994</v>
      </c>
      <c r="P799" s="14">
        <f t="shared" si="38"/>
        <v>2392206.4562399387</v>
      </c>
      <c r="Q799" s="14" t="str">
        <f t="shared" si="36"/>
        <v/>
      </c>
      <c r="R799" s="14" t="str">
        <f t="shared" si="36"/>
        <v/>
      </c>
      <c r="S799" s="14" t="str">
        <f t="shared" si="37"/>
        <v/>
      </c>
      <c r="T799" s="14" t="s">
        <v>72</v>
      </c>
      <c r="U799" s="14">
        <v>0</v>
      </c>
      <c r="V799">
        <v>6421</v>
      </c>
      <c r="W799">
        <v>13.23623046875</v>
      </c>
      <c r="X799">
        <v>21.6923429391829</v>
      </c>
      <c r="Y799">
        <v>1.1926663332071099</v>
      </c>
      <c r="Z799" s="31">
        <v>2.3494678457265601</v>
      </c>
      <c r="AA799">
        <v>7.5571883030000002</v>
      </c>
      <c r="AB799">
        <v>6.8733000000000002E-2</v>
      </c>
      <c r="AC799">
        <v>395343.329528915</v>
      </c>
      <c r="AD799">
        <v>447054.23703129712</v>
      </c>
      <c r="AE799">
        <v>1</v>
      </c>
      <c r="AF799">
        <v>24972.135131998239</v>
      </c>
      <c r="AG799">
        <v>85329.432476189802</v>
      </c>
    </row>
    <row r="800" spans="2:33" x14ac:dyDescent="0.25">
      <c r="B800">
        <v>14</v>
      </c>
      <c r="C800" t="s">
        <v>44</v>
      </c>
      <c r="D800" t="s">
        <v>26</v>
      </c>
      <c r="E800" t="s">
        <v>68</v>
      </c>
      <c r="F800">
        <v>963309</v>
      </c>
      <c r="G800">
        <v>963309</v>
      </c>
      <c r="H800">
        <v>96</v>
      </c>
      <c r="I800" s="4">
        <v>0</v>
      </c>
      <c r="J800">
        <v>0</v>
      </c>
      <c r="K800">
        <v>918494</v>
      </c>
      <c r="L800">
        <v>2468957</v>
      </c>
      <c r="M800">
        <v>367812</v>
      </c>
      <c r="N800">
        <v>213773</v>
      </c>
      <c r="O800" s="43">
        <v>698246900.74800003</v>
      </c>
      <c r="P800" s="14">
        <f t="shared" si="38"/>
        <v>222687.35136008263</v>
      </c>
      <c r="Q800" s="14" t="str">
        <f t="shared" si="36"/>
        <v/>
      </c>
      <c r="R800" s="14" t="str">
        <f t="shared" si="36"/>
        <v/>
      </c>
      <c r="S800" s="14" t="str">
        <f t="shared" si="37"/>
        <v/>
      </c>
      <c r="T800" s="14" t="s">
        <v>72</v>
      </c>
      <c r="U800" s="14">
        <v>0</v>
      </c>
      <c r="V800">
        <v>6421</v>
      </c>
      <c r="W800">
        <v>20.077600097656202</v>
      </c>
      <c r="X800">
        <v>15.480858537460801</v>
      </c>
      <c r="Y800">
        <v>1.9873868225474101</v>
      </c>
      <c r="Z800" s="31">
        <v>0.577353825992585</v>
      </c>
      <c r="AA800">
        <v>4.2959836317595599</v>
      </c>
      <c r="AB800">
        <v>6.8733000000000002E-2</v>
      </c>
      <c r="AC800">
        <v>395343.329528915</v>
      </c>
      <c r="AD800">
        <v>447054.23703129712</v>
      </c>
      <c r="AE800">
        <v>1</v>
      </c>
      <c r="AF800">
        <v>24972.135131998239</v>
      </c>
      <c r="AG800">
        <v>85329.432476189802</v>
      </c>
    </row>
    <row r="801" spans="1:33" x14ac:dyDescent="0.25">
      <c r="B801">
        <v>14</v>
      </c>
      <c r="C801" t="s">
        <v>44</v>
      </c>
      <c r="D801" t="s">
        <v>26</v>
      </c>
      <c r="E801" t="s">
        <v>68</v>
      </c>
      <c r="F801">
        <v>963309</v>
      </c>
      <c r="G801">
        <v>963309</v>
      </c>
      <c r="H801">
        <v>97</v>
      </c>
      <c r="I801" s="4">
        <v>0</v>
      </c>
      <c r="J801">
        <v>0</v>
      </c>
      <c r="K801">
        <v>918494</v>
      </c>
      <c r="L801">
        <v>2468957</v>
      </c>
      <c r="M801">
        <v>367812</v>
      </c>
      <c r="N801">
        <v>213773</v>
      </c>
      <c r="O801" s="43">
        <v>700026805.18727994</v>
      </c>
      <c r="P801" s="14">
        <f t="shared" si="38"/>
        <v>1779904.4392799139</v>
      </c>
      <c r="Q801" s="14" t="str">
        <f t="shared" si="36"/>
        <v/>
      </c>
      <c r="R801" s="14" t="str">
        <f t="shared" si="36"/>
        <v/>
      </c>
      <c r="S801" s="14" t="str">
        <f t="shared" si="37"/>
        <v/>
      </c>
      <c r="T801" s="14" t="s">
        <v>72</v>
      </c>
      <c r="U801" s="14">
        <v>0</v>
      </c>
      <c r="V801">
        <v>6421</v>
      </c>
      <c r="W801">
        <v>21.331414794921798</v>
      </c>
      <c r="X801">
        <v>14.8700152332603</v>
      </c>
      <c r="Y801">
        <v>2.1622307680000001</v>
      </c>
      <c r="Z801" s="31">
        <v>1.34155536934244</v>
      </c>
      <c r="AA801">
        <v>5.9716128963351904</v>
      </c>
      <c r="AB801">
        <v>6.8733000000000002E-2</v>
      </c>
      <c r="AC801">
        <v>395343.329528915</v>
      </c>
      <c r="AD801">
        <v>447054.23703129712</v>
      </c>
      <c r="AE801">
        <v>1</v>
      </c>
      <c r="AF801">
        <v>24972.135131998239</v>
      </c>
      <c r="AG801">
        <v>85329.432476189802</v>
      </c>
    </row>
    <row r="802" spans="1:33" x14ac:dyDescent="0.25">
      <c r="B802">
        <v>14</v>
      </c>
      <c r="C802" t="s">
        <v>44</v>
      </c>
      <c r="D802" t="s">
        <v>26</v>
      </c>
      <c r="E802" t="s">
        <v>68</v>
      </c>
      <c r="F802">
        <v>963309</v>
      </c>
      <c r="G802">
        <v>963309</v>
      </c>
      <c r="H802">
        <v>98</v>
      </c>
      <c r="I802" s="4">
        <v>0</v>
      </c>
      <c r="J802">
        <v>0</v>
      </c>
      <c r="K802">
        <v>918494</v>
      </c>
      <c r="L802">
        <v>2468957</v>
      </c>
      <c r="M802">
        <v>367812</v>
      </c>
      <c r="N802">
        <v>213773</v>
      </c>
      <c r="O802" s="43">
        <v>701856423.48995996</v>
      </c>
      <c r="P802" s="14">
        <f t="shared" si="38"/>
        <v>1829618.3026800156</v>
      </c>
      <c r="Q802" s="14" t="str">
        <f t="shared" si="36"/>
        <v/>
      </c>
      <c r="R802" s="14" t="str">
        <f t="shared" si="36"/>
        <v/>
      </c>
      <c r="S802" s="14" t="str">
        <f t="shared" si="37"/>
        <v/>
      </c>
      <c r="T802" s="14" t="s">
        <v>72</v>
      </c>
      <c r="U802" s="14">
        <v>0</v>
      </c>
      <c r="V802">
        <v>6421</v>
      </c>
      <c r="W802">
        <v>12.2573486328125</v>
      </c>
      <c r="X802">
        <v>33.4800769893316</v>
      </c>
      <c r="Y802">
        <v>0.95033218486715998</v>
      </c>
      <c r="Z802" s="31">
        <v>5.85423998</v>
      </c>
      <c r="AA802">
        <v>20.168576703514798</v>
      </c>
      <c r="AB802">
        <v>6.8733000000000002E-2</v>
      </c>
      <c r="AC802">
        <v>395343.329528915</v>
      </c>
      <c r="AD802">
        <v>447054.23703129712</v>
      </c>
      <c r="AE802">
        <v>1</v>
      </c>
      <c r="AF802">
        <v>24972.135131998239</v>
      </c>
      <c r="AG802">
        <v>85329.432476189802</v>
      </c>
    </row>
    <row r="803" spans="1:33" x14ac:dyDescent="0.25">
      <c r="B803">
        <v>14</v>
      </c>
      <c r="C803" t="s">
        <v>44</v>
      </c>
      <c r="D803" t="s">
        <v>26</v>
      </c>
      <c r="E803" t="s">
        <v>68</v>
      </c>
      <c r="F803">
        <v>963309</v>
      </c>
      <c r="G803">
        <v>963309</v>
      </c>
      <c r="H803">
        <v>99</v>
      </c>
      <c r="I803" s="4">
        <v>0</v>
      </c>
      <c r="J803">
        <v>0</v>
      </c>
      <c r="K803">
        <v>918494</v>
      </c>
      <c r="L803">
        <v>2468957</v>
      </c>
      <c r="M803">
        <v>367812</v>
      </c>
      <c r="N803">
        <v>213773</v>
      </c>
      <c r="O803" s="43">
        <v>704003295.73355997</v>
      </c>
      <c r="P803" s="14">
        <f t="shared" si="38"/>
        <v>2146872.2436000109</v>
      </c>
      <c r="Q803" s="14" t="str">
        <f t="shared" si="36"/>
        <v/>
      </c>
      <c r="R803" s="14" t="str">
        <f t="shared" si="36"/>
        <v/>
      </c>
      <c r="S803" s="14" t="str">
        <f t="shared" si="37"/>
        <v/>
      </c>
      <c r="T803" s="14" t="s">
        <v>72</v>
      </c>
      <c r="U803" s="14">
        <v>0</v>
      </c>
      <c r="V803">
        <v>6421</v>
      </c>
      <c r="W803">
        <v>6.8932128906250201</v>
      </c>
      <c r="X803">
        <v>60.246380517058803</v>
      </c>
      <c r="Y803">
        <v>0.396236630921043</v>
      </c>
      <c r="Z803" s="31">
        <v>1.7229923970000001</v>
      </c>
      <c r="AA803">
        <v>3.3279127327307201</v>
      </c>
      <c r="AB803">
        <v>6.8733000000000002E-2</v>
      </c>
      <c r="AC803">
        <v>395343.329528915</v>
      </c>
      <c r="AD803">
        <v>447054.23703129712</v>
      </c>
      <c r="AE803">
        <v>1</v>
      </c>
      <c r="AF803">
        <v>24972.135131998239</v>
      </c>
      <c r="AG803">
        <v>85329.432476189802</v>
      </c>
    </row>
    <row r="804" spans="1:33" x14ac:dyDescent="0.25">
      <c r="B804">
        <v>14</v>
      </c>
      <c r="C804" t="s">
        <v>44</v>
      </c>
      <c r="D804" t="s">
        <v>26</v>
      </c>
      <c r="E804" t="s">
        <v>68</v>
      </c>
      <c r="F804">
        <v>963309</v>
      </c>
      <c r="G804">
        <v>963309</v>
      </c>
      <c r="H804">
        <v>100</v>
      </c>
      <c r="I804" s="4">
        <v>0</v>
      </c>
      <c r="J804">
        <v>0</v>
      </c>
      <c r="K804">
        <v>918494</v>
      </c>
      <c r="L804">
        <v>2468957</v>
      </c>
      <c r="M804">
        <v>367812</v>
      </c>
      <c r="N804">
        <v>213773</v>
      </c>
      <c r="O804" s="43">
        <v>706701972.26482916</v>
      </c>
      <c r="P804" s="14">
        <f t="shared" si="38"/>
        <v>2698676.5312691927</v>
      </c>
      <c r="Q804" s="14" t="str">
        <f t="shared" si="36"/>
        <v/>
      </c>
      <c r="R804" s="14" t="str">
        <f t="shared" si="36"/>
        <v/>
      </c>
      <c r="S804" s="14" t="str">
        <f t="shared" si="37"/>
        <v/>
      </c>
      <c r="T804" s="14" t="s">
        <v>72</v>
      </c>
      <c r="U804" s="14">
        <v>0</v>
      </c>
      <c r="V804">
        <v>6421</v>
      </c>
      <c r="W804">
        <v>10.5923706054687</v>
      </c>
      <c r="X804">
        <v>43.230239803682402</v>
      </c>
      <c r="Y804">
        <v>0.72649086385265405</v>
      </c>
      <c r="Z804" s="31">
        <v>2.45170265925218</v>
      </c>
      <c r="AA804">
        <v>18.369450152075601</v>
      </c>
      <c r="AB804">
        <v>6.8733000000000002E-2</v>
      </c>
      <c r="AC804">
        <v>395343.329528915</v>
      </c>
      <c r="AD804">
        <v>447054.23703129712</v>
      </c>
      <c r="AE804">
        <v>1</v>
      </c>
      <c r="AF804">
        <v>24972.135131998239</v>
      </c>
      <c r="AG804">
        <v>85329.432476189802</v>
      </c>
    </row>
    <row r="805" spans="1:33" x14ac:dyDescent="0.25">
      <c r="B805">
        <v>14</v>
      </c>
      <c r="C805" t="s">
        <v>44</v>
      </c>
      <c r="D805" t="s">
        <v>26</v>
      </c>
      <c r="E805" t="s">
        <v>68</v>
      </c>
      <c r="F805">
        <v>963309</v>
      </c>
      <c r="G805">
        <v>963309</v>
      </c>
      <c r="H805">
        <v>101</v>
      </c>
      <c r="I805" s="4">
        <v>0</v>
      </c>
      <c r="J805">
        <v>0</v>
      </c>
      <c r="K805">
        <v>918494</v>
      </c>
      <c r="L805">
        <v>2468957</v>
      </c>
      <c r="M805">
        <v>367812</v>
      </c>
      <c r="N805">
        <v>213773</v>
      </c>
      <c r="O805" s="43">
        <v>710289767.26116002</v>
      </c>
      <c r="P805" s="14">
        <f t="shared" si="38"/>
        <v>3587794.9963308573</v>
      </c>
      <c r="Q805" s="14" t="str">
        <f t="shared" si="36"/>
        <v/>
      </c>
      <c r="R805" s="14" t="str">
        <f t="shared" si="36"/>
        <v/>
      </c>
      <c r="S805" s="14" t="str">
        <f t="shared" si="37"/>
        <v/>
      </c>
      <c r="T805" s="14" t="s">
        <v>72</v>
      </c>
      <c r="U805" s="14">
        <v>0</v>
      </c>
      <c r="V805">
        <v>6421</v>
      </c>
      <c r="W805">
        <v>9.8454833984375192</v>
      </c>
      <c r="X805">
        <v>72.951371257908505</v>
      </c>
      <c r="Y805">
        <v>0.32930129991617602</v>
      </c>
      <c r="Z805" s="31">
        <v>1.3556160690450101</v>
      </c>
      <c r="AA805">
        <v>18.7661590907747</v>
      </c>
      <c r="AB805">
        <v>6.8733000000000002E-2</v>
      </c>
      <c r="AC805">
        <v>395343.329528915</v>
      </c>
      <c r="AD805">
        <v>447054.23703129712</v>
      </c>
      <c r="AE805">
        <v>1</v>
      </c>
      <c r="AF805">
        <v>24972.135131998239</v>
      </c>
      <c r="AG805">
        <v>85329.432476189802</v>
      </c>
    </row>
    <row r="806" spans="1:33" x14ac:dyDescent="0.25">
      <c r="B806">
        <v>14</v>
      </c>
      <c r="C806" t="s">
        <v>44</v>
      </c>
      <c r="D806" t="s">
        <v>26</v>
      </c>
      <c r="E806" t="s">
        <v>68</v>
      </c>
      <c r="F806">
        <v>963309</v>
      </c>
      <c r="G806">
        <v>963309</v>
      </c>
      <c r="H806">
        <v>102</v>
      </c>
      <c r="I806" s="4">
        <v>0</v>
      </c>
      <c r="J806">
        <v>0</v>
      </c>
      <c r="K806">
        <v>918494</v>
      </c>
      <c r="L806">
        <v>2468957</v>
      </c>
      <c r="M806">
        <v>367812</v>
      </c>
      <c r="N806">
        <v>213773</v>
      </c>
      <c r="O806" s="43">
        <v>712782000.21554279</v>
      </c>
      <c r="P806" s="14">
        <f t="shared" si="38"/>
        <v>2492232.9543827772</v>
      </c>
      <c r="Q806" s="14" t="str">
        <f t="shared" si="36"/>
        <v/>
      </c>
      <c r="R806" s="14" t="str">
        <f t="shared" si="36"/>
        <v/>
      </c>
      <c r="S806" s="14" t="str">
        <f t="shared" si="37"/>
        <v/>
      </c>
      <c r="T806" s="14" t="s">
        <v>72</v>
      </c>
      <c r="U806" s="14">
        <v>0</v>
      </c>
      <c r="V806">
        <v>6421</v>
      </c>
      <c r="W806">
        <v>13.0928283691406</v>
      </c>
      <c r="X806">
        <v>82.798329663422507</v>
      </c>
      <c r="Y806">
        <v>0.25951770053906098</v>
      </c>
      <c r="Z806" s="31">
        <v>1.8621215751543101</v>
      </c>
      <c r="AA806">
        <v>20.124958146412499</v>
      </c>
      <c r="AB806">
        <v>6.8733000000000002E-2</v>
      </c>
      <c r="AC806">
        <v>395343.329528915</v>
      </c>
      <c r="AD806">
        <v>447054.23703129712</v>
      </c>
      <c r="AE806">
        <v>1</v>
      </c>
      <c r="AF806">
        <v>24972.135131998239</v>
      </c>
      <c r="AG806">
        <v>85329.432476189802</v>
      </c>
    </row>
    <row r="807" spans="1:33" x14ac:dyDescent="0.25">
      <c r="B807">
        <v>14</v>
      </c>
      <c r="C807" t="s">
        <v>44</v>
      </c>
      <c r="D807" t="s">
        <v>26</v>
      </c>
      <c r="E807" t="s">
        <v>68</v>
      </c>
      <c r="F807">
        <v>963309</v>
      </c>
      <c r="G807">
        <v>963309</v>
      </c>
      <c r="H807">
        <v>103</v>
      </c>
      <c r="I807" s="4">
        <v>0</v>
      </c>
      <c r="J807">
        <v>0</v>
      </c>
      <c r="K807">
        <v>918494</v>
      </c>
      <c r="L807">
        <v>2468957</v>
      </c>
      <c r="M807">
        <v>367812</v>
      </c>
      <c r="N807">
        <v>213773</v>
      </c>
      <c r="O807" s="43">
        <v>715566618.23831999</v>
      </c>
      <c r="P807" s="14">
        <f t="shared" si="38"/>
        <v>2784618.0227771997</v>
      </c>
      <c r="Q807" s="14" t="str">
        <f t="shared" si="36"/>
        <v/>
      </c>
      <c r="R807" s="14" t="str">
        <f t="shared" si="36"/>
        <v/>
      </c>
      <c r="S807" s="14" t="str">
        <f t="shared" si="37"/>
        <v/>
      </c>
      <c r="T807" s="14" t="s">
        <v>72</v>
      </c>
      <c r="U807" s="14">
        <v>0</v>
      </c>
      <c r="V807">
        <v>6421</v>
      </c>
      <c r="W807">
        <v>8.1326538085937106</v>
      </c>
      <c r="X807">
        <v>62.705214351591302</v>
      </c>
      <c r="Y807">
        <v>0.40453577454055301</v>
      </c>
      <c r="Z807" s="31">
        <v>3.80637767585368</v>
      </c>
      <c r="AA807">
        <v>9.9097600230691807</v>
      </c>
      <c r="AB807">
        <v>6.8733000000000002E-2</v>
      </c>
      <c r="AC807">
        <v>395343.329528915</v>
      </c>
      <c r="AD807">
        <v>447054.23703129712</v>
      </c>
      <c r="AE807">
        <v>1</v>
      </c>
      <c r="AF807">
        <v>24972.135131998239</v>
      </c>
      <c r="AG807">
        <v>85329.432476189802</v>
      </c>
    </row>
    <row r="808" spans="1:33" x14ac:dyDescent="0.25">
      <c r="B808">
        <v>14</v>
      </c>
      <c r="C808" t="s">
        <v>44</v>
      </c>
      <c r="D808" t="s">
        <v>26</v>
      </c>
      <c r="E808" t="s">
        <v>68</v>
      </c>
      <c r="F808">
        <v>963309</v>
      </c>
      <c r="G808">
        <v>963309</v>
      </c>
      <c r="H808">
        <v>104</v>
      </c>
      <c r="I808" s="4">
        <v>0</v>
      </c>
      <c r="J808">
        <v>0</v>
      </c>
      <c r="K808">
        <v>918494</v>
      </c>
      <c r="L808">
        <v>2468957</v>
      </c>
      <c r="M808">
        <v>367812</v>
      </c>
      <c r="N808">
        <v>213773</v>
      </c>
      <c r="O808" s="43">
        <v>717482877.63372004</v>
      </c>
      <c r="P808" s="14">
        <f t="shared" si="38"/>
        <v>1916259.3954000473</v>
      </c>
      <c r="Q808" s="14" t="str">
        <f t="shared" si="36"/>
        <v/>
      </c>
      <c r="R808" s="14" t="str">
        <f t="shared" si="36"/>
        <v/>
      </c>
      <c r="S808" s="14" t="str">
        <f t="shared" si="37"/>
        <v/>
      </c>
      <c r="T808" s="14" t="s">
        <v>72</v>
      </c>
      <c r="U808" s="14">
        <v>0</v>
      </c>
      <c r="V808">
        <v>6421</v>
      </c>
      <c r="W808">
        <v>5.9647766113281397</v>
      </c>
      <c r="X808">
        <v>80.882791665798294</v>
      </c>
      <c r="Y808">
        <v>0.17875591722123599</v>
      </c>
      <c r="Z808" s="31">
        <v>2.2099463274919899</v>
      </c>
      <c r="AA808">
        <v>13.1960213061828</v>
      </c>
      <c r="AB808">
        <v>6.8733000000000002E-2</v>
      </c>
      <c r="AC808">
        <v>395343.329528915</v>
      </c>
      <c r="AD808">
        <v>447054.23703129712</v>
      </c>
      <c r="AE808">
        <v>1</v>
      </c>
      <c r="AF808">
        <v>24972.135131998239</v>
      </c>
      <c r="AG808">
        <v>85329.432476189802</v>
      </c>
    </row>
    <row r="809" spans="1:33" x14ac:dyDescent="0.25">
      <c r="B809">
        <v>14</v>
      </c>
      <c r="C809" t="s">
        <v>44</v>
      </c>
      <c r="D809" t="s">
        <v>26</v>
      </c>
      <c r="E809" t="s">
        <v>68</v>
      </c>
      <c r="F809">
        <v>963309</v>
      </c>
      <c r="G809">
        <v>963309</v>
      </c>
      <c r="H809">
        <v>105</v>
      </c>
      <c r="I809" s="4">
        <v>0</v>
      </c>
      <c r="J809">
        <v>0</v>
      </c>
      <c r="K809">
        <v>918494</v>
      </c>
      <c r="L809">
        <v>2468957</v>
      </c>
      <c r="M809">
        <v>367812</v>
      </c>
      <c r="N809">
        <v>213773</v>
      </c>
      <c r="O809" s="43">
        <v>720778329.52416003</v>
      </c>
      <c r="P809" s="14">
        <f t="shared" si="38"/>
        <v>3295451.8904399872</v>
      </c>
      <c r="Q809" s="14" t="str">
        <f t="shared" si="36"/>
        <v/>
      </c>
      <c r="R809" s="14" t="str">
        <f t="shared" si="36"/>
        <v/>
      </c>
      <c r="S809" s="14" t="str">
        <f t="shared" si="37"/>
        <v/>
      </c>
      <c r="T809" s="14" t="s">
        <v>72</v>
      </c>
      <c r="U809" s="14">
        <v>0</v>
      </c>
      <c r="V809">
        <v>6421</v>
      </c>
      <c r="W809">
        <v>6.6695495605468897</v>
      </c>
      <c r="X809">
        <v>95.630697292980898</v>
      </c>
      <c r="Y809">
        <v>4.2886727098442497E-2</v>
      </c>
      <c r="Z809" s="31">
        <v>3.1217436894425399</v>
      </c>
      <c r="AA809">
        <v>25.9769356140654</v>
      </c>
      <c r="AB809">
        <v>6.8733000000000002E-2</v>
      </c>
      <c r="AC809">
        <v>395343.329528915</v>
      </c>
      <c r="AD809">
        <v>447054.23703129712</v>
      </c>
      <c r="AE809">
        <v>1</v>
      </c>
      <c r="AF809">
        <v>24972.135131998239</v>
      </c>
      <c r="AG809">
        <v>85329.432476189802</v>
      </c>
    </row>
    <row r="810" spans="1:33" hidden="1" x14ac:dyDescent="0.25">
      <c r="A810" t="s">
        <v>100</v>
      </c>
      <c r="B810">
        <v>15</v>
      </c>
      <c r="C810" t="s">
        <v>45</v>
      </c>
      <c r="D810" t="s">
        <v>26</v>
      </c>
      <c r="E810" t="s">
        <v>68</v>
      </c>
      <c r="F810">
        <v>0</v>
      </c>
      <c r="G810">
        <v>128417</v>
      </c>
      <c r="H810">
        <v>1</v>
      </c>
      <c r="I810" s="4">
        <v>0</v>
      </c>
      <c r="J810">
        <v>0</v>
      </c>
      <c r="K810">
        <v>16000</v>
      </c>
      <c r="L810">
        <v>203437</v>
      </c>
      <c r="M810">
        <v>167252</v>
      </c>
      <c r="N810">
        <v>10337</v>
      </c>
      <c r="O810" s="43">
        <v>0</v>
      </c>
      <c r="P810" s="14">
        <v>0</v>
      </c>
      <c r="Q810" s="14" t="str">
        <f t="shared" si="36"/>
        <v/>
      </c>
      <c r="R810" s="14" t="str">
        <f t="shared" si="36"/>
        <v/>
      </c>
      <c r="S810" s="14" t="str">
        <f t="shared" si="37"/>
        <v/>
      </c>
      <c r="T810" s="14" t="s">
        <v>72</v>
      </c>
      <c r="U810" s="14">
        <v>0</v>
      </c>
      <c r="V810">
        <v>3297</v>
      </c>
      <c r="W810">
        <v>28.047265625000001</v>
      </c>
      <c r="X810">
        <v>41.1106206309843</v>
      </c>
      <c r="Y810">
        <v>2.2317221486260701</v>
      </c>
      <c r="Z810" s="31">
        <v>4.5170705138662903</v>
      </c>
      <c r="AA810">
        <v>6.8529519799107401</v>
      </c>
      <c r="AB810">
        <v>0.13</v>
      </c>
      <c r="AC810">
        <v>621774.52984523203</v>
      </c>
      <c r="AD810">
        <v>711496.59450189909</v>
      </c>
      <c r="AE810">
        <v>1</v>
      </c>
      <c r="AF810">
        <v>1345.6152561294321</v>
      </c>
      <c r="AG810">
        <v>73431.446927322875</v>
      </c>
    </row>
    <row r="811" spans="1:33" hidden="1" x14ac:dyDescent="0.25">
      <c r="B811">
        <v>15</v>
      </c>
      <c r="C811" t="s">
        <v>45</v>
      </c>
      <c r="D811" t="s">
        <v>26</v>
      </c>
      <c r="E811" t="s">
        <v>68</v>
      </c>
      <c r="F811">
        <v>5472</v>
      </c>
      <c r="G811">
        <v>128417</v>
      </c>
      <c r="H811">
        <v>2</v>
      </c>
      <c r="I811" s="4">
        <v>0</v>
      </c>
      <c r="J811">
        <v>1.45</v>
      </c>
      <c r="K811">
        <v>16000</v>
      </c>
      <c r="L811">
        <v>203437</v>
      </c>
      <c r="M811">
        <v>167252</v>
      </c>
      <c r="N811">
        <v>10337</v>
      </c>
      <c r="O811" s="43">
        <v>228865.82399999999</v>
      </c>
      <c r="P811" s="14">
        <f t="shared" si="38"/>
        <v>228865.82399999999</v>
      </c>
      <c r="Q811" s="14" t="str">
        <f t="shared" si="36"/>
        <v/>
      </c>
      <c r="R811" s="14" t="str">
        <f t="shared" si="36"/>
        <v/>
      </c>
      <c r="S811" s="14" t="str">
        <f t="shared" si="37"/>
        <v/>
      </c>
      <c r="T811" s="14" t="s">
        <v>72</v>
      </c>
      <c r="U811" s="14">
        <v>0</v>
      </c>
      <c r="V811">
        <v>3297</v>
      </c>
      <c r="W811">
        <v>28.967675781250001</v>
      </c>
      <c r="X811">
        <v>35.828484496350697</v>
      </c>
      <c r="Y811">
        <v>2.56534886929406</v>
      </c>
      <c r="Z811" s="31">
        <v>6.5361482450531598</v>
      </c>
      <c r="AA811">
        <v>4.6888228465650901</v>
      </c>
      <c r="AB811">
        <v>0.13</v>
      </c>
      <c r="AC811">
        <v>621774.52984523203</v>
      </c>
      <c r="AD811">
        <v>711496.59450189909</v>
      </c>
      <c r="AE811">
        <v>1</v>
      </c>
      <c r="AF811">
        <v>1345.6152561294321</v>
      </c>
      <c r="AG811">
        <v>73431.446927322875</v>
      </c>
    </row>
    <row r="812" spans="1:33" hidden="1" x14ac:dyDescent="0.25">
      <c r="B812">
        <v>15</v>
      </c>
      <c r="C812" t="s">
        <v>45</v>
      </c>
      <c r="D812" t="s">
        <v>26</v>
      </c>
      <c r="E812" t="s">
        <v>68</v>
      </c>
      <c r="F812">
        <v>10175</v>
      </c>
      <c r="G812">
        <v>128417</v>
      </c>
      <c r="H812">
        <v>3</v>
      </c>
      <c r="I812" s="4">
        <v>0</v>
      </c>
      <c r="J812">
        <v>1.25</v>
      </c>
      <c r="K812">
        <v>16000</v>
      </c>
      <c r="L812">
        <v>203437</v>
      </c>
      <c r="M812">
        <v>167252</v>
      </c>
      <c r="N812">
        <v>10337</v>
      </c>
      <c r="O812" s="43">
        <v>801030.38400000008</v>
      </c>
      <c r="P812" s="14">
        <f t="shared" si="38"/>
        <v>572164.56000000006</v>
      </c>
      <c r="Q812" s="14" t="str">
        <f t="shared" si="36"/>
        <v/>
      </c>
      <c r="R812" s="14" t="str">
        <f t="shared" si="36"/>
        <v/>
      </c>
      <c r="S812" s="14" t="str">
        <f t="shared" si="37"/>
        <v/>
      </c>
      <c r="T812" s="14" t="s">
        <v>72</v>
      </c>
      <c r="U812" s="14">
        <v>0</v>
      </c>
      <c r="V812">
        <v>3297</v>
      </c>
      <c r="W812">
        <v>27.953271484375001</v>
      </c>
      <c r="X812">
        <v>31.1661718925534</v>
      </c>
      <c r="Y812">
        <v>2.59494336115233</v>
      </c>
      <c r="Z812" s="31">
        <v>7.2237626694268702</v>
      </c>
      <c r="AA812">
        <v>6.7539934890733599</v>
      </c>
      <c r="AB812">
        <v>0.13</v>
      </c>
      <c r="AC812">
        <v>621774.52984523203</v>
      </c>
      <c r="AD812">
        <v>711496.59450189909</v>
      </c>
      <c r="AE812">
        <v>1</v>
      </c>
      <c r="AF812">
        <v>1345.6152561294321</v>
      </c>
      <c r="AG812">
        <v>73431.446927322875</v>
      </c>
    </row>
    <row r="813" spans="1:33" hidden="1" x14ac:dyDescent="0.25">
      <c r="B813">
        <v>15</v>
      </c>
      <c r="C813" t="s">
        <v>45</v>
      </c>
      <c r="D813" t="s">
        <v>26</v>
      </c>
      <c r="E813" t="s">
        <v>68</v>
      </c>
      <c r="F813">
        <v>15475</v>
      </c>
      <c r="G813">
        <v>128417</v>
      </c>
      <c r="H813">
        <v>4</v>
      </c>
      <c r="I813">
        <v>0</v>
      </c>
      <c r="J813">
        <v>1.4</v>
      </c>
      <c r="K813">
        <v>16000</v>
      </c>
      <c r="L813">
        <v>203437</v>
      </c>
      <c r="M813">
        <v>167252</v>
      </c>
      <c r="N813">
        <v>10337</v>
      </c>
      <c r="O813" s="43">
        <v>1258762.0319999999</v>
      </c>
      <c r="P813" s="14">
        <f t="shared" si="38"/>
        <v>457731.64799999981</v>
      </c>
      <c r="Q813" s="14" t="str">
        <f t="shared" si="36"/>
        <v/>
      </c>
      <c r="R813" s="14" t="str">
        <f t="shared" si="36"/>
        <v/>
      </c>
      <c r="S813" s="14" t="str">
        <f t="shared" si="37"/>
        <v/>
      </c>
      <c r="T813" s="14" t="s">
        <v>72</v>
      </c>
      <c r="U813" s="14">
        <v>0</v>
      </c>
      <c r="V813">
        <v>3297</v>
      </c>
      <c r="W813">
        <v>25.273828125000001</v>
      </c>
      <c r="X813">
        <v>34.493406489538302</v>
      </c>
      <c r="Y813">
        <v>2.1096661917447102</v>
      </c>
      <c r="Z813" s="31">
        <v>6.7790781564091898</v>
      </c>
      <c r="AA813">
        <v>5.8583310878385797</v>
      </c>
      <c r="AB813">
        <v>0.13</v>
      </c>
      <c r="AC813">
        <v>621774.52984523203</v>
      </c>
      <c r="AD813">
        <v>711496.59450189909</v>
      </c>
      <c r="AE813">
        <v>1</v>
      </c>
      <c r="AF813">
        <v>1345.6152561294321</v>
      </c>
      <c r="AG813">
        <v>73431.446927322875</v>
      </c>
    </row>
    <row r="814" spans="1:33" hidden="1" x14ac:dyDescent="0.25">
      <c r="B814">
        <v>15</v>
      </c>
      <c r="C814" t="s">
        <v>45</v>
      </c>
      <c r="D814" t="s">
        <v>26</v>
      </c>
      <c r="E814" t="s">
        <v>68</v>
      </c>
      <c r="F814">
        <v>19165</v>
      </c>
      <c r="G814">
        <v>128417</v>
      </c>
      <c r="H814">
        <v>5</v>
      </c>
      <c r="I814">
        <v>5472</v>
      </c>
      <c r="J814">
        <v>0.98</v>
      </c>
      <c r="K814">
        <v>16000</v>
      </c>
      <c r="L814">
        <v>203437</v>
      </c>
      <c r="M814">
        <v>167252</v>
      </c>
      <c r="N814">
        <v>10337</v>
      </c>
      <c r="O814" s="43">
        <v>1258762.0319999999</v>
      </c>
      <c r="P814" s="14">
        <f t="shared" si="38"/>
        <v>0</v>
      </c>
      <c r="Q814" s="14" t="str">
        <f t="shared" si="36"/>
        <v/>
      </c>
      <c r="R814" s="14" t="str">
        <f t="shared" si="36"/>
        <v/>
      </c>
      <c r="S814" s="14" t="str">
        <f t="shared" si="37"/>
        <v/>
      </c>
      <c r="T814" s="14" t="s">
        <v>72</v>
      </c>
      <c r="U814" s="14">
        <v>0</v>
      </c>
      <c r="V814">
        <v>3297</v>
      </c>
      <c r="W814">
        <v>25.921533203125001</v>
      </c>
      <c r="X814">
        <v>42.518051943540499</v>
      </c>
      <c r="Y814">
        <v>1.92329651760871</v>
      </c>
      <c r="Z814" s="31">
        <v>6.2445963993981799</v>
      </c>
      <c r="AA814">
        <v>8.4116435464613701</v>
      </c>
      <c r="AB814">
        <v>0.13</v>
      </c>
      <c r="AC814">
        <v>621774.52984523203</v>
      </c>
      <c r="AD814">
        <v>711496.59450189909</v>
      </c>
      <c r="AE814">
        <v>1</v>
      </c>
      <c r="AF814">
        <v>1345.6152561294321</v>
      </c>
      <c r="AG814">
        <v>73431.446927322875</v>
      </c>
    </row>
    <row r="815" spans="1:33" hidden="1" x14ac:dyDescent="0.25">
      <c r="B815">
        <v>15</v>
      </c>
      <c r="C815" t="s">
        <v>45</v>
      </c>
      <c r="D815" t="s">
        <v>26</v>
      </c>
      <c r="E815" t="s">
        <v>68</v>
      </c>
      <c r="F815">
        <v>19287</v>
      </c>
      <c r="G815">
        <v>128417</v>
      </c>
      <c r="H815">
        <v>6</v>
      </c>
      <c r="I815">
        <v>4703</v>
      </c>
      <c r="J815">
        <v>0.03</v>
      </c>
      <c r="K815">
        <v>16000</v>
      </c>
      <c r="L815">
        <v>203437</v>
      </c>
      <c r="M815">
        <v>167252</v>
      </c>
      <c r="N815">
        <v>10337</v>
      </c>
      <c r="O815" s="43">
        <v>2631956.9759999998</v>
      </c>
      <c r="P815" s="14">
        <f t="shared" si="38"/>
        <v>1373194.9439999999</v>
      </c>
      <c r="Q815" s="14" t="str">
        <f t="shared" si="36"/>
        <v/>
      </c>
      <c r="R815" s="14" t="str">
        <f t="shared" si="36"/>
        <v/>
      </c>
      <c r="S815" s="14" t="str">
        <f t="shared" si="37"/>
        <v/>
      </c>
      <c r="T815" s="14" t="s">
        <v>72</v>
      </c>
      <c r="U815" s="14">
        <v>291.98276504358921</v>
      </c>
      <c r="V815">
        <v>3297</v>
      </c>
      <c r="W815">
        <v>24.455712890625001</v>
      </c>
      <c r="X815">
        <v>47.774392734662698</v>
      </c>
      <c r="Y815">
        <v>1.6016140306065201</v>
      </c>
      <c r="Z815" s="31">
        <v>2.3877038503076902</v>
      </c>
      <c r="AA815">
        <v>5.4742059042874001</v>
      </c>
      <c r="AB815">
        <v>0.13</v>
      </c>
      <c r="AC815">
        <v>621774.52984523203</v>
      </c>
      <c r="AD815">
        <v>711496.59450189909</v>
      </c>
      <c r="AE815">
        <v>1</v>
      </c>
      <c r="AF815">
        <v>1345.6152561294321</v>
      </c>
      <c r="AG815">
        <v>73431.446927322875</v>
      </c>
    </row>
    <row r="816" spans="1:33" hidden="1" x14ac:dyDescent="0.25">
      <c r="B816">
        <v>15</v>
      </c>
      <c r="C816" t="s">
        <v>45</v>
      </c>
      <c r="D816" t="s">
        <v>26</v>
      </c>
      <c r="E816" t="s">
        <v>68</v>
      </c>
      <c r="F816">
        <v>19987</v>
      </c>
      <c r="G816">
        <v>128417</v>
      </c>
      <c r="H816">
        <v>7</v>
      </c>
      <c r="I816">
        <v>5300</v>
      </c>
      <c r="J816">
        <v>0.19</v>
      </c>
      <c r="K816">
        <v>16000</v>
      </c>
      <c r="L816">
        <v>203437</v>
      </c>
      <c r="M816">
        <v>167252</v>
      </c>
      <c r="N816">
        <v>10337</v>
      </c>
      <c r="O816" s="43">
        <v>3661853.1839999999</v>
      </c>
      <c r="P816" s="14">
        <f t="shared" si="38"/>
        <v>1029896.2080000001</v>
      </c>
      <c r="Q816" s="14" t="str">
        <f t="shared" si="36"/>
        <v/>
      </c>
      <c r="R816" s="14" t="str">
        <f t="shared" si="36"/>
        <v/>
      </c>
      <c r="S816" s="14" t="str">
        <f t="shared" si="37"/>
        <v/>
      </c>
      <c r="T816" s="14" t="s">
        <v>72</v>
      </c>
      <c r="U816" s="14">
        <v>194.32003924528303</v>
      </c>
      <c r="V816">
        <v>3297</v>
      </c>
      <c r="W816">
        <v>22.773583984375001</v>
      </c>
      <c r="X816">
        <v>65.722172884614196</v>
      </c>
      <c r="Y816">
        <v>0.94986436605797397</v>
      </c>
      <c r="Z816" s="31">
        <v>2.1343940883697701</v>
      </c>
      <c r="AA816">
        <v>5.3878190804635802</v>
      </c>
      <c r="AB816">
        <v>0.13</v>
      </c>
      <c r="AC816">
        <v>621774.52984523203</v>
      </c>
      <c r="AD816">
        <v>711496.59450189909</v>
      </c>
      <c r="AE816">
        <v>1</v>
      </c>
      <c r="AF816">
        <v>1345.6152561294321</v>
      </c>
      <c r="AG816">
        <v>73431.446927322875</v>
      </c>
    </row>
    <row r="817" spans="2:33" hidden="1" x14ac:dyDescent="0.25">
      <c r="B817">
        <v>15</v>
      </c>
      <c r="C817" t="s">
        <v>45</v>
      </c>
      <c r="D817" t="s">
        <v>26</v>
      </c>
      <c r="E817" t="s">
        <v>68</v>
      </c>
      <c r="F817">
        <v>20397</v>
      </c>
      <c r="G817">
        <v>128417</v>
      </c>
      <c r="H817">
        <v>8</v>
      </c>
      <c r="I817">
        <v>3690</v>
      </c>
      <c r="J817">
        <v>0.11</v>
      </c>
      <c r="K817">
        <v>16000</v>
      </c>
      <c r="L817">
        <v>203437</v>
      </c>
      <c r="M817">
        <v>167252</v>
      </c>
      <c r="N817">
        <v>10337</v>
      </c>
      <c r="O817" s="43">
        <v>5721645.6000000006</v>
      </c>
      <c r="P817" s="14">
        <f t="shared" si="38"/>
        <v>2059792.4160000007</v>
      </c>
      <c r="Q817" s="14" t="str">
        <f t="shared" si="36"/>
        <v/>
      </c>
      <c r="R817" s="14" t="str">
        <f t="shared" si="36"/>
        <v/>
      </c>
      <c r="S817" s="14" t="str">
        <f t="shared" si="37"/>
        <v/>
      </c>
      <c r="T817" s="14" t="s">
        <v>72</v>
      </c>
      <c r="U817" s="14">
        <v>558.20932682926832</v>
      </c>
      <c r="V817">
        <v>3297</v>
      </c>
      <c r="W817">
        <v>21.807031250000001</v>
      </c>
      <c r="X817">
        <v>68.945565486688395</v>
      </c>
      <c r="Y817">
        <v>0.81147963583606597</v>
      </c>
      <c r="Z817" s="31">
        <v>2.3635379189327801</v>
      </c>
      <c r="AA817">
        <v>13.181916775363501</v>
      </c>
      <c r="AB817">
        <v>0.13</v>
      </c>
      <c r="AC817">
        <v>621774.52984523203</v>
      </c>
      <c r="AD817">
        <v>711496.59450189909</v>
      </c>
      <c r="AE817">
        <v>1</v>
      </c>
      <c r="AF817">
        <v>1345.6152561294321</v>
      </c>
      <c r="AG817">
        <v>73431.446927322875</v>
      </c>
    </row>
    <row r="818" spans="2:33" hidden="1" x14ac:dyDescent="0.25">
      <c r="B818">
        <v>15</v>
      </c>
      <c r="C818" t="s">
        <v>45</v>
      </c>
      <c r="D818" t="s">
        <v>26</v>
      </c>
      <c r="E818" t="s">
        <v>68</v>
      </c>
      <c r="F818">
        <v>21861</v>
      </c>
      <c r="G818">
        <v>128417</v>
      </c>
      <c r="H818">
        <v>9</v>
      </c>
      <c r="I818">
        <v>122</v>
      </c>
      <c r="J818">
        <v>0.39</v>
      </c>
      <c r="K818">
        <v>16000</v>
      </c>
      <c r="L818">
        <v>203437</v>
      </c>
      <c r="M818">
        <v>167252</v>
      </c>
      <c r="N818">
        <v>10337</v>
      </c>
      <c r="O818" s="43">
        <v>7667005.1040000003</v>
      </c>
      <c r="P818" s="14">
        <f t="shared" si="38"/>
        <v>1945359.5039999997</v>
      </c>
      <c r="Q818" s="14" t="str">
        <f t="shared" si="36"/>
        <v/>
      </c>
      <c r="R818" s="14" t="str">
        <f t="shared" si="36"/>
        <v/>
      </c>
      <c r="S818" s="14" t="str">
        <f t="shared" si="37"/>
        <v/>
      </c>
      <c r="T818" s="14" t="s">
        <v>72</v>
      </c>
      <c r="U818" s="14">
        <v>15945.569704918031</v>
      </c>
      <c r="V818">
        <v>3297</v>
      </c>
      <c r="W818">
        <v>20.061914062500001</v>
      </c>
      <c r="X818">
        <v>73.921917648027005</v>
      </c>
      <c r="Y818">
        <v>0.61224770647552396</v>
      </c>
      <c r="Z818" s="31">
        <v>3.23791583166373</v>
      </c>
      <c r="AA818">
        <v>4.0813310538549299</v>
      </c>
      <c r="AB818">
        <v>0.13</v>
      </c>
      <c r="AC818">
        <v>621774.52984523203</v>
      </c>
      <c r="AD818">
        <v>711496.59450189909</v>
      </c>
      <c r="AE818">
        <v>1</v>
      </c>
      <c r="AF818">
        <v>1345.6152561294321</v>
      </c>
      <c r="AG818">
        <v>73431.446927322875</v>
      </c>
    </row>
    <row r="819" spans="2:33" hidden="1" x14ac:dyDescent="0.25">
      <c r="B819">
        <v>15</v>
      </c>
      <c r="C819" t="s">
        <v>45</v>
      </c>
      <c r="D819" t="s">
        <v>26</v>
      </c>
      <c r="E819" t="s">
        <v>68</v>
      </c>
      <c r="F819">
        <v>21629</v>
      </c>
      <c r="G819">
        <v>128417</v>
      </c>
      <c r="H819">
        <v>10</v>
      </c>
      <c r="I819">
        <v>700</v>
      </c>
      <c r="J819">
        <v>0</v>
      </c>
      <c r="K819">
        <v>16000</v>
      </c>
      <c r="L819">
        <v>203437</v>
      </c>
      <c r="M819">
        <v>167252</v>
      </c>
      <c r="N819">
        <v>10337</v>
      </c>
      <c r="O819" s="43">
        <v>10413394.992000001</v>
      </c>
      <c r="P819" s="14">
        <f t="shared" si="38"/>
        <v>2746389.8880000003</v>
      </c>
      <c r="Q819" s="14" t="str">
        <f t="shared" si="36"/>
        <v/>
      </c>
      <c r="R819" s="14" t="str">
        <f t="shared" si="36"/>
        <v/>
      </c>
      <c r="S819" s="14" t="str">
        <f t="shared" si="37"/>
        <v/>
      </c>
      <c r="T819" s="14" t="s">
        <v>72</v>
      </c>
      <c r="U819" s="14">
        <v>3923.414125714286</v>
      </c>
      <c r="V819">
        <v>3297</v>
      </c>
      <c r="W819">
        <v>22.073754882812501</v>
      </c>
      <c r="X819">
        <v>44.888071091349303</v>
      </c>
      <c r="Y819">
        <v>1.4642358003572</v>
      </c>
      <c r="Z819" s="31">
        <v>6.7589116182874696</v>
      </c>
      <c r="AA819">
        <v>5.7598888923317997</v>
      </c>
      <c r="AB819">
        <v>0.13</v>
      </c>
      <c r="AC819">
        <v>621774.52984523203</v>
      </c>
      <c r="AD819">
        <v>711496.59450189909</v>
      </c>
      <c r="AE819">
        <v>1</v>
      </c>
      <c r="AF819">
        <v>1345.6152561294321</v>
      </c>
      <c r="AG819">
        <v>73431.446927322875</v>
      </c>
    </row>
    <row r="820" spans="2:33" hidden="1" x14ac:dyDescent="0.25">
      <c r="B820">
        <v>15</v>
      </c>
      <c r="C820" t="s">
        <v>45</v>
      </c>
      <c r="D820" t="s">
        <v>26</v>
      </c>
      <c r="E820" t="s">
        <v>68</v>
      </c>
      <c r="F820">
        <v>24860</v>
      </c>
      <c r="G820">
        <v>128417</v>
      </c>
      <c r="H820">
        <v>11</v>
      </c>
      <c r="I820">
        <v>410</v>
      </c>
      <c r="J820">
        <v>0.86</v>
      </c>
      <c r="K820">
        <v>16000</v>
      </c>
      <c r="L820">
        <v>203437</v>
      </c>
      <c r="M820">
        <v>167252</v>
      </c>
      <c r="N820">
        <v>10337</v>
      </c>
      <c r="O820" s="43">
        <v>11672157.024</v>
      </c>
      <c r="P820" s="14">
        <f t="shared" si="38"/>
        <v>1258762.0319999997</v>
      </c>
      <c r="Q820" s="14" t="str">
        <f t="shared" si="36"/>
        <v/>
      </c>
      <c r="R820" s="14" t="str">
        <f t="shared" si="36"/>
        <v/>
      </c>
      <c r="S820" s="14" t="str">
        <f t="shared" si="37"/>
        <v/>
      </c>
      <c r="T820" s="14" t="s">
        <v>72</v>
      </c>
      <c r="U820" s="14">
        <v>3070.1512975609749</v>
      </c>
      <c r="V820">
        <v>3297</v>
      </c>
      <c r="W820">
        <v>20.399072265625001</v>
      </c>
      <c r="X820">
        <v>52.694480440736498</v>
      </c>
      <c r="Y820">
        <v>1.1342789862959399</v>
      </c>
      <c r="Z820" s="31">
        <v>4.2069960893110903</v>
      </c>
      <c r="AA820">
        <v>3.5101770748976899</v>
      </c>
      <c r="AB820">
        <v>0.13</v>
      </c>
      <c r="AC820">
        <v>621774.52984523203</v>
      </c>
      <c r="AD820">
        <v>711496.59450189909</v>
      </c>
      <c r="AE820">
        <v>1</v>
      </c>
      <c r="AF820">
        <v>1345.6152561294321</v>
      </c>
      <c r="AG820">
        <v>73431.446927322875</v>
      </c>
    </row>
    <row r="821" spans="2:33" hidden="1" x14ac:dyDescent="0.25">
      <c r="B821">
        <v>15</v>
      </c>
      <c r="C821" t="s">
        <v>45</v>
      </c>
      <c r="D821" t="s">
        <v>26</v>
      </c>
      <c r="E821" t="s">
        <v>68</v>
      </c>
      <c r="F821">
        <v>25576</v>
      </c>
      <c r="G821">
        <v>128417</v>
      </c>
      <c r="H821">
        <v>12</v>
      </c>
      <c r="I821">
        <v>1464</v>
      </c>
      <c r="J821">
        <v>0.19</v>
      </c>
      <c r="K821">
        <v>16000</v>
      </c>
      <c r="L821">
        <v>203437</v>
      </c>
      <c r="M821">
        <v>167252</v>
      </c>
      <c r="N821">
        <v>10337</v>
      </c>
      <c r="O821" s="43">
        <v>13274217.791999999</v>
      </c>
      <c r="P821" s="14">
        <f t="shared" si="38"/>
        <v>1602060.7679999992</v>
      </c>
      <c r="Q821" s="14" t="str">
        <f t="shared" si="36"/>
        <v/>
      </c>
      <c r="R821" s="14" t="str">
        <f t="shared" si="36"/>
        <v/>
      </c>
      <c r="S821" s="14" t="str">
        <f t="shared" si="37"/>
        <v/>
      </c>
      <c r="T821" s="14" t="s">
        <v>72</v>
      </c>
      <c r="U821" s="14">
        <v>1094.3038032786892</v>
      </c>
      <c r="V821">
        <v>3297</v>
      </c>
      <c r="W821">
        <v>19.526025390625001</v>
      </c>
      <c r="X821">
        <v>66.677537395327505</v>
      </c>
      <c r="Y821">
        <v>0.75689373233888202</v>
      </c>
      <c r="Z821" s="31">
        <v>2.5555412379943201</v>
      </c>
      <c r="AA821">
        <v>1.34460884791364</v>
      </c>
      <c r="AB821">
        <v>0.13</v>
      </c>
      <c r="AC821">
        <v>621774.52984523203</v>
      </c>
      <c r="AD821">
        <v>711496.59450189909</v>
      </c>
      <c r="AE821">
        <v>1</v>
      </c>
      <c r="AF821">
        <v>1345.6152561294321</v>
      </c>
      <c r="AG821">
        <v>73431.446927322875</v>
      </c>
    </row>
    <row r="822" spans="2:33" hidden="1" x14ac:dyDescent="0.25">
      <c r="B822">
        <v>15</v>
      </c>
      <c r="C822" t="s">
        <v>45</v>
      </c>
      <c r="D822" t="s">
        <v>26</v>
      </c>
      <c r="E822" t="s">
        <v>68</v>
      </c>
      <c r="F822">
        <v>27936</v>
      </c>
      <c r="G822">
        <v>128417</v>
      </c>
      <c r="H822">
        <v>13</v>
      </c>
      <c r="I822">
        <v>-232</v>
      </c>
      <c r="J822">
        <v>0.63</v>
      </c>
      <c r="K822">
        <v>16000</v>
      </c>
      <c r="L822">
        <v>203437</v>
      </c>
      <c r="M822">
        <v>167252</v>
      </c>
      <c r="N822">
        <v>10337</v>
      </c>
      <c r="O822" s="43">
        <v>14990711.471999999</v>
      </c>
      <c r="P822" s="14">
        <f t="shared" si="38"/>
        <v>1716493.6799999997</v>
      </c>
      <c r="Q822" s="14" t="str">
        <f t="shared" si="36"/>
        <v/>
      </c>
      <c r="R822" s="14" t="str">
        <f t="shared" si="36"/>
        <v/>
      </c>
      <c r="S822" s="14" t="str">
        <f t="shared" si="37"/>
        <v/>
      </c>
      <c r="T822" s="14" t="s">
        <v>72</v>
      </c>
      <c r="U822" s="14">
        <v>-7398.6796551724128</v>
      </c>
      <c r="V822">
        <v>3297</v>
      </c>
      <c r="W822">
        <v>19.605859375000001</v>
      </c>
      <c r="X822">
        <v>63.152366938467999</v>
      </c>
      <c r="Y822">
        <v>0.84115601980751897</v>
      </c>
      <c r="Z822" s="31">
        <v>1.78295215428828</v>
      </c>
      <c r="AA822">
        <v>3.7077349760384699</v>
      </c>
      <c r="AB822">
        <v>0.13</v>
      </c>
      <c r="AC822">
        <v>621774.52984523203</v>
      </c>
      <c r="AD822">
        <v>711496.59450189909</v>
      </c>
      <c r="AE822">
        <v>1</v>
      </c>
      <c r="AF822">
        <v>1345.6152561294321</v>
      </c>
      <c r="AG822">
        <v>73431.446927322875</v>
      </c>
    </row>
    <row r="823" spans="2:33" hidden="1" x14ac:dyDescent="0.25">
      <c r="B823">
        <v>15</v>
      </c>
      <c r="C823" t="s">
        <v>45</v>
      </c>
      <c r="D823" t="s">
        <v>26</v>
      </c>
      <c r="E823" t="s">
        <v>68</v>
      </c>
      <c r="F823">
        <v>29511</v>
      </c>
      <c r="G823">
        <v>128417</v>
      </c>
      <c r="H823">
        <v>14</v>
      </c>
      <c r="I823">
        <v>3231</v>
      </c>
      <c r="J823">
        <v>0.42</v>
      </c>
      <c r="K823">
        <v>16000</v>
      </c>
      <c r="L823">
        <v>203437</v>
      </c>
      <c r="M823">
        <v>167252</v>
      </c>
      <c r="N823">
        <v>10337</v>
      </c>
      <c r="O823" s="43">
        <v>16707205.152000001</v>
      </c>
      <c r="P823" s="14">
        <f t="shared" si="38"/>
        <v>1716493.6800000016</v>
      </c>
      <c r="Q823" s="14" t="str">
        <f t="shared" si="36"/>
        <v/>
      </c>
      <c r="R823" s="14" t="str">
        <f t="shared" si="36"/>
        <v/>
      </c>
      <c r="S823" s="14" t="str">
        <f t="shared" si="37"/>
        <v/>
      </c>
      <c r="T823" s="14" t="s">
        <v>72</v>
      </c>
      <c r="U823" s="14">
        <v>531.25771587743725</v>
      </c>
      <c r="V823">
        <v>3297</v>
      </c>
      <c r="W823">
        <v>19.769921875000001</v>
      </c>
      <c r="X823">
        <v>63.202645095458202</v>
      </c>
      <c r="Y823">
        <v>0.84858453180052795</v>
      </c>
      <c r="Z823" s="31">
        <v>2.5100388783567098</v>
      </c>
      <c r="AA823">
        <v>4.1191839898781</v>
      </c>
      <c r="AB823">
        <v>0.13</v>
      </c>
      <c r="AC823">
        <v>621774.52984523203</v>
      </c>
      <c r="AD823">
        <v>711496.59450189909</v>
      </c>
      <c r="AE823">
        <v>1</v>
      </c>
      <c r="AF823">
        <v>1345.6152561294321</v>
      </c>
      <c r="AG823">
        <v>73431.446927322875</v>
      </c>
    </row>
    <row r="824" spans="2:33" hidden="1" x14ac:dyDescent="0.25">
      <c r="B824">
        <v>15</v>
      </c>
      <c r="C824" t="s">
        <v>45</v>
      </c>
      <c r="D824" t="s">
        <v>26</v>
      </c>
      <c r="E824" t="s">
        <v>68</v>
      </c>
      <c r="F824">
        <v>31005</v>
      </c>
      <c r="G824">
        <v>128417</v>
      </c>
      <c r="H824">
        <v>15</v>
      </c>
      <c r="I824">
        <v>716</v>
      </c>
      <c r="J824">
        <v>0.4</v>
      </c>
      <c r="K824">
        <v>16000</v>
      </c>
      <c r="L824">
        <v>203437</v>
      </c>
      <c r="M824">
        <v>167252</v>
      </c>
      <c r="N824">
        <v>10337</v>
      </c>
      <c r="O824" s="43">
        <v>18194833.008000001</v>
      </c>
      <c r="P824" s="14">
        <f t="shared" si="38"/>
        <v>1487627.8560000006</v>
      </c>
      <c r="Q824" s="14" t="str">
        <f t="shared" si="36"/>
        <v/>
      </c>
      <c r="R824" s="14" t="str">
        <f t="shared" si="36"/>
        <v/>
      </c>
      <c r="S824" s="14" t="str">
        <f t="shared" si="37"/>
        <v/>
      </c>
      <c r="T824" s="14" t="s">
        <v>72</v>
      </c>
      <c r="U824" s="14">
        <v>2077.6925363128498</v>
      </c>
      <c r="V824">
        <v>3297</v>
      </c>
      <c r="W824">
        <v>19.284326171875001</v>
      </c>
      <c r="X824">
        <v>72.608030286559398</v>
      </c>
      <c r="Y824">
        <v>0.61287738783668</v>
      </c>
      <c r="Z824" s="31">
        <v>2.1503236550800402</v>
      </c>
      <c r="AA824">
        <v>1.2155407781479901</v>
      </c>
      <c r="AB824">
        <v>0.13</v>
      </c>
      <c r="AC824">
        <v>621774.52984523203</v>
      </c>
      <c r="AD824">
        <v>711496.59450189909</v>
      </c>
      <c r="AE824">
        <v>1</v>
      </c>
      <c r="AF824">
        <v>1345.6152561294321</v>
      </c>
      <c r="AG824">
        <v>73431.446927322875</v>
      </c>
    </row>
    <row r="825" spans="2:33" hidden="1" x14ac:dyDescent="0.25">
      <c r="B825">
        <v>15</v>
      </c>
      <c r="C825" t="s">
        <v>45</v>
      </c>
      <c r="D825" t="s">
        <v>26</v>
      </c>
      <c r="E825" t="s">
        <v>68</v>
      </c>
      <c r="F825">
        <v>31420</v>
      </c>
      <c r="G825">
        <v>128417</v>
      </c>
      <c r="H825">
        <v>16</v>
      </c>
      <c r="I825">
        <v>2360</v>
      </c>
      <c r="J825">
        <v>0.11</v>
      </c>
      <c r="K825">
        <v>16000</v>
      </c>
      <c r="L825">
        <v>203437</v>
      </c>
      <c r="M825">
        <v>167252</v>
      </c>
      <c r="N825">
        <v>10337</v>
      </c>
      <c r="O825" s="43">
        <v>19682460.864</v>
      </c>
      <c r="P825" s="14">
        <f t="shared" si="38"/>
        <v>1487627.8559999987</v>
      </c>
      <c r="Q825" s="14" t="str">
        <f t="shared" si="36"/>
        <v/>
      </c>
      <c r="R825" s="14" t="str">
        <f t="shared" si="36"/>
        <v/>
      </c>
      <c r="S825" s="14" t="str">
        <f t="shared" si="37"/>
        <v/>
      </c>
      <c r="T825" s="14" t="s">
        <v>72</v>
      </c>
      <c r="U825" s="14">
        <v>630.35078644067744</v>
      </c>
      <c r="V825">
        <v>3297</v>
      </c>
      <c r="W825">
        <v>19.386376953125001</v>
      </c>
      <c r="X825">
        <v>71.600134711195594</v>
      </c>
      <c r="Y825">
        <v>0.63947539478805304</v>
      </c>
      <c r="Z825" s="31">
        <v>2.22641492681884</v>
      </c>
      <c r="AA825">
        <v>3.04097988780503</v>
      </c>
      <c r="AB825">
        <v>0.13</v>
      </c>
      <c r="AC825">
        <v>621774.52984523203</v>
      </c>
      <c r="AD825">
        <v>711496.59450189909</v>
      </c>
      <c r="AE825">
        <v>1</v>
      </c>
      <c r="AF825">
        <v>1345.6152561294321</v>
      </c>
      <c r="AG825">
        <v>73431.446927322875</v>
      </c>
    </row>
    <row r="826" spans="2:33" hidden="1" x14ac:dyDescent="0.25">
      <c r="B826">
        <v>15</v>
      </c>
      <c r="C826" t="s">
        <v>45</v>
      </c>
      <c r="D826" t="s">
        <v>26</v>
      </c>
      <c r="E826" t="s">
        <v>68</v>
      </c>
      <c r="F826">
        <v>31900</v>
      </c>
      <c r="G826">
        <v>128417</v>
      </c>
      <c r="H826">
        <v>17</v>
      </c>
      <c r="I826">
        <v>1575</v>
      </c>
      <c r="J826">
        <v>0.13</v>
      </c>
      <c r="K826">
        <v>16000</v>
      </c>
      <c r="L826">
        <v>203437</v>
      </c>
      <c r="M826">
        <v>167252</v>
      </c>
      <c r="N826">
        <v>10337</v>
      </c>
      <c r="O826" s="43">
        <v>21627820.368000001</v>
      </c>
      <c r="P826" s="14">
        <f t="shared" si="38"/>
        <v>1945359.5040000007</v>
      </c>
      <c r="Q826" s="14" t="str">
        <f t="shared" si="36"/>
        <v/>
      </c>
      <c r="R826" s="14" t="str">
        <f t="shared" si="36"/>
        <v/>
      </c>
      <c r="S826" s="14" t="str">
        <f t="shared" si="37"/>
        <v/>
      </c>
      <c r="T826" s="14" t="s">
        <v>72</v>
      </c>
      <c r="U826" s="14">
        <v>1235.1488914285719</v>
      </c>
      <c r="V826">
        <v>3297</v>
      </c>
      <c r="W826">
        <v>21.111962890625001</v>
      </c>
      <c r="X826">
        <v>65.840963645641494</v>
      </c>
      <c r="Y826">
        <v>0.85555056091618098</v>
      </c>
      <c r="Z826" s="31">
        <v>3.8673607398494099</v>
      </c>
      <c r="AA826">
        <v>9.0098681856749998</v>
      </c>
      <c r="AB826">
        <v>0.13</v>
      </c>
      <c r="AC826">
        <v>621774.52984523203</v>
      </c>
      <c r="AD826">
        <v>711496.59450189909</v>
      </c>
      <c r="AE826">
        <v>1</v>
      </c>
      <c r="AF826">
        <v>1345.6152561294321</v>
      </c>
      <c r="AG826">
        <v>73431.446927322875</v>
      </c>
    </row>
    <row r="827" spans="2:33" hidden="1" x14ac:dyDescent="0.25">
      <c r="B827">
        <v>15</v>
      </c>
      <c r="C827" t="s">
        <v>45</v>
      </c>
      <c r="D827" t="s">
        <v>26</v>
      </c>
      <c r="E827" t="s">
        <v>68</v>
      </c>
      <c r="F827">
        <v>32406</v>
      </c>
      <c r="G827">
        <v>128417</v>
      </c>
      <c r="H827">
        <v>18</v>
      </c>
      <c r="I827">
        <v>1494</v>
      </c>
      <c r="J827">
        <v>0.13</v>
      </c>
      <c r="K827">
        <v>16000</v>
      </c>
      <c r="L827">
        <v>203437</v>
      </c>
      <c r="M827">
        <v>167252</v>
      </c>
      <c r="N827">
        <v>10337</v>
      </c>
      <c r="O827" s="43">
        <v>23458746.960000001</v>
      </c>
      <c r="P827" s="14">
        <f t="shared" si="38"/>
        <v>1830926.5920000002</v>
      </c>
      <c r="Q827" s="14" t="str">
        <f t="shared" si="36"/>
        <v/>
      </c>
      <c r="R827" s="14" t="str">
        <f t="shared" si="36"/>
        <v/>
      </c>
      <c r="S827" s="14" t="str">
        <f t="shared" si="37"/>
        <v/>
      </c>
      <c r="T827" s="14" t="s">
        <v>72</v>
      </c>
      <c r="U827" s="14">
        <v>1225.5198072289159</v>
      </c>
      <c r="V827">
        <v>3297</v>
      </c>
      <c r="W827">
        <v>23.871240234375001</v>
      </c>
      <c r="X827">
        <v>51.663141244661603</v>
      </c>
      <c r="Y827">
        <v>1.4313133207447</v>
      </c>
      <c r="Z827" s="31">
        <v>5.4934820709578798</v>
      </c>
      <c r="AA827">
        <v>7.1177453831060999</v>
      </c>
      <c r="AB827">
        <v>0.13</v>
      </c>
      <c r="AC827">
        <v>621774.52984523203</v>
      </c>
      <c r="AD827">
        <v>711496.59450189909</v>
      </c>
      <c r="AE827">
        <v>1</v>
      </c>
      <c r="AF827">
        <v>1345.6152561294321</v>
      </c>
      <c r="AG827">
        <v>73431.446927322875</v>
      </c>
    </row>
    <row r="828" spans="2:33" hidden="1" x14ac:dyDescent="0.25">
      <c r="B828">
        <v>15</v>
      </c>
      <c r="C828" t="s">
        <v>45</v>
      </c>
      <c r="D828" t="s">
        <v>26</v>
      </c>
      <c r="E828" t="s">
        <v>68</v>
      </c>
      <c r="F828">
        <v>32784</v>
      </c>
      <c r="G828">
        <v>128417</v>
      </c>
      <c r="H828">
        <v>19</v>
      </c>
      <c r="I828">
        <v>415</v>
      </c>
      <c r="J828">
        <v>0.1</v>
      </c>
      <c r="K828">
        <v>16000</v>
      </c>
      <c r="L828">
        <v>203437</v>
      </c>
      <c r="M828">
        <v>167252</v>
      </c>
      <c r="N828">
        <v>10337</v>
      </c>
      <c r="O828" s="43">
        <v>25289673.552000001</v>
      </c>
      <c r="P828" s="14">
        <f t="shared" si="38"/>
        <v>1830926.5920000002</v>
      </c>
      <c r="Q828" s="14" t="str">
        <f t="shared" si="36"/>
        <v/>
      </c>
      <c r="R828" s="14" t="str">
        <f t="shared" si="36"/>
        <v/>
      </c>
      <c r="S828" s="14" t="str">
        <f t="shared" si="37"/>
        <v/>
      </c>
      <c r="T828" s="14" t="s">
        <v>72</v>
      </c>
      <c r="U828" s="14">
        <v>4411.8713060240971</v>
      </c>
      <c r="V828">
        <v>3297</v>
      </c>
      <c r="W828">
        <v>26.400048828125001</v>
      </c>
      <c r="X828">
        <v>37.154908963585299</v>
      </c>
      <c r="Y828">
        <v>2.1631261877306902</v>
      </c>
      <c r="Z828" s="31">
        <v>5.1081026239930702</v>
      </c>
      <c r="AA828">
        <v>10.598023091586899</v>
      </c>
      <c r="AB828">
        <v>0.13</v>
      </c>
      <c r="AC828">
        <v>621774.52984523203</v>
      </c>
      <c r="AD828">
        <v>711496.59450189909</v>
      </c>
      <c r="AE828">
        <v>1</v>
      </c>
      <c r="AF828">
        <v>1345.6152561294321</v>
      </c>
      <c r="AG828">
        <v>73431.446927322875</v>
      </c>
    </row>
    <row r="829" spans="2:33" hidden="1" x14ac:dyDescent="0.25">
      <c r="B829">
        <v>15</v>
      </c>
      <c r="C829" t="s">
        <v>45</v>
      </c>
      <c r="D829" t="s">
        <v>26</v>
      </c>
      <c r="E829" t="s">
        <v>68</v>
      </c>
      <c r="F829">
        <v>34175</v>
      </c>
      <c r="G829">
        <v>128417</v>
      </c>
      <c r="H829">
        <v>20</v>
      </c>
      <c r="I829">
        <v>480</v>
      </c>
      <c r="J829">
        <v>0.37</v>
      </c>
      <c r="K829">
        <v>16000</v>
      </c>
      <c r="L829">
        <v>203437</v>
      </c>
      <c r="M829">
        <v>167252</v>
      </c>
      <c r="N829">
        <v>10337</v>
      </c>
      <c r="O829" s="43">
        <v>26548435.583999999</v>
      </c>
      <c r="P829" s="14">
        <f t="shared" si="38"/>
        <v>1258762.0319999978</v>
      </c>
      <c r="Q829" s="14" t="str">
        <f t="shared" si="36"/>
        <v/>
      </c>
      <c r="R829" s="14" t="str">
        <f t="shared" si="36"/>
        <v/>
      </c>
      <c r="S829" s="14" t="str">
        <f t="shared" si="37"/>
        <v/>
      </c>
      <c r="T829" s="14" t="s">
        <v>72</v>
      </c>
      <c r="U829" s="14">
        <v>2622.4209000000033</v>
      </c>
      <c r="V829">
        <v>3297</v>
      </c>
      <c r="W829">
        <v>28.890283203125001</v>
      </c>
      <c r="X829">
        <v>32.941808139184502</v>
      </c>
      <c r="Y829">
        <v>2.66897799769289</v>
      </c>
      <c r="Z829" s="31">
        <v>2.5100910296798999</v>
      </c>
      <c r="AA829">
        <v>10.3720899497342</v>
      </c>
      <c r="AB829">
        <v>0.13</v>
      </c>
      <c r="AC829">
        <v>621774.52984523203</v>
      </c>
      <c r="AD829">
        <v>711496.59450189909</v>
      </c>
      <c r="AE829">
        <v>1</v>
      </c>
      <c r="AF829">
        <v>1345.6152561294321</v>
      </c>
      <c r="AG829">
        <v>73431.446927322875</v>
      </c>
    </row>
    <row r="830" spans="2:33" hidden="1" x14ac:dyDescent="0.25">
      <c r="B830">
        <v>15</v>
      </c>
      <c r="C830" t="s">
        <v>45</v>
      </c>
      <c r="D830" t="s">
        <v>26</v>
      </c>
      <c r="E830" t="s">
        <v>68</v>
      </c>
      <c r="F830">
        <v>74591</v>
      </c>
      <c r="G830">
        <v>128417</v>
      </c>
      <c r="H830">
        <v>21</v>
      </c>
      <c r="I830">
        <v>506</v>
      </c>
      <c r="J830">
        <v>10.71</v>
      </c>
      <c r="K830">
        <v>16000</v>
      </c>
      <c r="L830">
        <v>203437</v>
      </c>
      <c r="M830">
        <v>167252</v>
      </c>
      <c r="N830">
        <v>10337</v>
      </c>
      <c r="O830" s="43">
        <v>27921630.528000001</v>
      </c>
      <c r="P830" s="14">
        <f t="shared" si="38"/>
        <v>1373194.944000002</v>
      </c>
      <c r="Q830" s="14" t="str">
        <f t="shared" si="36"/>
        <v/>
      </c>
      <c r="R830" s="14" t="str">
        <f t="shared" si="36"/>
        <v/>
      </c>
      <c r="S830" s="14" t="str">
        <f t="shared" si="37"/>
        <v/>
      </c>
      <c r="T830" s="14" t="s">
        <v>72</v>
      </c>
      <c r="U830" s="14">
        <v>2713.8239999999964</v>
      </c>
      <c r="V830">
        <v>3297</v>
      </c>
      <c r="W830">
        <v>31.818261718750001</v>
      </c>
      <c r="X830">
        <v>22.725442063683499</v>
      </c>
      <c r="Y830">
        <v>3.6365321135638098</v>
      </c>
      <c r="Z830" s="31">
        <v>2.9456084386758499</v>
      </c>
      <c r="AA830">
        <v>2.74102796509418</v>
      </c>
      <c r="AB830">
        <v>0.13</v>
      </c>
      <c r="AC830">
        <v>621774.52984523203</v>
      </c>
      <c r="AD830">
        <v>711496.59450189909</v>
      </c>
      <c r="AE830">
        <v>1</v>
      </c>
      <c r="AF830">
        <v>1345.6152561294321</v>
      </c>
      <c r="AG830">
        <v>73431.446927322875</v>
      </c>
    </row>
    <row r="831" spans="2:33" hidden="1" x14ac:dyDescent="0.25">
      <c r="B831">
        <v>15</v>
      </c>
      <c r="C831" t="s">
        <v>45</v>
      </c>
      <c r="D831" t="s">
        <v>26</v>
      </c>
      <c r="E831" t="s">
        <v>68</v>
      </c>
      <c r="F831">
        <v>93554</v>
      </c>
      <c r="G831">
        <v>128417</v>
      </c>
      <c r="H831">
        <v>22</v>
      </c>
      <c r="I831">
        <v>378</v>
      </c>
      <c r="J831">
        <v>5.03</v>
      </c>
      <c r="K831">
        <v>16000</v>
      </c>
      <c r="L831">
        <v>203437</v>
      </c>
      <c r="M831">
        <v>167252</v>
      </c>
      <c r="N831">
        <v>10337</v>
      </c>
      <c r="O831" s="43">
        <v>29866990.032000002</v>
      </c>
      <c r="P831" s="14">
        <f t="shared" si="38"/>
        <v>1945359.5040000007</v>
      </c>
      <c r="Q831" s="14" t="str">
        <f t="shared" si="36"/>
        <v/>
      </c>
      <c r="R831" s="14" t="str">
        <f t="shared" si="36"/>
        <v/>
      </c>
      <c r="S831" s="14" t="str">
        <f t="shared" si="37"/>
        <v/>
      </c>
      <c r="T831" s="14" t="s">
        <v>72</v>
      </c>
      <c r="U831" s="14">
        <v>5146.4537142857162</v>
      </c>
      <c r="V831">
        <v>3297</v>
      </c>
      <c r="W831">
        <v>31.003808593750001</v>
      </c>
      <c r="X831">
        <v>28.0898116810686</v>
      </c>
      <c r="Y831">
        <v>3.23094921248462</v>
      </c>
      <c r="Z831" s="31">
        <v>5.2498931968142903</v>
      </c>
      <c r="AA831">
        <v>4.9133377014717103</v>
      </c>
      <c r="AB831">
        <v>0.13</v>
      </c>
      <c r="AC831">
        <v>621774.52984523203</v>
      </c>
      <c r="AD831">
        <v>711496.59450189909</v>
      </c>
      <c r="AE831">
        <v>1</v>
      </c>
      <c r="AF831">
        <v>1345.6152561294321</v>
      </c>
      <c r="AG831">
        <v>73431.446927322875</v>
      </c>
    </row>
    <row r="832" spans="2:33" hidden="1" x14ac:dyDescent="0.25">
      <c r="B832">
        <v>15</v>
      </c>
      <c r="C832" t="s">
        <v>45</v>
      </c>
      <c r="D832" t="s">
        <v>26</v>
      </c>
      <c r="E832" t="s">
        <v>68</v>
      </c>
      <c r="F832">
        <v>105645</v>
      </c>
      <c r="G832">
        <v>128417</v>
      </c>
      <c r="H832">
        <v>23</v>
      </c>
      <c r="I832">
        <v>1391</v>
      </c>
      <c r="J832">
        <v>3.2</v>
      </c>
      <c r="K832">
        <v>16000</v>
      </c>
      <c r="L832">
        <v>203437</v>
      </c>
      <c r="M832">
        <v>167252</v>
      </c>
      <c r="N832">
        <v>10337</v>
      </c>
      <c r="O832" s="43">
        <v>31469050.800000001</v>
      </c>
      <c r="P832" s="14">
        <f t="shared" si="38"/>
        <v>1602060.7679999992</v>
      </c>
      <c r="Q832" s="14" t="str">
        <f t="shared" si="36"/>
        <v/>
      </c>
      <c r="R832" s="14" t="str">
        <f t="shared" si="36"/>
        <v/>
      </c>
      <c r="S832" s="14" t="str">
        <f t="shared" si="37"/>
        <v/>
      </c>
      <c r="T832" s="14" t="s">
        <v>72</v>
      </c>
      <c r="U832" s="14">
        <v>1151.7331186196975</v>
      </c>
      <c r="V832">
        <v>3297</v>
      </c>
      <c r="W832">
        <v>25.303491210937501</v>
      </c>
      <c r="X832">
        <v>36.324977913403004</v>
      </c>
      <c r="Y832">
        <v>2.0542246276104299</v>
      </c>
      <c r="Z832" s="31">
        <v>3.63527566123176</v>
      </c>
      <c r="AA832">
        <v>9.1263460119854596</v>
      </c>
      <c r="AB832">
        <v>0.13</v>
      </c>
      <c r="AC832">
        <v>621774.52984523203</v>
      </c>
      <c r="AD832">
        <v>711496.59450189909</v>
      </c>
      <c r="AE832">
        <v>1</v>
      </c>
      <c r="AF832">
        <v>1345.6152561294321</v>
      </c>
      <c r="AG832">
        <v>73431.446927322875</v>
      </c>
    </row>
    <row r="833" spans="2:33" hidden="1" x14ac:dyDescent="0.25">
      <c r="B833">
        <v>15</v>
      </c>
      <c r="C833" t="s">
        <v>45</v>
      </c>
      <c r="D833" t="s">
        <v>26</v>
      </c>
      <c r="E833" t="s">
        <v>68</v>
      </c>
      <c r="F833">
        <v>109971</v>
      </c>
      <c r="G833">
        <v>128417</v>
      </c>
      <c r="H833">
        <v>24</v>
      </c>
      <c r="I833">
        <v>40416</v>
      </c>
      <c r="J833">
        <v>1.1499999999999999</v>
      </c>
      <c r="K833">
        <v>16000</v>
      </c>
      <c r="L833">
        <v>203437</v>
      </c>
      <c r="M833">
        <v>167252</v>
      </c>
      <c r="N833">
        <v>10337</v>
      </c>
      <c r="O833" s="43">
        <v>32842245.743999999</v>
      </c>
      <c r="P833" s="14">
        <f t="shared" si="38"/>
        <v>1373194.9439999983</v>
      </c>
      <c r="Q833" s="14" t="str">
        <f t="shared" si="36"/>
        <v/>
      </c>
      <c r="R833" s="14" t="str">
        <f t="shared" si="36"/>
        <v/>
      </c>
      <c r="S833" s="14" t="str">
        <f t="shared" si="37"/>
        <v/>
      </c>
      <c r="T833" s="14" t="s">
        <v>72</v>
      </c>
      <c r="U833" s="14">
        <v>33.97651781472689</v>
      </c>
      <c r="V833">
        <v>3297</v>
      </c>
      <c r="W833">
        <v>18.610498046875001</v>
      </c>
      <c r="X833">
        <v>65.335012416643707</v>
      </c>
      <c r="Y833">
        <v>0.743804367764061</v>
      </c>
      <c r="Z833" s="31">
        <v>1.7813274274303501</v>
      </c>
      <c r="AA833">
        <v>2.56919365235709</v>
      </c>
      <c r="AB833">
        <v>0.13</v>
      </c>
      <c r="AC833">
        <v>621774.52984523203</v>
      </c>
      <c r="AD833">
        <v>711496.59450189909</v>
      </c>
      <c r="AE833">
        <v>1</v>
      </c>
      <c r="AF833">
        <v>1345.6152561294321</v>
      </c>
      <c r="AG833">
        <v>73431.446927322875</v>
      </c>
    </row>
    <row r="834" spans="2:33" hidden="1" x14ac:dyDescent="0.25">
      <c r="B834">
        <v>15</v>
      </c>
      <c r="C834" t="s">
        <v>45</v>
      </c>
      <c r="D834" t="s">
        <v>26</v>
      </c>
      <c r="E834" t="s">
        <v>68</v>
      </c>
      <c r="F834">
        <v>112081</v>
      </c>
      <c r="G834">
        <v>128417</v>
      </c>
      <c r="H834">
        <v>25</v>
      </c>
      <c r="I834">
        <v>18963</v>
      </c>
      <c r="J834">
        <v>0.56000000000000005</v>
      </c>
      <c r="K834">
        <v>16000</v>
      </c>
      <c r="L834">
        <v>203437</v>
      </c>
      <c r="M834">
        <v>167252</v>
      </c>
      <c r="N834">
        <v>10337</v>
      </c>
      <c r="O834" s="43">
        <v>34787605.248000003</v>
      </c>
      <c r="P834" s="14">
        <f t="shared" si="38"/>
        <v>1945359.5040000044</v>
      </c>
      <c r="Q834" s="14" t="str">
        <f t="shared" si="36"/>
        <v/>
      </c>
      <c r="R834" s="14" t="str">
        <f t="shared" si="36"/>
        <v/>
      </c>
      <c r="S834" s="14" t="str">
        <f t="shared" si="37"/>
        <v/>
      </c>
      <c r="T834" s="14" t="s">
        <v>72</v>
      </c>
      <c r="U834" s="14">
        <v>102.5871172282867</v>
      </c>
      <c r="V834">
        <v>3297</v>
      </c>
      <c r="W834">
        <v>18.144555664062501</v>
      </c>
      <c r="X834">
        <v>62.810165851305101</v>
      </c>
      <c r="Y834">
        <v>0.77508017568080401</v>
      </c>
      <c r="Z834" s="31">
        <v>1.57287177232233</v>
      </c>
      <c r="AA834">
        <v>3.5087886801875299</v>
      </c>
      <c r="AB834">
        <v>0.13</v>
      </c>
      <c r="AC834">
        <v>621774.52984523203</v>
      </c>
      <c r="AD834">
        <v>711496.59450189909</v>
      </c>
      <c r="AE834">
        <v>1</v>
      </c>
      <c r="AF834">
        <v>1345.6152561294321</v>
      </c>
      <c r="AG834">
        <v>73431.446927322875</v>
      </c>
    </row>
    <row r="835" spans="2:33" hidden="1" x14ac:dyDescent="0.25">
      <c r="B835">
        <v>15</v>
      </c>
      <c r="C835" t="s">
        <v>45</v>
      </c>
      <c r="D835" t="s">
        <v>26</v>
      </c>
      <c r="E835" t="s">
        <v>68</v>
      </c>
      <c r="F835">
        <v>113600</v>
      </c>
      <c r="G835">
        <v>128417</v>
      </c>
      <c r="H835">
        <v>26</v>
      </c>
      <c r="I835">
        <v>12091</v>
      </c>
      <c r="J835">
        <v>0.4</v>
      </c>
      <c r="K835">
        <v>16000</v>
      </c>
      <c r="L835">
        <v>203437</v>
      </c>
      <c r="M835">
        <v>167252</v>
      </c>
      <c r="N835">
        <v>10337</v>
      </c>
      <c r="O835" s="43">
        <v>37419562.223999999</v>
      </c>
      <c r="P835" s="14">
        <f t="shared" si="38"/>
        <v>2631956.9759999961</v>
      </c>
      <c r="Q835" s="14" t="str">
        <f t="shared" ref="Q835:R898" si="39">IF(P835&gt;=0,"",P835)</f>
        <v/>
      </c>
      <c r="R835" s="14" t="str">
        <f t="shared" si="39"/>
        <v/>
      </c>
      <c r="S835" s="14" t="str">
        <f t="shared" ref="S835:S898" si="40">IFERROR(IF(ISNA(Q835),NA(),Q835^2),"")</f>
        <v/>
      </c>
      <c r="T835" s="14" t="s">
        <v>72</v>
      </c>
      <c r="U835" s="14">
        <v>217.67901546604881</v>
      </c>
      <c r="V835">
        <v>3297</v>
      </c>
      <c r="W835">
        <v>19.558740234375001</v>
      </c>
      <c r="X835">
        <v>58.396171813576601</v>
      </c>
      <c r="Y835">
        <v>0.94701973575800902</v>
      </c>
      <c r="Z835" s="31">
        <v>1.0979854884981499</v>
      </c>
      <c r="AA835">
        <v>1.3764176781819</v>
      </c>
      <c r="AB835">
        <v>0.13</v>
      </c>
      <c r="AC835">
        <v>621774.52984523203</v>
      </c>
      <c r="AD835">
        <v>711496.59450189909</v>
      </c>
      <c r="AE835">
        <v>1</v>
      </c>
      <c r="AF835">
        <v>1345.6152561294321</v>
      </c>
      <c r="AG835">
        <v>73431.446927322875</v>
      </c>
    </row>
    <row r="836" spans="2:33" hidden="1" x14ac:dyDescent="0.25">
      <c r="B836">
        <v>15</v>
      </c>
      <c r="C836" t="s">
        <v>45</v>
      </c>
      <c r="D836" t="s">
        <v>26</v>
      </c>
      <c r="E836" t="s">
        <v>68</v>
      </c>
      <c r="F836">
        <v>115572</v>
      </c>
      <c r="G836">
        <v>128417</v>
      </c>
      <c r="H836">
        <v>27</v>
      </c>
      <c r="I836">
        <v>4326</v>
      </c>
      <c r="J836">
        <v>0.52</v>
      </c>
      <c r="K836">
        <v>16000</v>
      </c>
      <c r="L836">
        <v>203437</v>
      </c>
      <c r="M836">
        <v>167252</v>
      </c>
      <c r="N836">
        <v>10337</v>
      </c>
      <c r="O836" s="43">
        <v>38106159.696000002</v>
      </c>
      <c r="P836" s="14">
        <f t="shared" ref="P836:P899" si="41">O836-O835</f>
        <v>686597.47200000286</v>
      </c>
      <c r="Q836" s="14" t="str">
        <f t="shared" si="39"/>
        <v/>
      </c>
      <c r="R836" s="14" t="str">
        <f t="shared" si="39"/>
        <v/>
      </c>
      <c r="S836" s="14" t="str">
        <f t="shared" si="40"/>
        <v/>
      </c>
      <c r="T836" s="14" t="s">
        <v>72</v>
      </c>
      <c r="U836" s="14">
        <v>158.71416366158181</v>
      </c>
      <c r="V836">
        <v>3297</v>
      </c>
      <c r="W836">
        <v>20.705102539062501</v>
      </c>
      <c r="X836">
        <v>60.649089734922804</v>
      </c>
      <c r="Y836">
        <v>0.96136934132791296</v>
      </c>
      <c r="Z836" s="31">
        <v>2.1578427610487001</v>
      </c>
      <c r="AA836">
        <v>10.810157558405701</v>
      </c>
      <c r="AB836">
        <v>0.13</v>
      </c>
      <c r="AC836">
        <v>621774.52984523203</v>
      </c>
      <c r="AD836">
        <v>711496.59450189909</v>
      </c>
      <c r="AE836">
        <v>1</v>
      </c>
      <c r="AF836">
        <v>1345.6152561294321</v>
      </c>
      <c r="AG836">
        <v>73431.446927322875</v>
      </c>
    </row>
    <row r="837" spans="2:33" hidden="1" x14ac:dyDescent="0.25">
      <c r="B837">
        <v>15</v>
      </c>
      <c r="C837" t="s">
        <v>45</v>
      </c>
      <c r="D837" t="s">
        <v>26</v>
      </c>
      <c r="E837" t="s">
        <v>68</v>
      </c>
      <c r="F837">
        <v>118145</v>
      </c>
      <c r="G837">
        <v>128417</v>
      </c>
      <c r="H837">
        <v>28</v>
      </c>
      <c r="I837">
        <v>2110</v>
      </c>
      <c r="J837">
        <v>0.68</v>
      </c>
      <c r="K837">
        <v>16000</v>
      </c>
      <c r="L837">
        <v>203437</v>
      </c>
      <c r="M837">
        <v>167252</v>
      </c>
      <c r="N837">
        <v>10337</v>
      </c>
      <c r="O837" s="43">
        <v>38106159.696000002</v>
      </c>
      <c r="P837" s="14">
        <f t="shared" si="41"/>
        <v>0</v>
      </c>
      <c r="Q837" s="14" t="str">
        <f t="shared" si="39"/>
        <v/>
      </c>
      <c r="R837" s="14" t="str">
        <f t="shared" si="39"/>
        <v/>
      </c>
      <c r="S837" s="14" t="str">
        <f t="shared" si="40"/>
        <v/>
      </c>
      <c r="T837" s="14" t="s">
        <v>72</v>
      </c>
      <c r="U837" s="14">
        <v>0</v>
      </c>
      <c r="V837">
        <v>3297</v>
      </c>
      <c r="W837">
        <v>19.531640625000001</v>
      </c>
      <c r="X837">
        <v>63.828784237942898</v>
      </c>
      <c r="Y837">
        <v>0.82191804354784703</v>
      </c>
      <c r="Z837" s="31">
        <v>2.6416940691398798</v>
      </c>
      <c r="AA837">
        <v>5.9873046989523404</v>
      </c>
      <c r="AB837">
        <v>0.13</v>
      </c>
      <c r="AC837">
        <v>621774.52984523203</v>
      </c>
      <c r="AD837">
        <v>711496.59450189909</v>
      </c>
      <c r="AE837">
        <v>1</v>
      </c>
      <c r="AF837">
        <v>1345.6152561294321</v>
      </c>
      <c r="AG837">
        <v>73431.446927322875</v>
      </c>
    </row>
    <row r="838" spans="2:33" hidden="1" x14ac:dyDescent="0.25">
      <c r="B838">
        <v>15</v>
      </c>
      <c r="C838" t="s">
        <v>45</v>
      </c>
      <c r="D838" t="s">
        <v>26</v>
      </c>
      <c r="E838" t="s">
        <v>68</v>
      </c>
      <c r="F838">
        <v>119488</v>
      </c>
      <c r="G838">
        <v>128417</v>
      </c>
      <c r="H838">
        <v>29</v>
      </c>
      <c r="I838">
        <v>1519</v>
      </c>
      <c r="J838">
        <v>0.36</v>
      </c>
      <c r="K838">
        <v>16000</v>
      </c>
      <c r="L838">
        <v>203437</v>
      </c>
      <c r="M838">
        <v>167252</v>
      </c>
      <c r="N838">
        <v>10337</v>
      </c>
      <c r="O838" s="43">
        <v>40738116.672000013</v>
      </c>
      <c r="P838" s="14">
        <f t="shared" si="41"/>
        <v>2631956.976000011</v>
      </c>
      <c r="Q838" s="14" t="str">
        <f t="shared" si="39"/>
        <v/>
      </c>
      <c r="R838" s="14" t="str">
        <f t="shared" si="39"/>
        <v/>
      </c>
      <c r="S838" s="14" t="str">
        <f t="shared" si="40"/>
        <v/>
      </c>
      <c r="T838" s="14" t="s">
        <v>72</v>
      </c>
      <c r="U838" s="14">
        <v>1732.6905701119181</v>
      </c>
      <c r="V838">
        <v>3297</v>
      </c>
      <c r="W838">
        <v>21.453393554687501</v>
      </c>
      <c r="X838">
        <v>46.424569721317503</v>
      </c>
      <c r="Y838">
        <v>1.370564862568</v>
      </c>
      <c r="Z838" s="31">
        <v>2.4064658187886199</v>
      </c>
      <c r="AA838">
        <v>5.9362115582157298</v>
      </c>
      <c r="AB838">
        <v>0.13</v>
      </c>
      <c r="AC838">
        <v>621774.52984523203</v>
      </c>
      <c r="AD838">
        <v>711496.59450189909</v>
      </c>
      <c r="AE838">
        <v>1</v>
      </c>
      <c r="AF838">
        <v>1345.6152561294321</v>
      </c>
      <c r="AG838">
        <v>73431.446927322875</v>
      </c>
    </row>
    <row r="839" spans="2:33" hidden="1" x14ac:dyDescent="0.25">
      <c r="B839">
        <v>15</v>
      </c>
      <c r="C839" t="s">
        <v>45</v>
      </c>
      <c r="D839" t="s">
        <v>26</v>
      </c>
      <c r="E839" t="s">
        <v>68</v>
      </c>
      <c r="F839">
        <v>122309</v>
      </c>
      <c r="G839">
        <v>128417</v>
      </c>
      <c r="H839">
        <v>30</v>
      </c>
      <c r="I839">
        <v>1972</v>
      </c>
      <c r="J839">
        <v>0.75</v>
      </c>
      <c r="K839">
        <v>16000</v>
      </c>
      <c r="L839">
        <v>203437</v>
      </c>
      <c r="M839">
        <v>167252</v>
      </c>
      <c r="N839">
        <v>10337</v>
      </c>
      <c r="O839" s="43">
        <v>42569043.264000013</v>
      </c>
      <c r="P839" s="14">
        <f t="shared" si="41"/>
        <v>1830926.5920000002</v>
      </c>
      <c r="Q839" s="14" t="str">
        <f t="shared" si="39"/>
        <v/>
      </c>
      <c r="R839" s="14" t="str">
        <f t="shared" si="39"/>
        <v/>
      </c>
      <c r="S839" s="14" t="str">
        <f t="shared" si="40"/>
        <v/>
      </c>
      <c r="T839" s="14" t="s">
        <v>72</v>
      </c>
      <c r="U839" s="14">
        <v>928.4617606490873</v>
      </c>
      <c r="V839">
        <v>3297</v>
      </c>
      <c r="W839">
        <v>21.814721679687501</v>
      </c>
      <c r="X839">
        <v>45.217942044386099</v>
      </c>
      <c r="Y839">
        <v>1.4326963352691</v>
      </c>
      <c r="Z839" s="31">
        <v>1.8297966749066199</v>
      </c>
      <c r="AA839">
        <v>5.4505340509866498</v>
      </c>
      <c r="AB839">
        <v>0.13</v>
      </c>
      <c r="AC839">
        <v>621774.52984523203</v>
      </c>
      <c r="AD839">
        <v>711496.59450189909</v>
      </c>
      <c r="AE839">
        <v>1</v>
      </c>
      <c r="AF839">
        <v>1345.6152561294321</v>
      </c>
      <c r="AG839">
        <v>73431.446927322875</v>
      </c>
    </row>
    <row r="840" spans="2:33" hidden="1" x14ac:dyDescent="0.25">
      <c r="B840">
        <v>15</v>
      </c>
      <c r="C840" t="s">
        <v>45</v>
      </c>
      <c r="D840" t="s">
        <v>26</v>
      </c>
      <c r="E840" t="s">
        <v>68</v>
      </c>
      <c r="F840">
        <v>125559</v>
      </c>
      <c r="G840">
        <v>128417</v>
      </c>
      <c r="H840">
        <v>31</v>
      </c>
      <c r="I840">
        <v>2573</v>
      </c>
      <c r="J840">
        <v>0.86</v>
      </c>
      <c r="K840">
        <v>16000</v>
      </c>
      <c r="L840">
        <v>203437</v>
      </c>
      <c r="M840">
        <v>167252</v>
      </c>
      <c r="N840">
        <v>10337</v>
      </c>
      <c r="O840" s="43">
        <v>42569043.264000013</v>
      </c>
      <c r="P840" s="14">
        <f t="shared" si="41"/>
        <v>0</v>
      </c>
      <c r="Q840" s="14" t="str">
        <f t="shared" si="39"/>
        <v/>
      </c>
      <c r="R840" s="14" t="str">
        <f t="shared" si="39"/>
        <v/>
      </c>
      <c r="S840" s="14" t="str">
        <f t="shared" si="40"/>
        <v/>
      </c>
      <c r="T840" s="14" t="s">
        <v>72</v>
      </c>
      <c r="U840" s="14">
        <v>-16544.517397590364</v>
      </c>
      <c r="V840">
        <v>3297</v>
      </c>
      <c r="W840">
        <v>23.300927734375001</v>
      </c>
      <c r="X840">
        <v>47.174259108590903</v>
      </c>
      <c r="Y840">
        <v>1.5116450977153399</v>
      </c>
      <c r="Z840" s="31">
        <v>3.4141087421159702</v>
      </c>
      <c r="AA840">
        <v>4.6385168171113804</v>
      </c>
      <c r="AB840">
        <v>0.13</v>
      </c>
      <c r="AC840">
        <v>621774.52984523203</v>
      </c>
      <c r="AD840">
        <v>711496.59450189909</v>
      </c>
      <c r="AE840">
        <v>1</v>
      </c>
      <c r="AF840">
        <v>1345.6152561294321</v>
      </c>
      <c r="AG840">
        <v>73431.446927322875</v>
      </c>
    </row>
    <row r="841" spans="2:33" hidden="1" x14ac:dyDescent="0.25">
      <c r="B841">
        <v>15</v>
      </c>
      <c r="C841" t="s">
        <v>45</v>
      </c>
      <c r="D841" t="s">
        <v>26</v>
      </c>
      <c r="E841" t="s">
        <v>68</v>
      </c>
      <c r="F841">
        <v>127724</v>
      </c>
      <c r="G841">
        <v>128417</v>
      </c>
      <c r="H841">
        <v>32</v>
      </c>
      <c r="I841">
        <v>1343</v>
      </c>
      <c r="J841">
        <v>0.56999999999999995</v>
      </c>
      <c r="K841">
        <v>16000</v>
      </c>
      <c r="L841">
        <v>203437</v>
      </c>
      <c r="M841">
        <v>167252</v>
      </c>
      <c r="N841">
        <v>10337</v>
      </c>
      <c r="O841" s="43">
        <v>47489658.479999997</v>
      </c>
      <c r="P841" s="14">
        <f t="shared" si="41"/>
        <v>4920615.2159999833</v>
      </c>
      <c r="Q841" s="14" t="str">
        <f t="shared" si="39"/>
        <v/>
      </c>
      <c r="R841" s="14" t="str">
        <f t="shared" si="39"/>
        <v/>
      </c>
      <c r="S841" s="14" t="str">
        <f t="shared" si="40"/>
        <v/>
      </c>
      <c r="T841" s="14" t="s">
        <v>72</v>
      </c>
      <c r="U841" s="14">
        <v>35360.8774981385</v>
      </c>
      <c r="V841">
        <v>3297</v>
      </c>
      <c r="W841">
        <v>22.038842773437501</v>
      </c>
      <c r="X841">
        <v>53.568846104111302</v>
      </c>
      <c r="Y841">
        <v>1.2308230430131999</v>
      </c>
      <c r="Z841" s="31">
        <v>4.1471565747145496</v>
      </c>
      <c r="AA841">
        <v>8.81044656307545</v>
      </c>
      <c r="AB841">
        <v>0.13</v>
      </c>
      <c r="AC841">
        <v>621774.52984523203</v>
      </c>
      <c r="AD841">
        <v>711496.59450189909</v>
      </c>
      <c r="AE841">
        <v>1</v>
      </c>
      <c r="AF841">
        <v>1345.6152561294321</v>
      </c>
      <c r="AG841">
        <v>73431.446927322875</v>
      </c>
    </row>
    <row r="842" spans="2:33" hidden="1" x14ac:dyDescent="0.25">
      <c r="B842">
        <v>15</v>
      </c>
      <c r="C842" t="s">
        <v>45</v>
      </c>
      <c r="D842" t="s">
        <v>26</v>
      </c>
      <c r="E842" t="s">
        <v>68</v>
      </c>
      <c r="F842">
        <v>128050</v>
      </c>
      <c r="G842">
        <v>128417</v>
      </c>
      <c r="H842">
        <v>33</v>
      </c>
      <c r="I842">
        <v>2821</v>
      </c>
      <c r="J842">
        <v>0.09</v>
      </c>
      <c r="K842">
        <v>16000</v>
      </c>
      <c r="L842">
        <v>203437</v>
      </c>
      <c r="M842">
        <v>167252</v>
      </c>
      <c r="N842">
        <v>10337</v>
      </c>
      <c r="O842" s="43">
        <v>49320585.071999997</v>
      </c>
      <c r="P842" s="14">
        <f t="shared" si="41"/>
        <v>1830926.5920000002</v>
      </c>
      <c r="Q842" s="14" t="str">
        <f t="shared" si="39"/>
        <v/>
      </c>
      <c r="R842" s="14" t="str">
        <f t="shared" si="39"/>
        <v/>
      </c>
      <c r="S842" s="14" t="str">
        <f t="shared" si="40"/>
        <v/>
      </c>
      <c r="T842" s="14" t="s">
        <v>72</v>
      </c>
      <c r="U842" s="14">
        <v>649.03459482453036</v>
      </c>
      <c r="V842">
        <v>3297</v>
      </c>
      <c r="W842">
        <v>19.946191406250001</v>
      </c>
      <c r="X842">
        <v>59.163510501137402</v>
      </c>
      <c r="Y842">
        <v>0.95210408640921596</v>
      </c>
      <c r="Z842" s="31">
        <v>5.5690535526100504</v>
      </c>
      <c r="AA842">
        <v>14.652273223734699</v>
      </c>
      <c r="AB842">
        <v>0.13</v>
      </c>
      <c r="AC842">
        <v>621774.52984523203</v>
      </c>
      <c r="AD842">
        <v>711496.59450189909</v>
      </c>
      <c r="AE842">
        <v>1</v>
      </c>
      <c r="AF842">
        <v>1345.6152561294321</v>
      </c>
      <c r="AG842">
        <v>73431.446927322875</v>
      </c>
    </row>
    <row r="843" spans="2:33" hidden="1" x14ac:dyDescent="0.25">
      <c r="B843">
        <v>15</v>
      </c>
      <c r="C843" t="s">
        <v>45</v>
      </c>
      <c r="D843" t="s">
        <v>26</v>
      </c>
      <c r="E843" t="s">
        <v>68</v>
      </c>
      <c r="F843">
        <v>128303</v>
      </c>
      <c r="G843">
        <v>128417</v>
      </c>
      <c r="H843">
        <v>34</v>
      </c>
      <c r="I843">
        <v>3250</v>
      </c>
      <c r="J843">
        <v>7.0000000000000007E-2</v>
      </c>
      <c r="K843">
        <v>16000</v>
      </c>
      <c r="L843">
        <v>203437</v>
      </c>
      <c r="M843">
        <v>167252</v>
      </c>
      <c r="N843">
        <v>10337</v>
      </c>
      <c r="O843" s="43">
        <v>50350481.280000001</v>
      </c>
      <c r="P843" s="14">
        <f t="shared" si="41"/>
        <v>1029896.2080000043</v>
      </c>
      <c r="Q843" s="14" t="str">
        <f t="shared" si="39"/>
        <v/>
      </c>
      <c r="R843" s="14" t="str">
        <f t="shared" si="39"/>
        <v/>
      </c>
      <c r="S843" s="14" t="str">
        <f t="shared" si="40"/>
        <v/>
      </c>
      <c r="T843" s="14" t="s">
        <v>72</v>
      </c>
      <c r="U843" s="14">
        <v>316.89114092307597</v>
      </c>
      <c r="V843">
        <v>3297</v>
      </c>
      <c r="W843">
        <v>21.010400390625001</v>
      </c>
      <c r="X843">
        <v>48.370927244866998</v>
      </c>
      <c r="Y843">
        <v>1.2854109521457999</v>
      </c>
      <c r="Z843" s="31">
        <v>5.2016018418898398</v>
      </c>
      <c r="AA843">
        <v>3.0781734939343002</v>
      </c>
      <c r="AB843">
        <v>0.13</v>
      </c>
      <c r="AC843">
        <v>621774.52984523203</v>
      </c>
      <c r="AD843">
        <v>711496.59450189909</v>
      </c>
      <c r="AE843">
        <v>1</v>
      </c>
      <c r="AF843">
        <v>1345.6152561294321</v>
      </c>
      <c r="AG843">
        <v>73431.446927322875</v>
      </c>
    </row>
    <row r="844" spans="2:33" hidden="1" x14ac:dyDescent="0.25">
      <c r="B844">
        <v>15</v>
      </c>
      <c r="C844" t="s">
        <v>45</v>
      </c>
      <c r="D844" t="s">
        <v>26</v>
      </c>
      <c r="E844" t="s">
        <v>68</v>
      </c>
      <c r="F844">
        <v>128416</v>
      </c>
      <c r="G844">
        <v>128417</v>
      </c>
      <c r="H844">
        <v>35</v>
      </c>
      <c r="I844">
        <v>2165</v>
      </c>
      <c r="J844">
        <v>0.03</v>
      </c>
      <c r="K844">
        <v>16000</v>
      </c>
      <c r="L844">
        <v>203437</v>
      </c>
      <c r="M844">
        <v>167252</v>
      </c>
      <c r="N844">
        <v>10337</v>
      </c>
      <c r="O844" s="43">
        <v>51838109.136000007</v>
      </c>
      <c r="P844" s="14">
        <f t="shared" si="41"/>
        <v>1487627.8560000062</v>
      </c>
      <c r="Q844" s="14" t="str">
        <f t="shared" si="39"/>
        <v/>
      </c>
      <c r="R844" s="14" t="str">
        <f t="shared" si="39"/>
        <v/>
      </c>
      <c r="S844" s="14" t="str">
        <f t="shared" si="40"/>
        <v/>
      </c>
      <c r="T844" s="14" t="s">
        <v>72</v>
      </c>
      <c r="U844" s="14">
        <v>687.12603048499136</v>
      </c>
      <c r="V844">
        <v>3297</v>
      </c>
      <c r="W844">
        <v>22.303002929687501</v>
      </c>
      <c r="X844">
        <v>42.547791020664597</v>
      </c>
      <c r="Y844">
        <v>1.5478756910009499</v>
      </c>
      <c r="Z844" s="31">
        <v>2.3769627366091099</v>
      </c>
      <c r="AA844">
        <v>1.72384194896488</v>
      </c>
      <c r="AB844">
        <v>0.13</v>
      </c>
      <c r="AC844">
        <v>621774.52984523203</v>
      </c>
      <c r="AD844">
        <v>711496.59450189909</v>
      </c>
      <c r="AE844">
        <v>1</v>
      </c>
      <c r="AF844">
        <v>1345.6152561294321</v>
      </c>
      <c r="AG844">
        <v>73431.446927322875</v>
      </c>
    </row>
    <row r="845" spans="2:33" hidden="1" x14ac:dyDescent="0.25">
      <c r="B845">
        <v>15</v>
      </c>
      <c r="C845" t="s">
        <v>45</v>
      </c>
      <c r="D845" t="s">
        <v>26</v>
      </c>
      <c r="E845" t="s">
        <v>68</v>
      </c>
      <c r="F845">
        <v>128417</v>
      </c>
      <c r="G845">
        <v>128417</v>
      </c>
      <c r="H845">
        <v>36</v>
      </c>
      <c r="I845">
        <v>326</v>
      </c>
      <c r="J845">
        <v>0</v>
      </c>
      <c r="K845">
        <v>16000</v>
      </c>
      <c r="L845">
        <v>203437</v>
      </c>
      <c r="M845">
        <v>167252</v>
      </c>
      <c r="N845">
        <v>10337</v>
      </c>
      <c r="O845" s="43">
        <v>53783468.640000001</v>
      </c>
      <c r="P845" s="14">
        <f t="shared" si="41"/>
        <v>1945359.5039999932</v>
      </c>
      <c r="Q845" s="14" t="str">
        <f t="shared" si="39"/>
        <v/>
      </c>
      <c r="R845" s="14" t="str">
        <f t="shared" si="39"/>
        <v/>
      </c>
      <c r="S845" s="14" t="str">
        <f t="shared" si="40"/>
        <v/>
      </c>
      <c r="T845" s="14" t="s">
        <v>72</v>
      </c>
      <c r="U845" s="14">
        <v>5967.3604417177703</v>
      </c>
      <c r="V845">
        <v>3297</v>
      </c>
      <c r="W845">
        <v>19.813500976562501</v>
      </c>
      <c r="X845">
        <v>58.364550050340704</v>
      </c>
      <c r="Y845">
        <v>0.96281027642668304</v>
      </c>
      <c r="Z845" s="31">
        <v>3.01236857913851</v>
      </c>
      <c r="AA845">
        <v>2.9352961838950602</v>
      </c>
      <c r="AB845">
        <v>0.13</v>
      </c>
      <c r="AC845">
        <v>621774.52984523203</v>
      </c>
      <c r="AD845">
        <v>711496.59450189909</v>
      </c>
      <c r="AE845">
        <v>1</v>
      </c>
      <c r="AF845">
        <v>1345.6152561294321</v>
      </c>
      <c r="AG845">
        <v>73431.446927322875</v>
      </c>
    </row>
    <row r="846" spans="2:33" hidden="1" x14ac:dyDescent="0.25">
      <c r="B846">
        <v>15</v>
      </c>
      <c r="C846" t="s">
        <v>45</v>
      </c>
      <c r="D846" t="s">
        <v>26</v>
      </c>
      <c r="E846" t="s">
        <v>68</v>
      </c>
      <c r="F846">
        <v>128417</v>
      </c>
      <c r="G846">
        <v>128417</v>
      </c>
      <c r="H846">
        <v>37</v>
      </c>
      <c r="I846">
        <v>253</v>
      </c>
      <c r="J846">
        <v>0</v>
      </c>
      <c r="K846">
        <v>16000</v>
      </c>
      <c r="L846">
        <v>203437</v>
      </c>
      <c r="M846">
        <v>167252</v>
      </c>
      <c r="N846">
        <v>10337</v>
      </c>
      <c r="O846" s="43">
        <v>54012334.464000002</v>
      </c>
      <c r="P846" s="14">
        <f t="shared" si="41"/>
        <v>228865.82400000095</v>
      </c>
      <c r="Q846" s="14" t="str">
        <f t="shared" si="39"/>
        <v/>
      </c>
      <c r="R846" s="14" t="str">
        <f t="shared" si="39"/>
        <v/>
      </c>
      <c r="S846" s="14" t="str">
        <f t="shared" si="40"/>
        <v/>
      </c>
      <c r="T846" s="14" t="s">
        <v>72</v>
      </c>
      <c r="U846" s="14">
        <v>904.60800000000381</v>
      </c>
      <c r="V846">
        <v>3297</v>
      </c>
      <c r="W846">
        <v>22.960229492187501</v>
      </c>
      <c r="X846">
        <v>37.751889572244004</v>
      </c>
      <c r="Y846">
        <v>1.7453013557170001</v>
      </c>
      <c r="Z846" s="31">
        <v>5.2832749506647696</v>
      </c>
      <c r="AA846">
        <v>2.3531299700979802</v>
      </c>
      <c r="AB846">
        <v>0.13</v>
      </c>
      <c r="AC846">
        <v>621774.52984523203</v>
      </c>
      <c r="AD846">
        <v>711496.59450189909</v>
      </c>
      <c r="AE846">
        <v>1</v>
      </c>
      <c r="AF846">
        <v>1345.6152561294321</v>
      </c>
      <c r="AG846">
        <v>73431.446927322875</v>
      </c>
    </row>
    <row r="847" spans="2:33" hidden="1" x14ac:dyDescent="0.25">
      <c r="B847">
        <v>15</v>
      </c>
      <c r="C847" t="s">
        <v>45</v>
      </c>
      <c r="D847" t="s">
        <v>26</v>
      </c>
      <c r="E847" t="s">
        <v>68</v>
      </c>
      <c r="F847">
        <v>128417</v>
      </c>
      <c r="G847">
        <v>128417</v>
      </c>
      <c r="H847">
        <v>38</v>
      </c>
      <c r="I847">
        <v>113</v>
      </c>
      <c r="J847">
        <v>0</v>
      </c>
      <c r="K847">
        <v>16000</v>
      </c>
      <c r="L847">
        <v>203437</v>
      </c>
      <c r="M847">
        <v>167252</v>
      </c>
      <c r="N847">
        <v>10337</v>
      </c>
      <c r="O847" s="43">
        <v>54012334.464000002</v>
      </c>
      <c r="P847" s="14">
        <f t="shared" si="41"/>
        <v>0</v>
      </c>
      <c r="Q847" s="14" t="str">
        <f t="shared" si="39"/>
        <v/>
      </c>
      <c r="R847" s="14" t="str">
        <f t="shared" si="39"/>
        <v/>
      </c>
      <c r="S847" s="14" t="str">
        <f t="shared" si="40"/>
        <v/>
      </c>
      <c r="T847" s="14" t="s">
        <v>72</v>
      </c>
      <c r="U847" s="14">
        <v>0</v>
      </c>
      <c r="V847">
        <v>3297</v>
      </c>
      <c r="W847">
        <v>24.036767578125001</v>
      </c>
      <c r="X847">
        <v>35.665754817135799</v>
      </c>
      <c r="Y847">
        <v>1.9245368472465101</v>
      </c>
      <c r="Z847" s="31">
        <v>5.6663879519288001</v>
      </c>
      <c r="AA847">
        <v>4.2569107470302203</v>
      </c>
      <c r="AB847">
        <v>0.13</v>
      </c>
      <c r="AC847">
        <v>621774.52984523203</v>
      </c>
      <c r="AD847">
        <v>711496.59450189909</v>
      </c>
      <c r="AE847">
        <v>1</v>
      </c>
      <c r="AF847">
        <v>1345.6152561294321</v>
      </c>
      <c r="AG847">
        <v>73431.446927322875</v>
      </c>
    </row>
    <row r="848" spans="2:33" hidden="1" x14ac:dyDescent="0.25">
      <c r="B848">
        <v>15</v>
      </c>
      <c r="C848" t="s">
        <v>45</v>
      </c>
      <c r="D848" t="s">
        <v>26</v>
      </c>
      <c r="E848" t="s">
        <v>68</v>
      </c>
      <c r="F848">
        <v>128417</v>
      </c>
      <c r="G848">
        <v>128417</v>
      </c>
      <c r="H848">
        <v>39</v>
      </c>
      <c r="I848">
        <v>1</v>
      </c>
      <c r="J848">
        <v>0</v>
      </c>
      <c r="K848">
        <v>16000</v>
      </c>
      <c r="L848">
        <v>203437</v>
      </c>
      <c r="M848">
        <v>167252</v>
      </c>
      <c r="N848">
        <v>10337</v>
      </c>
      <c r="O848" s="43">
        <v>56072126.880000003</v>
      </c>
      <c r="P848" s="14">
        <f t="shared" si="41"/>
        <v>2059792.4160000011</v>
      </c>
      <c r="Q848" s="14" t="str">
        <f t="shared" si="39"/>
        <v/>
      </c>
      <c r="R848" s="14" t="str">
        <f t="shared" si="39"/>
        <v/>
      </c>
      <c r="S848" s="14" t="str">
        <f t="shared" si="40"/>
        <v/>
      </c>
      <c r="T848" s="14" t="s">
        <v>72</v>
      </c>
      <c r="U848" s="14">
        <v>2059792.4160000011</v>
      </c>
      <c r="V848">
        <v>3297</v>
      </c>
      <c r="W848">
        <v>21.788232421875001</v>
      </c>
      <c r="X848">
        <v>57.564576991870801</v>
      </c>
      <c r="Y848">
        <v>1.1078037487281001</v>
      </c>
      <c r="Z848" s="31">
        <v>6.3937796097506299</v>
      </c>
      <c r="AA848">
        <v>4.8101085383469302</v>
      </c>
      <c r="AB848">
        <v>0.13</v>
      </c>
      <c r="AC848">
        <v>621774.52984523203</v>
      </c>
      <c r="AD848">
        <v>711496.59450189909</v>
      </c>
      <c r="AE848">
        <v>1</v>
      </c>
      <c r="AF848">
        <v>1345.6152561294321</v>
      </c>
      <c r="AG848">
        <v>73431.446927322875</v>
      </c>
    </row>
    <row r="849" spans="2:33" hidden="1" x14ac:dyDescent="0.25">
      <c r="B849">
        <v>15</v>
      </c>
      <c r="C849" t="s">
        <v>45</v>
      </c>
      <c r="D849" t="s">
        <v>26</v>
      </c>
      <c r="E849" t="s">
        <v>68</v>
      </c>
      <c r="F849">
        <v>128417</v>
      </c>
      <c r="G849">
        <v>128417</v>
      </c>
      <c r="H849">
        <v>40</v>
      </c>
      <c r="I849" s="5">
        <v>0</v>
      </c>
      <c r="J849">
        <v>0</v>
      </c>
      <c r="K849">
        <v>16000</v>
      </c>
      <c r="L849">
        <v>203437</v>
      </c>
      <c r="M849">
        <v>167252</v>
      </c>
      <c r="N849">
        <v>10337</v>
      </c>
      <c r="O849" s="43">
        <v>57216456.000000007</v>
      </c>
      <c r="P849" s="14">
        <f t="shared" si="41"/>
        <v>1144329.1200000048</v>
      </c>
      <c r="Q849" s="14" t="str">
        <f t="shared" si="39"/>
        <v/>
      </c>
      <c r="R849" s="14" t="str">
        <f t="shared" si="39"/>
        <v/>
      </c>
      <c r="S849" s="14" t="str">
        <f t="shared" si="40"/>
        <v/>
      </c>
      <c r="T849" s="14" t="s">
        <v>72</v>
      </c>
      <c r="U849" s="14">
        <v>0</v>
      </c>
      <c r="V849">
        <v>3297</v>
      </c>
      <c r="W849">
        <v>20.195092773437501</v>
      </c>
      <c r="X849">
        <v>52.909118415019599</v>
      </c>
      <c r="Y849">
        <v>1.11502141761296</v>
      </c>
      <c r="Z849" s="31">
        <v>5.9063376519218496</v>
      </c>
      <c r="AA849">
        <v>6.3261168832102399</v>
      </c>
      <c r="AB849">
        <v>0.13</v>
      </c>
      <c r="AC849">
        <v>621774.52984523203</v>
      </c>
      <c r="AD849">
        <v>711496.59450189909</v>
      </c>
      <c r="AE849">
        <v>1</v>
      </c>
      <c r="AF849">
        <v>1345.6152561294321</v>
      </c>
      <c r="AG849">
        <v>73431.446927322875</v>
      </c>
    </row>
    <row r="850" spans="2:33" hidden="1" x14ac:dyDescent="0.25">
      <c r="B850">
        <v>15</v>
      </c>
      <c r="C850" t="s">
        <v>45</v>
      </c>
      <c r="D850" t="s">
        <v>26</v>
      </c>
      <c r="E850" t="s">
        <v>68</v>
      </c>
      <c r="F850">
        <v>128417</v>
      </c>
      <c r="G850">
        <v>128417</v>
      </c>
      <c r="H850">
        <v>41</v>
      </c>
      <c r="I850" s="5">
        <v>0</v>
      </c>
      <c r="J850">
        <v>0</v>
      </c>
      <c r="K850">
        <v>16000</v>
      </c>
      <c r="L850">
        <v>203437</v>
      </c>
      <c r="M850">
        <v>167252</v>
      </c>
      <c r="N850">
        <v>10337</v>
      </c>
      <c r="O850" s="43">
        <v>58360785.119999997</v>
      </c>
      <c r="P850" s="14">
        <f t="shared" si="41"/>
        <v>1144329.1199999899</v>
      </c>
      <c r="Q850" s="14" t="str">
        <f t="shared" si="39"/>
        <v/>
      </c>
      <c r="R850" s="14" t="str">
        <f t="shared" si="39"/>
        <v/>
      </c>
      <c r="S850" s="14" t="str">
        <f t="shared" si="40"/>
        <v/>
      </c>
      <c r="T850" s="14" t="s">
        <v>72</v>
      </c>
      <c r="U850" s="14">
        <v>0</v>
      </c>
      <c r="V850">
        <v>3297</v>
      </c>
      <c r="W850">
        <v>22.570214843750001</v>
      </c>
      <c r="X850">
        <v>55.162133489565001</v>
      </c>
      <c r="Y850">
        <v>1.2275101612505299</v>
      </c>
      <c r="Z850" s="31">
        <v>6.1819278182718103</v>
      </c>
      <c r="AA850">
        <v>10.5491549147799</v>
      </c>
      <c r="AB850">
        <v>0.13</v>
      </c>
      <c r="AC850">
        <v>621774.52984523203</v>
      </c>
      <c r="AD850">
        <v>711496.59450189909</v>
      </c>
      <c r="AE850">
        <v>1</v>
      </c>
      <c r="AF850">
        <v>1345.6152561294321</v>
      </c>
      <c r="AG850">
        <v>73431.446927322875</v>
      </c>
    </row>
    <row r="851" spans="2:33" hidden="1" x14ac:dyDescent="0.25">
      <c r="B851">
        <v>15</v>
      </c>
      <c r="C851" t="s">
        <v>45</v>
      </c>
      <c r="D851" t="s">
        <v>26</v>
      </c>
      <c r="E851" t="s">
        <v>68</v>
      </c>
      <c r="F851">
        <v>128417</v>
      </c>
      <c r="G851">
        <v>128417</v>
      </c>
      <c r="H851">
        <v>42</v>
      </c>
      <c r="I851" s="5">
        <v>0</v>
      </c>
      <c r="J851">
        <v>0</v>
      </c>
      <c r="K851">
        <v>16000</v>
      </c>
      <c r="L851">
        <v>203437</v>
      </c>
      <c r="M851">
        <v>167252</v>
      </c>
      <c r="N851">
        <v>10337</v>
      </c>
      <c r="O851" s="43">
        <v>59505114.240000002</v>
      </c>
      <c r="P851" s="14">
        <f t="shared" si="41"/>
        <v>1144329.1200000048</v>
      </c>
      <c r="Q851" s="14" t="str">
        <f t="shared" si="39"/>
        <v/>
      </c>
      <c r="R851" s="14" t="str">
        <f t="shared" si="39"/>
        <v/>
      </c>
      <c r="S851" s="14" t="str">
        <f t="shared" si="40"/>
        <v/>
      </c>
      <c r="T851" s="14" t="s">
        <v>72</v>
      </c>
      <c r="U851" s="14">
        <v>0</v>
      </c>
      <c r="V851">
        <v>3297</v>
      </c>
      <c r="W851">
        <v>24.796289062500001</v>
      </c>
      <c r="X851">
        <v>45.012578860107098</v>
      </c>
      <c r="Y851">
        <v>1.7209931040683399</v>
      </c>
      <c r="Z851" s="31">
        <v>0.47073057621926301</v>
      </c>
      <c r="AA851">
        <v>5.3437515194171601</v>
      </c>
      <c r="AB851">
        <v>0.13</v>
      </c>
      <c r="AC851">
        <v>621774.52984523203</v>
      </c>
      <c r="AD851">
        <v>711496.59450189909</v>
      </c>
      <c r="AE851">
        <v>1</v>
      </c>
      <c r="AF851">
        <v>1345.6152561294321</v>
      </c>
      <c r="AG851">
        <v>73431.446927322875</v>
      </c>
    </row>
    <row r="852" spans="2:33" hidden="1" x14ac:dyDescent="0.25">
      <c r="B852">
        <v>15</v>
      </c>
      <c r="C852" t="s">
        <v>45</v>
      </c>
      <c r="D852" t="s">
        <v>26</v>
      </c>
      <c r="E852" t="s">
        <v>68</v>
      </c>
      <c r="F852">
        <v>128417</v>
      </c>
      <c r="G852">
        <v>128417</v>
      </c>
      <c r="H852">
        <v>43</v>
      </c>
      <c r="I852" s="5">
        <v>0</v>
      </c>
      <c r="J852">
        <v>0</v>
      </c>
      <c r="K852">
        <v>16000</v>
      </c>
      <c r="L852">
        <v>203437</v>
      </c>
      <c r="M852">
        <v>167252</v>
      </c>
      <c r="N852">
        <v>10337</v>
      </c>
      <c r="O852" s="43">
        <v>60649443.360000007</v>
      </c>
      <c r="P852" s="14">
        <f t="shared" si="41"/>
        <v>1144329.1200000048</v>
      </c>
      <c r="Q852" s="14" t="str">
        <f t="shared" si="39"/>
        <v/>
      </c>
      <c r="R852" s="14" t="str">
        <f t="shared" si="39"/>
        <v/>
      </c>
      <c r="S852" s="14" t="str">
        <f t="shared" si="40"/>
        <v/>
      </c>
      <c r="T852" s="14" t="s">
        <v>72</v>
      </c>
      <c r="U852" s="14">
        <v>0</v>
      </c>
      <c r="V852">
        <v>3297</v>
      </c>
      <c r="W852">
        <v>24.906396484375001</v>
      </c>
      <c r="X852">
        <v>43.331779131658898</v>
      </c>
      <c r="Y852">
        <v>1.78531716282326</v>
      </c>
      <c r="Z852" s="31">
        <v>1.2641937412369799</v>
      </c>
      <c r="AA852">
        <v>9.0700065235335199</v>
      </c>
      <c r="AB852">
        <v>0.13</v>
      </c>
      <c r="AC852">
        <v>621774.52984523203</v>
      </c>
      <c r="AD852">
        <v>711496.59450189909</v>
      </c>
      <c r="AE852">
        <v>1</v>
      </c>
      <c r="AF852">
        <v>1345.6152561294321</v>
      </c>
      <c r="AG852">
        <v>73431.446927322875</v>
      </c>
    </row>
    <row r="853" spans="2:33" hidden="1" x14ac:dyDescent="0.25">
      <c r="B853">
        <v>15</v>
      </c>
      <c r="C853" t="s">
        <v>45</v>
      </c>
      <c r="D853" t="s">
        <v>26</v>
      </c>
      <c r="E853" t="s">
        <v>68</v>
      </c>
      <c r="F853">
        <v>128417</v>
      </c>
      <c r="G853">
        <v>128417</v>
      </c>
      <c r="H853">
        <v>44</v>
      </c>
      <c r="I853" s="5">
        <v>0</v>
      </c>
      <c r="J853">
        <v>0</v>
      </c>
      <c r="K853">
        <v>16000</v>
      </c>
      <c r="L853">
        <v>203437</v>
      </c>
      <c r="M853">
        <v>167252</v>
      </c>
      <c r="N853">
        <v>10337</v>
      </c>
      <c r="O853" s="43">
        <v>61107175.008000001</v>
      </c>
      <c r="P853" s="14">
        <f t="shared" si="41"/>
        <v>457731.64799999446</v>
      </c>
      <c r="Q853" s="14" t="str">
        <f t="shared" si="39"/>
        <v/>
      </c>
      <c r="R853" s="14" t="str">
        <f t="shared" si="39"/>
        <v/>
      </c>
      <c r="S853" s="14" t="str">
        <f t="shared" si="40"/>
        <v/>
      </c>
      <c r="T853" s="14" t="s">
        <v>72</v>
      </c>
      <c r="U853" s="14">
        <v>0</v>
      </c>
      <c r="V853">
        <v>3297</v>
      </c>
      <c r="W853">
        <v>23.182275390625001</v>
      </c>
      <c r="X853">
        <v>46.028381972515803</v>
      </c>
      <c r="Y853">
        <v>1.5334605725108801</v>
      </c>
      <c r="Z853" s="31">
        <v>2.6720894709508798</v>
      </c>
      <c r="AA853">
        <v>3.8865835675795601</v>
      </c>
      <c r="AB853">
        <v>0.13</v>
      </c>
      <c r="AC853">
        <v>621774.52984523203</v>
      </c>
      <c r="AD853">
        <v>711496.59450189909</v>
      </c>
      <c r="AE853">
        <v>1</v>
      </c>
      <c r="AF853">
        <v>1345.6152561294321</v>
      </c>
      <c r="AG853">
        <v>73431.446927322875</v>
      </c>
    </row>
    <row r="854" spans="2:33" hidden="1" x14ac:dyDescent="0.25">
      <c r="B854">
        <v>15</v>
      </c>
      <c r="C854" t="s">
        <v>45</v>
      </c>
      <c r="D854" t="s">
        <v>26</v>
      </c>
      <c r="E854" t="s">
        <v>68</v>
      </c>
      <c r="F854">
        <v>128417</v>
      </c>
      <c r="G854">
        <v>128417</v>
      </c>
      <c r="H854">
        <v>45</v>
      </c>
      <c r="I854" s="5">
        <v>0</v>
      </c>
      <c r="J854">
        <v>0</v>
      </c>
      <c r="K854">
        <v>16000</v>
      </c>
      <c r="L854">
        <v>203437</v>
      </c>
      <c r="M854">
        <v>167252</v>
      </c>
      <c r="N854">
        <v>10337</v>
      </c>
      <c r="O854" s="43">
        <v>61748024.490440637</v>
      </c>
      <c r="P854" s="14">
        <f t="shared" si="41"/>
        <v>640849.48244063556</v>
      </c>
      <c r="Q854" s="14" t="str">
        <f t="shared" si="39"/>
        <v/>
      </c>
      <c r="R854" s="14" t="str">
        <f t="shared" si="39"/>
        <v/>
      </c>
      <c r="S854" s="14" t="str">
        <f t="shared" si="40"/>
        <v/>
      </c>
      <c r="T854" s="14" t="s">
        <v>72</v>
      </c>
      <c r="U854" s="14">
        <v>0</v>
      </c>
      <c r="V854">
        <v>3297</v>
      </c>
      <c r="W854">
        <v>27.792749023437501</v>
      </c>
      <c r="X854">
        <v>27.302544127774301</v>
      </c>
      <c r="Y854">
        <v>2.71533280713445</v>
      </c>
      <c r="Z854" s="31">
        <v>4.2144122351380204</v>
      </c>
      <c r="AA854">
        <v>4.2305855908818204</v>
      </c>
      <c r="AB854">
        <v>0.13</v>
      </c>
      <c r="AC854">
        <v>621774.52984523203</v>
      </c>
      <c r="AD854">
        <v>711496.59450189909</v>
      </c>
      <c r="AE854">
        <v>1</v>
      </c>
      <c r="AF854">
        <v>1345.6152561294321</v>
      </c>
      <c r="AG854">
        <v>73431.446927322875</v>
      </c>
    </row>
    <row r="855" spans="2:33" hidden="1" x14ac:dyDescent="0.25">
      <c r="B855">
        <v>15</v>
      </c>
      <c r="C855" t="s">
        <v>45</v>
      </c>
      <c r="D855" t="s">
        <v>26</v>
      </c>
      <c r="E855" t="s">
        <v>68</v>
      </c>
      <c r="F855">
        <v>128417</v>
      </c>
      <c r="G855">
        <v>128417</v>
      </c>
      <c r="H855">
        <v>46</v>
      </c>
      <c r="I855" s="5">
        <v>0</v>
      </c>
      <c r="J855">
        <v>0</v>
      </c>
      <c r="K855">
        <v>16000</v>
      </c>
      <c r="L855">
        <v>203437</v>
      </c>
      <c r="M855">
        <v>167252</v>
      </c>
      <c r="N855">
        <v>10337</v>
      </c>
      <c r="O855" s="43">
        <v>62761366.833390728</v>
      </c>
      <c r="P855" s="14">
        <f t="shared" si="41"/>
        <v>1013342.3429500908</v>
      </c>
      <c r="Q855" s="14" t="str">
        <f t="shared" si="39"/>
        <v/>
      </c>
      <c r="R855" s="14" t="str">
        <f t="shared" si="39"/>
        <v/>
      </c>
      <c r="S855" s="14" t="str">
        <f t="shared" si="40"/>
        <v/>
      </c>
      <c r="T855" s="14" t="s">
        <v>72</v>
      </c>
      <c r="U855" s="14">
        <v>0</v>
      </c>
      <c r="V855">
        <v>3297</v>
      </c>
      <c r="W855">
        <v>27.304833984375001</v>
      </c>
      <c r="X855">
        <v>27.066016008480101</v>
      </c>
      <c r="Y855">
        <v>2.6477214500961401</v>
      </c>
      <c r="Z855" s="31">
        <v>4.1747993115061499</v>
      </c>
      <c r="AA855">
        <v>2.69433218696315</v>
      </c>
      <c r="AB855">
        <v>0.13</v>
      </c>
      <c r="AC855">
        <v>621774.52984523203</v>
      </c>
      <c r="AD855">
        <v>711496.59450189909</v>
      </c>
      <c r="AE855">
        <v>1</v>
      </c>
      <c r="AF855">
        <v>1345.6152561294321</v>
      </c>
      <c r="AG855">
        <v>73431.446927322875</v>
      </c>
    </row>
    <row r="856" spans="2:33" hidden="1" x14ac:dyDescent="0.25">
      <c r="B856">
        <v>15</v>
      </c>
      <c r="C856" t="s">
        <v>45</v>
      </c>
      <c r="D856" t="s">
        <v>26</v>
      </c>
      <c r="E856" t="s">
        <v>68</v>
      </c>
      <c r="F856">
        <v>128417</v>
      </c>
      <c r="G856">
        <v>128417</v>
      </c>
      <c r="H856">
        <v>47</v>
      </c>
      <c r="I856" s="5">
        <v>0</v>
      </c>
      <c r="J856">
        <v>0</v>
      </c>
      <c r="K856">
        <v>16000</v>
      </c>
      <c r="L856">
        <v>203437</v>
      </c>
      <c r="M856">
        <v>167252</v>
      </c>
      <c r="N856">
        <v>10337</v>
      </c>
      <c r="O856" s="43">
        <v>63510266.159999996</v>
      </c>
      <c r="P856" s="14">
        <f t="shared" si="41"/>
        <v>748899.32660926878</v>
      </c>
      <c r="Q856" s="14" t="str">
        <f t="shared" si="39"/>
        <v/>
      </c>
      <c r="R856" s="14" t="str">
        <f t="shared" si="39"/>
        <v/>
      </c>
      <c r="S856" s="14" t="str">
        <f t="shared" si="40"/>
        <v/>
      </c>
      <c r="T856" s="14" t="s">
        <v>72</v>
      </c>
      <c r="U856" s="14">
        <v>0</v>
      </c>
      <c r="V856">
        <v>3297</v>
      </c>
      <c r="W856">
        <v>26.807519531250001</v>
      </c>
      <c r="X856">
        <v>26.624471590449801</v>
      </c>
      <c r="Y856">
        <v>2.5873094762584401</v>
      </c>
      <c r="Z856" s="31">
        <v>5.5921833356638997</v>
      </c>
      <c r="AA856">
        <v>2.3341064119955002</v>
      </c>
      <c r="AB856">
        <v>0.13</v>
      </c>
      <c r="AC856">
        <v>621774.52984523203</v>
      </c>
      <c r="AD856">
        <v>711496.59450189909</v>
      </c>
      <c r="AE856">
        <v>1</v>
      </c>
      <c r="AF856">
        <v>1345.6152561294321</v>
      </c>
      <c r="AG856">
        <v>73431.446927322875</v>
      </c>
    </row>
    <row r="857" spans="2:33" hidden="1" x14ac:dyDescent="0.25">
      <c r="B857">
        <v>15</v>
      </c>
      <c r="C857" t="s">
        <v>45</v>
      </c>
      <c r="D857" t="s">
        <v>26</v>
      </c>
      <c r="E857" t="s">
        <v>68</v>
      </c>
      <c r="F857">
        <v>128417</v>
      </c>
      <c r="G857">
        <v>128417</v>
      </c>
      <c r="H857">
        <v>48</v>
      </c>
      <c r="I857" s="5">
        <v>0</v>
      </c>
      <c r="J857">
        <v>0</v>
      </c>
      <c r="K857">
        <v>16000</v>
      </c>
      <c r="L857">
        <v>203437</v>
      </c>
      <c r="M857">
        <v>167252</v>
      </c>
      <c r="N857">
        <v>10337</v>
      </c>
      <c r="O857" s="43">
        <v>63917968.883202717</v>
      </c>
      <c r="P857" s="14">
        <f t="shared" si="41"/>
        <v>407702.72320272028</v>
      </c>
      <c r="Q857" s="14" t="str">
        <f t="shared" si="39"/>
        <v/>
      </c>
      <c r="R857" s="14" t="str">
        <f t="shared" si="39"/>
        <v/>
      </c>
      <c r="S857" s="14" t="str">
        <f t="shared" si="40"/>
        <v/>
      </c>
      <c r="T857" s="14" t="s">
        <v>72</v>
      </c>
      <c r="U857" s="14">
        <v>0</v>
      </c>
      <c r="V857">
        <v>3297</v>
      </c>
      <c r="W857">
        <v>26.986596679687501</v>
      </c>
      <c r="X857">
        <v>26.091450313054601</v>
      </c>
      <c r="Y857">
        <v>2.6336398384793398</v>
      </c>
      <c r="Z857" s="31">
        <v>5.6536893397977703</v>
      </c>
      <c r="AA857">
        <v>2.52301139216913</v>
      </c>
      <c r="AB857">
        <v>0.13</v>
      </c>
      <c r="AC857">
        <v>621774.52984523203</v>
      </c>
      <c r="AD857">
        <v>711496.59450189909</v>
      </c>
      <c r="AE857">
        <v>1</v>
      </c>
      <c r="AF857">
        <v>1345.6152561294321</v>
      </c>
      <c r="AG857">
        <v>73431.446927322875</v>
      </c>
    </row>
    <row r="858" spans="2:33" hidden="1" x14ac:dyDescent="0.25">
      <c r="B858">
        <v>15</v>
      </c>
      <c r="C858" t="s">
        <v>45</v>
      </c>
      <c r="D858" t="s">
        <v>26</v>
      </c>
      <c r="E858" t="s">
        <v>68</v>
      </c>
      <c r="F858">
        <v>128417</v>
      </c>
      <c r="G858">
        <v>128417</v>
      </c>
      <c r="H858">
        <v>49</v>
      </c>
      <c r="I858" s="5">
        <v>0</v>
      </c>
      <c r="J858">
        <v>0</v>
      </c>
      <c r="K858">
        <v>16000</v>
      </c>
      <c r="L858">
        <v>203437</v>
      </c>
      <c r="M858">
        <v>167252</v>
      </c>
      <c r="N858">
        <v>10337</v>
      </c>
      <c r="O858" s="43">
        <v>63917968.883202717</v>
      </c>
      <c r="P858" s="14">
        <f t="shared" si="41"/>
        <v>0</v>
      </c>
      <c r="Q858" s="14" t="str">
        <f t="shared" si="39"/>
        <v/>
      </c>
      <c r="R858" s="14" t="str">
        <f t="shared" si="39"/>
        <v/>
      </c>
      <c r="S858" s="14" t="str">
        <f t="shared" si="40"/>
        <v/>
      </c>
      <c r="T858" s="14" t="s">
        <v>72</v>
      </c>
      <c r="U858" s="14">
        <v>0</v>
      </c>
      <c r="V858">
        <v>3297</v>
      </c>
      <c r="W858">
        <v>26.052026367187501</v>
      </c>
      <c r="X858">
        <v>27.114959384611801</v>
      </c>
      <c r="Y858">
        <v>2.45824318278722</v>
      </c>
      <c r="Z858" s="31">
        <v>3.5556106266080998</v>
      </c>
      <c r="AA858">
        <v>8.1563493353456593</v>
      </c>
      <c r="AB858">
        <v>0.13</v>
      </c>
      <c r="AC858">
        <v>621774.52984523203</v>
      </c>
      <c r="AD858">
        <v>711496.59450189909</v>
      </c>
      <c r="AE858">
        <v>1</v>
      </c>
      <c r="AF858">
        <v>1345.6152561294321</v>
      </c>
      <c r="AG858">
        <v>73431.446927322875</v>
      </c>
    </row>
    <row r="859" spans="2:33" hidden="1" x14ac:dyDescent="0.25">
      <c r="B859">
        <v>15</v>
      </c>
      <c r="C859" t="s">
        <v>45</v>
      </c>
      <c r="D859" t="s">
        <v>26</v>
      </c>
      <c r="E859" t="s">
        <v>68</v>
      </c>
      <c r="F859">
        <v>128417</v>
      </c>
      <c r="G859">
        <v>128417</v>
      </c>
      <c r="H859">
        <v>50</v>
      </c>
      <c r="I859" s="5">
        <v>0</v>
      </c>
      <c r="J859">
        <v>0</v>
      </c>
      <c r="K859">
        <v>16000</v>
      </c>
      <c r="L859">
        <v>203437</v>
      </c>
      <c r="M859">
        <v>167252</v>
      </c>
      <c r="N859">
        <v>10337</v>
      </c>
      <c r="O859" s="43">
        <v>65183101.395413756</v>
      </c>
      <c r="P859" s="14">
        <f t="shared" si="41"/>
        <v>1265132.5122110397</v>
      </c>
      <c r="Q859" s="14" t="str">
        <f t="shared" si="39"/>
        <v/>
      </c>
      <c r="R859" s="14" t="str">
        <f t="shared" si="39"/>
        <v/>
      </c>
      <c r="S859" s="14" t="str">
        <f t="shared" si="40"/>
        <v/>
      </c>
      <c r="T859" s="14" t="s">
        <v>72</v>
      </c>
      <c r="U859" s="14">
        <v>0</v>
      </c>
      <c r="V859">
        <v>3297</v>
      </c>
      <c r="W859">
        <v>22.898339843750001</v>
      </c>
      <c r="X859">
        <v>43.693890385136797</v>
      </c>
      <c r="Y859">
        <v>1.57266505464902</v>
      </c>
      <c r="Z859" s="31">
        <v>1.51673673520483</v>
      </c>
      <c r="AA859">
        <v>3.3956205118531799</v>
      </c>
      <c r="AB859">
        <v>0.13</v>
      </c>
      <c r="AC859">
        <v>621774.52984523203</v>
      </c>
      <c r="AD859">
        <v>711496.59450189909</v>
      </c>
      <c r="AE859">
        <v>1</v>
      </c>
      <c r="AF859">
        <v>1345.6152561294321</v>
      </c>
      <c r="AG859">
        <v>73431.446927322875</v>
      </c>
    </row>
    <row r="860" spans="2:33" hidden="1" x14ac:dyDescent="0.25">
      <c r="B860">
        <v>15</v>
      </c>
      <c r="C860" t="s">
        <v>45</v>
      </c>
      <c r="D860" t="s">
        <v>26</v>
      </c>
      <c r="E860" t="s">
        <v>68</v>
      </c>
      <c r="F860">
        <v>128417</v>
      </c>
      <c r="G860">
        <v>128417</v>
      </c>
      <c r="H860">
        <v>51</v>
      </c>
      <c r="I860" s="5">
        <v>0</v>
      </c>
      <c r="J860">
        <v>0</v>
      </c>
      <c r="K860">
        <v>16000</v>
      </c>
      <c r="L860">
        <v>203437</v>
      </c>
      <c r="M860">
        <v>167252</v>
      </c>
      <c r="N860">
        <v>10337</v>
      </c>
      <c r="O860" s="43">
        <v>66384705.332198888</v>
      </c>
      <c r="P860" s="14">
        <f t="shared" si="41"/>
        <v>1201603.9367851317</v>
      </c>
      <c r="Q860" s="14" t="str">
        <f t="shared" si="39"/>
        <v/>
      </c>
      <c r="R860" s="14" t="str">
        <f t="shared" si="39"/>
        <v/>
      </c>
      <c r="S860" s="14" t="str">
        <f t="shared" si="40"/>
        <v/>
      </c>
      <c r="T860" s="14" t="s">
        <v>72</v>
      </c>
      <c r="U860" s="14">
        <v>0</v>
      </c>
      <c r="V860">
        <v>3297</v>
      </c>
      <c r="W860">
        <v>22.280419921875001</v>
      </c>
      <c r="X860">
        <v>41.072550741998498</v>
      </c>
      <c r="Y860">
        <v>1.58548065222887</v>
      </c>
      <c r="Z860" s="31">
        <v>2.4233845934424498</v>
      </c>
      <c r="AA860">
        <v>4.7230000262572904</v>
      </c>
      <c r="AB860">
        <v>0.13</v>
      </c>
      <c r="AC860">
        <v>621774.52984523203</v>
      </c>
      <c r="AD860">
        <v>711496.59450189909</v>
      </c>
      <c r="AE860">
        <v>1</v>
      </c>
      <c r="AF860">
        <v>1345.6152561294321</v>
      </c>
      <c r="AG860">
        <v>73431.446927322875</v>
      </c>
    </row>
    <row r="861" spans="2:33" hidden="1" x14ac:dyDescent="0.25">
      <c r="B861">
        <v>15</v>
      </c>
      <c r="C861" t="s">
        <v>45</v>
      </c>
      <c r="D861" t="s">
        <v>26</v>
      </c>
      <c r="E861" t="s">
        <v>68</v>
      </c>
      <c r="F861">
        <v>128417</v>
      </c>
      <c r="G861">
        <v>128417</v>
      </c>
      <c r="H861">
        <v>52</v>
      </c>
      <c r="I861" s="5">
        <v>0</v>
      </c>
      <c r="J861">
        <v>0</v>
      </c>
      <c r="K861">
        <v>16000</v>
      </c>
      <c r="L861">
        <v>203437</v>
      </c>
      <c r="M861">
        <v>167252</v>
      </c>
      <c r="N861">
        <v>10337</v>
      </c>
      <c r="O861" s="43">
        <v>67112624.528722093</v>
      </c>
      <c r="P861" s="14">
        <f t="shared" si="41"/>
        <v>727919.19652320445</v>
      </c>
      <c r="Q861" s="14" t="str">
        <f t="shared" si="39"/>
        <v/>
      </c>
      <c r="R861" s="14" t="str">
        <f t="shared" si="39"/>
        <v/>
      </c>
      <c r="S861" s="14" t="str">
        <f t="shared" si="40"/>
        <v/>
      </c>
      <c r="T861" s="14" t="s">
        <v>72</v>
      </c>
      <c r="U861" s="14">
        <v>0</v>
      </c>
      <c r="V861">
        <v>3297</v>
      </c>
      <c r="W861">
        <v>20.172143554687501</v>
      </c>
      <c r="X861">
        <v>53.813639776711199</v>
      </c>
      <c r="Y861">
        <v>1.09204382867836</v>
      </c>
      <c r="Z861" s="31">
        <v>3.94984554503448</v>
      </c>
      <c r="AA861">
        <v>3.3673663314853299</v>
      </c>
      <c r="AB861">
        <v>0.13</v>
      </c>
      <c r="AC861">
        <v>621774.52984523203</v>
      </c>
      <c r="AD861">
        <v>711496.59450189909</v>
      </c>
      <c r="AE861">
        <v>1</v>
      </c>
      <c r="AF861">
        <v>1345.6152561294321</v>
      </c>
      <c r="AG861">
        <v>73431.446927322875</v>
      </c>
    </row>
    <row r="862" spans="2:33" hidden="1" x14ac:dyDescent="0.25">
      <c r="B862">
        <v>15</v>
      </c>
      <c r="C862" t="s">
        <v>45</v>
      </c>
      <c r="D862" t="s">
        <v>26</v>
      </c>
      <c r="E862" t="s">
        <v>68</v>
      </c>
      <c r="F862">
        <v>128417</v>
      </c>
      <c r="G862">
        <v>128417</v>
      </c>
      <c r="H862">
        <v>53</v>
      </c>
      <c r="I862" s="5">
        <v>0</v>
      </c>
      <c r="J862">
        <v>0</v>
      </c>
      <c r="K862">
        <v>16000</v>
      </c>
      <c r="L862">
        <v>203437</v>
      </c>
      <c r="M862">
        <v>167252</v>
      </c>
      <c r="N862">
        <v>10337</v>
      </c>
      <c r="O862" s="43">
        <v>67614982.723743841</v>
      </c>
      <c r="P862" s="14">
        <f t="shared" si="41"/>
        <v>502358.19502174854</v>
      </c>
      <c r="Q862" s="14" t="str">
        <f t="shared" si="39"/>
        <v/>
      </c>
      <c r="R862" s="14" t="str">
        <f t="shared" si="39"/>
        <v/>
      </c>
      <c r="S862" s="14" t="str">
        <f t="shared" si="40"/>
        <v/>
      </c>
      <c r="T862" s="14" t="s">
        <v>72</v>
      </c>
      <c r="U862" s="14">
        <v>0</v>
      </c>
      <c r="V862">
        <v>3297</v>
      </c>
      <c r="W862">
        <v>18.433251953125001</v>
      </c>
      <c r="X862">
        <v>52.797682168855303</v>
      </c>
      <c r="Y862">
        <v>1.0018070160302499</v>
      </c>
      <c r="Z862" s="31">
        <v>3.9140486821675</v>
      </c>
      <c r="AA862">
        <v>2.6906270747894601</v>
      </c>
      <c r="AB862">
        <v>0.13</v>
      </c>
      <c r="AC862">
        <v>621774.52984523203</v>
      </c>
      <c r="AD862">
        <v>711496.59450189909</v>
      </c>
      <c r="AE862">
        <v>1</v>
      </c>
      <c r="AF862">
        <v>1345.6152561294321</v>
      </c>
      <c r="AG862">
        <v>73431.446927322875</v>
      </c>
    </row>
    <row r="863" spans="2:33" hidden="1" x14ac:dyDescent="0.25">
      <c r="B863">
        <v>15</v>
      </c>
      <c r="C863" t="s">
        <v>45</v>
      </c>
      <c r="D863" t="s">
        <v>26</v>
      </c>
      <c r="E863" t="s">
        <v>68</v>
      </c>
      <c r="F863">
        <v>128417</v>
      </c>
      <c r="G863">
        <v>128417</v>
      </c>
      <c r="H863">
        <v>54</v>
      </c>
      <c r="I863" s="5">
        <v>0</v>
      </c>
      <c r="J863">
        <v>0</v>
      </c>
      <c r="K863">
        <v>16000</v>
      </c>
      <c r="L863">
        <v>203437</v>
      </c>
      <c r="M863">
        <v>167252</v>
      </c>
      <c r="N863">
        <v>10337</v>
      </c>
      <c r="O863" s="43">
        <v>68064696.057600006</v>
      </c>
      <c r="P863" s="14">
        <f t="shared" si="41"/>
        <v>449713.33385616541</v>
      </c>
      <c r="Q863" s="14" t="str">
        <f t="shared" si="39"/>
        <v/>
      </c>
      <c r="R863" s="14" t="str">
        <f t="shared" si="39"/>
        <v/>
      </c>
      <c r="S863" s="14" t="str">
        <f t="shared" si="40"/>
        <v/>
      </c>
      <c r="T863" s="14" t="s">
        <v>72</v>
      </c>
      <c r="U863" s="14">
        <v>0</v>
      </c>
      <c r="V863">
        <v>3297</v>
      </c>
      <c r="W863">
        <v>18.868066406250001</v>
      </c>
      <c r="X863">
        <v>51.637414298383902</v>
      </c>
      <c r="Y863">
        <v>1.0546929312523099</v>
      </c>
      <c r="Z863" s="31">
        <v>2.6596291968441901</v>
      </c>
      <c r="AA863">
        <v>7.6161791263146599</v>
      </c>
      <c r="AB863">
        <v>0.13</v>
      </c>
      <c r="AC863">
        <v>621774.52984523203</v>
      </c>
      <c r="AD863">
        <v>711496.59450189909</v>
      </c>
      <c r="AE863">
        <v>1</v>
      </c>
      <c r="AF863">
        <v>1345.6152561294321</v>
      </c>
      <c r="AG863">
        <v>73431.446927322875</v>
      </c>
    </row>
    <row r="864" spans="2:33" hidden="1" x14ac:dyDescent="0.25">
      <c r="B864">
        <v>15</v>
      </c>
      <c r="C864" t="s">
        <v>45</v>
      </c>
      <c r="D864" t="s">
        <v>26</v>
      </c>
      <c r="E864" t="s">
        <v>68</v>
      </c>
      <c r="F864">
        <v>128417</v>
      </c>
      <c r="G864">
        <v>128417</v>
      </c>
      <c r="H864">
        <v>55</v>
      </c>
      <c r="I864" s="5">
        <v>0</v>
      </c>
      <c r="J864">
        <v>0</v>
      </c>
      <c r="K864">
        <v>16000</v>
      </c>
      <c r="L864">
        <v>203437</v>
      </c>
      <c r="M864">
        <v>167252</v>
      </c>
      <c r="N864">
        <v>10337</v>
      </c>
      <c r="O864" s="43">
        <v>68740777.259420112</v>
      </c>
      <c r="P864" s="14">
        <f t="shared" si="41"/>
        <v>676081.20182010531</v>
      </c>
      <c r="Q864" s="14" t="str">
        <f t="shared" si="39"/>
        <v/>
      </c>
      <c r="R864" s="14" t="str">
        <f t="shared" si="39"/>
        <v/>
      </c>
      <c r="S864" s="14" t="str">
        <f t="shared" si="40"/>
        <v/>
      </c>
      <c r="T864" s="14" t="s">
        <v>72</v>
      </c>
      <c r="U864" s="14">
        <v>0</v>
      </c>
      <c r="V864">
        <v>3297</v>
      </c>
      <c r="W864">
        <v>17.742456054687501</v>
      </c>
      <c r="X864">
        <v>76.3890533439493</v>
      </c>
      <c r="Y864">
        <v>0.47974075672901401</v>
      </c>
      <c r="Z864" s="31">
        <v>3.7281336644293601</v>
      </c>
      <c r="AA864">
        <v>5.9541579840265699</v>
      </c>
      <c r="AB864">
        <v>0.13</v>
      </c>
      <c r="AC864">
        <v>621774.52984523203</v>
      </c>
      <c r="AD864">
        <v>711496.59450189909</v>
      </c>
      <c r="AE864">
        <v>1</v>
      </c>
      <c r="AF864">
        <v>1345.6152561294321</v>
      </c>
      <c r="AG864">
        <v>73431.446927322875</v>
      </c>
    </row>
    <row r="865" spans="2:33" hidden="1" x14ac:dyDescent="0.25">
      <c r="B865">
        <v>15</v>
      </c>
      <c r="C865" t="s">
        <v>45</v>
      </c>
      <c r="D865" t="s">
        <v>26</v>
      </c>
      <c r="E865" t="s">
        <v>68</v>
      </c>
      <c r="F865">
        <v>128417</v>
      </c>
      <c r="G865">
        <v>128417</v>
      </c>
      <c r="H865">
        <v>56</v>
      </c>
      <c r="I865" s="5">
        <v>0</v>
      </c>
      <c r="J865">
        <v>0</v>
      </c>
      <c r="K865">
        <v>16000</v>
      </c>
      <c r="L865">
        <v>203437</v>
      </c>
      <c r="M865">
        <v>167252</v>
      </c>
      <c r="N865">
        <v>10337</v>
      </c>
      <c r="O865" s="43">
        <v>68740777.259420112</v>
      </c>
      <c r="P865" s="14">
        <f t="shared" si="41"/>
        <v>0</v>
      </c>
      <c r="Q865" s="14" t="str">
        <f t="shared" si="39"/>
        <v/>
      </c>
      <c r="R865" s="14" t="str">
        <f t="shared" si="39"/>
        <v/>
      </c>
      <c r="S865" s="14" t="str">
        <f t="shared" si="40"/>
        <v/>
      </c>
      <c r="T865" s="14" t="s">
        <v>72</v>
      </c>
      <c r="U865" s="14">
        <v>0</v>
      </c>
      <c r="V865">
        <v>3297</v>
      </c>
      <c r="W865">
        <v>21.233422851562501</v>
      </c>
      <c r="X865">
        <v>47.554291705225602</v>
      </c>
      <c r="Y865">
        <v>1.3237174849745299</v>
      </c>
      <c r="Z865" s="31">
        <v>4.6342381555431498</v>
      </c>
      <c r="AA865">
        <v>17.6706518775879</v>
      </c>
      <c r="AB865">
        <v>0.13</v>
      </c>
      <c r="AC865">
        <v>621774.52984523203</v>
      </c>
      <c r="AD865">
        <v>711496.59450189909</v>
      </c>
      <c r="AE865">
        <v>1</v>
      </c>
      <c r="AF865">
        <v>1345.6152561294321</v>
      </c>
      <c r="AG865">
        <v>73431.446927322875</v>
      </c>
    </row>
    <row r="866" spans="2:33" hidden="1" x14ac:dyDescent="0.25">
      <c r="B866">
        <v>15</v>
      </c>
      <c r="C866" t="s">
        <v>45</v>
      </c>
      <c r="D866" t="s">
        <v>26</v>
      </c>
      <c r="E866" t="s">
        <v>68</v>
      </c>
      <c r="F866">
        <v>128417</v>
      </c>
      <c r="G866">
        <v>128417</v>
      </c>
      <c r="H866">
        <v>57</v>
      </c>
      <c r="I866" s="5">
        <v>0</v>
      </c>
      <c r="J866">
        <v>0</v>
      </c>
      <c r="K866">
        <v>16000</v>
      </c>
      <c r="L866">
        <v>203437</v>
      </c>
      <c r="M866">
        <v>167252</v>
      </c>
      <c r="N866">
        <v>10337</v>
      </c>
      <c r="O866" s="43">
        <v>69672953.367784798</v>
      </c>
      <c r="P866" s="14">
        <f t="shared" si="41"/>
        <v>932176.10836468637</v>
      </c>
      <c r="Q866" s="14" t="str">
        <f t="shared" si="39"/>
        <v/>
      </c>
      <c r="R866" s="14" t="str">
        <f t="shared" si="39"/>
        <v/>
      </c>
      <c r="S866" s="14" t="str">
        <f t="shared" si="40"/>
        <v/>
      </c>
      <c r="T866" s="14" t="s">
        <v>72</v>
      </c>
      <c r="U866" s="14">
        <v>0</v>
      </c>
      <c r="V866">
        <v>3297</v>
      </c>
      <c r="W866">
        <v>25.140893554687501</v>
      </c>
      <c r="X866">
        <v>32.724608043181199</v>
      </c>
      <c r="Y866">
        <v>2.1496623456347401</v>
      </c>
      <c r="Z866" s="31">
        <v>4.6556107634359902</v>
      </c>
      <c r="AA866">
        <v>9.4471444597729501</v>
      </c>
      <c r="AB866">
        <v>0.13</v>
      </c>
      <c r="AC866">
        <v>621774.52984523203</v>
      </c>
      <c r="AD866">
        <v>711496.59450189909</v>
      </c>
      <c r="AE866">
        <v>1</v>
      </c>
      <c r="AF866">
        <v>1345.6152561294321</v>
      </c>
      <c r="AG866">
        <v>73431.446927322875</v>
      </c>
    </row>
    <row r="867" spans="2:33" hidden="1" x14ac:dyDescent="0.25">
      <c r="B867">
        <v>15</v>
      </c>
      <c r="C867" t="s">
        <v>45</v>
      </c>
      <c r="D867" t="s">
        <v>26</v>
      </c>
      <c r="E867" t="s">
        <v>68</v>
      </c>
      <c r="F867">
        <v>128417</v>
      </c>
      <c r="G867">
        <v>128417</v>
      </c>
      <c r="H867">
        <v>58</v>
      </c>
      <c r="I867" s="5">
        <v>0</v>
      </c>
      <c r="J867">
        <v>0</v>
      </c>
      <c r="K867">
        <v>16000</v>
      </c>
      <c r="L867">
        <v>203437</v>
      </c>
      <c r="M867">
        <v>167252</v>
      </c>
      <c r="N867">
        <v>10337</v>
      </c>
      <c r="O867" s="43">
        <v>70161282.087795362</v>
      </c>
      <c r="P867" s="14">
        <f t="shared" si="41"/>
        <v>488328.72001056373</v>
      </c>
      <c r="Q867" s="14" t="str">
        <f t="shared" si="39"/>
        <v/>
      </c>
      <c r="R867" s="14" t="str">
        <f t="shared" si="39"/>
        <v/>
      </c>
      <c r="S867" s="14" t="str">
        <f t="shared" si="40"/>
        <v/>
      </c>
      <c r="T867" s="14" t="s">
        <v>72</v>
      </c>
      <c r="U867" s="14">
        <v>0</v>
      </c>
      <c r="V867">
        <v>3297</v>
      </c>
      <c r="W867">
        <v>25.058251953125001</v>
      </c>
      <c r="X867">
        <v>30.738604013548201</v>
      </c>
      <c r="Y867">
        <v>2.20235253802664</v>
      </c>
      <c r="Z867" s="31">
        <v>4.8959180122910499</v>
      </c>
      <c r="AA867">
        <v>6.1584655073366399</v>
      </c>
      <c r="AB867">
        <v>0.13</v>
      </c>
      <c r="AC867">
        <v>621774.52984523203</v>
      </c>
      <c r="AD867">
        <v>711496.59450189909</v>
      </c>
      <c r="AE867">
        <v>1</v>
      </c>
      <c r="AF867">
        <v>1345.6152561294321</v>
      </c>
      <c r="AG867">
        <v>73431.446927322875</v>
      </c>
    </row>
    <row r="868" spans="2:33" hidden="1" x14ac:dyDescent="0.25">
      <c r="B868">
        <v>15</v>
      </c>
      <c r="C868" t="s">
        <v>45</v>
      </c>
      <c r="D868" t="s">
        <v>26</v>
      </c>
      <c r="E868" t="s">
        <v>68</v>
      </c>
      <c r="F868">
        <v>128417</v>
      </c>
      <c r="G868">
        <v>128417</v>
      </c>
      <c r="H868">
        <v>59</v>
      </c>
      <c r="I868" s="5">
        <v>0</v>
      </c>
      <c r="J868">
        <v>0</v>
      </c>
      <c r="K868">
        <v>16000</v>
      </c>
      <c r="L868">
        <v>203437</v>
      </c>
      <c r="M868">
        <v>167252</v>
      </c>
      <c r="N868">
        <v>10337</v>
      </c>
      <c r="O868" s="43">
        <v>70648344.035470083</v>
      </c>
      <c r="P868" s="14">
        <f t="shared" si="41"/>
        <v>487061.94767472148</v>
      </c>
      <c r="Q868" s="14" t="str">
        <f t="shared" si="39"/>
        <v/>
      </c>
      <c r="R868" s="14" t="str">
        <f t="shared" si="39"/>
        <v/>
      </c>
      <c r="S868" s="14" t="str">
        <f t="shared" si="40"/>
        <v/>
      </c>
      <c r="T868" s="14" t="s">
        <v>72</v>
      </c>
      <c r="U868" s="14">
        <v>0</v>
      </c>
      <c r="V868">
        <v>3297</v>
      </c>
      <c r="W868">
        <v>25.274682617187501</v>
      </c>
      <c r="X868">
        <v>38.1435877408274</v>
      </c>
      <c r="Y868">
        <v>1.9920794306644101</v>
      </c>
      <c r="Z868" s="31">
        <v>4.5969338712735004</v>
      </c>
      <c r="AA868">
        <v>7.6140307444822799</v>
      </c>
      <c r="AB868">
        <v>0.13</v>
      </c>
      <c r="AC868">
        <v>621774.52984523203</v>
      </c>
      <c r="AD868">
        <v>711496.59450189909</v>
      </c>
      <c r="AE868">
        <v>1</v>
      </c>
      <c r="AF868">
        <v>1345.6152561294321</v>
      </c>
      <c r="AG868">
        <v>73431.446927322875</v>
      </c>
    </row>
    <row r="869" spans="2:33" hidden="1" x14ac:dyDescent="0.25">
      <c r="B869">
        <v>15</v>
      </c>
      <c r="C869" t="s">
        <v>45</v>
      </c>
      <c r="D869" t="s">
        <v>26</v>
      </c>
      <c r="E869" t="s">
        <v>68</v>
      </c>
      <c r="F869">
        <v>128417</v>
      </c>
      <c r="G869">
        <v>128417</v>
      </c>
      <c r="H869">
        <v>60</v>
      </c>
      <c r="I869" s="5">
        <v>0</v>
      </c>
      <c r="J869">
        <v>0</v>
      </c>
      <c r="K869">
        <v>16000</v>
      </c>
      <c r="L869">
        <v>203437</v>
      </c>
      <c r="M869">
        <v>167252</v>
      </c>
      <c r="N869">
        <v>10337</v>
      </c>
      <c r="O869" s="43">
        <v>70884405.400976643</v>
      </c>
      <c r="P869" s="14">
        <f t="shared" si="41"/>
        <v>236061.36550655961</v>
      </c>
      <c r="Q869" s="14" t="str">
        <f t="shared" si="39"/>
        <v/>
      </c>
      <c r="R869" s="14" t="str">
        <f t="shared" si="39"/>
        <v/>
      </c>
      <c r="S869" s="14" t="str">
        <f t="shared" si="40"/>
        <v/>
      </c>
      <c r="T869" s="14" t="s">
        <v>72</v>
      </c>
      <c r="U869" s="14">
        <v>0</v>
      </c>
      <c r="V869">
        <v>3297</v>
      </c>
      <c r="W869">
        <v>26.838403320312501</v>
      </c>
      <c r="X869">
        <v>29.553792540124999</v>
      </c>
      <c r="Y869">
        <v>2.48838449003365</v>
      </c>
      <c r="Z869" s="31">
        <v>0.36652438323563502</v>
      </c>
      <c r="AA869">
        <v>3.73275322072783</v>
      </c>
      <c r="AB869">
        <v>0.13</v>
      </c>
      <c r="AC869">
        <v>621774.52984523203</v>
      </c>
      <c r="AD869">
        <v>711496.59450189909</v>
      </c>
      <c r="AE869">
        <v>1</v>
      </c>
      <c r="AF869">
        <v>1345.6152561294321</v>
      </c>
      <c r="AG869">
        <v>73431.446927322875</v>
      </c>
    </row>
    <row r="870" spans="2:33" hidden="1" x14ac:dyDescent="0.25">
      <c r="B870">
        <v>15</v>
      </c>
      <c r="C870" t="s">
        <v>45</v>
      </c>
      <c r="D870" t="s">
        <v>26</v>
      </c>
      <c r="E870" t="s">
        <v>68</v>
      </c>
      <c r="F870">
        <v>128417</v>
      </c>
      <c r="G870">
        <v>128417</v>
      </c>
      <c r="H870">
        <v>61</v>
      </c>
      <c r="I870" s="5">
        <v>0</v>
      </c>
      <c r="J870">
        <v>0</v>
      </c>
      <c r="K870">
        <v>16000</v>
      </c>
      <c r="L870">
        <v>203437</v>
      </c>
      <c r="M870">
        <v>167252</v>
      </c>
      <c r="N870">
        <v>10337</v>
      </c>
      <c r="O870" s="43">
        <v>71564054.506560013</v>
      </c>
      <c r="P870" s="14">
        <f t="shared" si="41"/>
        <v>679649.10558336973</v>
      </c>
      <c r="Q870" s="14" t="str">
        <f t="shared" si="39"/>
        <v/>
      </c>
      <c r="R870" s="14" t="str">
        <f t="shared" si="39"/>
        <v/>
      </c>
      <c r="S870" s="14" t="str">
        <f t="shared" si="40"/>
        <v/>
      </c>
      <c r="T870" s="14" t="s">
        <v>72</v>
      </c>
      <c r="U870" s="14">
        <v>0</v>
      </c>
      <c r="V870">
        <v>3297</v>
      </c>
      <c r="W870">
        <v>25.733666992187501</v>
      </c>
      <c r="X870">
        <v>28.4668467346002</v>
      </c>
      <c r="Y870">
        <v>2.3676357781365298</v>
      </c>
      <c r="Z870" s="31">
        <v>2.1888232167241299</v>
      </c>
      <c r="AA870">
        <v>1.4985940592417399</v>
      </c>
      <c r="AB870">
        <v>0.13</v>
      </c>
      <c r="AC870">
        <v>621774.52984523203</v>
      </c>
      <c r="AD870">
        <v>711496.59450189909</v>
      </c>
      <c r="AE870">
        <v>1</v>
      </c>
      <c r="AF870">
        <v>1345.6152561294321</v>
      </c>
      <c r="AG870">
        <v>73431.446927322875</v>
      </c>
    </row>
    <row r="871" spans="2:33" hidden="1" x14ac:dyDescent="0.25">
      <c r="B871">
        <v>15</v>
      </c>
      <c r="C871" t="s">
        <v>45</v>
      </c>
      <c r="D871" t="s">
        <v>26</v>
      </c>
      <c r="E871" t="s">
        <v>68</v>
      </c>
      <c r="F871">
        <v>128417</v>
      </c>
      <c r="G871">
        <v>128417</v>
      </c>
      <c r="H871">
        <v>62</v>
      </c>
      <c r="I871" s="5">
        <v>0</v>
      </c>
      <c r="J871">
        <v>0</v>
      </c>
      <c r="K871">
        <v>16000</v>
      </c>
      <c r="L871">
        <v>203437</v>
      </c>
      <c r="M871">
        <v>167252</v>
      </c>
      <c r="N871">
        <v>10337</v>
      </c>
      <c r="O871" s="43">
        <v>71982878.964480013</v>
      </c>
      <c r="P871" s="14">
        <f t="shared" si="41"/>
        <v>418824.45791999996</v>
      </c>
      <c r="Q871" s="14" t="str">
        <f t="shared" si="39"/>
        <v/>
      </c>
      <c r="R871" s="14" t="str">
        <f t="shared" si="39"/>
        <v/>
      </c>
      <c r="S871" s="14" t="str">
        <f t="shared" si="40"/>
        <v/>
      </c>
      <c r="T871" s="14" t="s">
        <v>72</v>
      </c>
      <c r="U871" s="14">
        <v>0</v>
      </c>
      <c r="V871">
        <v>3297</v>
      </c>
      <c r="W871">
        <v>25.972924804687501</v>
      </c>
      <c r="X871">
        <v>37.055997361680603</v>
      </c>
      <c r="Y871">
        <v>2.1126780431027199</v>
      </c>
      <c r="Z871" s="31">
        <v>1.9927951433592701</v>
      </c>
      <c r="AA871">
        <v>3.1227579397675398</v>
      </c>
      <c r="AB871">
        <v>0.13</v>
      </c>
      <c r="AC871">
        <v>621774.52984523203</v>
      </c>
      <c r="AD871">
        <v>711496.59450189909</v>
      </c>
      <c r="AE871">
        <v>1</v>
      </c>
      <c r="AF871">
        <v>1345.6152561294321</v>
      </c>
      <c r="AG871">
        <v>73431.446927322875</v>
      </c>
    </row>
    <row r="872" spans="2:33" hidden="1" x14ac:dyDescent="0.25">
      <c r="B872">
        <v>15</v>
      </c>
      <c r="C872" t="s">
        <v>45</v>
      </c>
      <c r="D872" t="s">
        <v>26</v>
      </c>
      <c r="E872" t="s">
        <v>68</v>
      </c>
      <c r="F872">
        <v>128417</v>
      </c>
      <c r="G872">
        <v>128417</v>
      </c>
      <c r="H872">
        <v>63</v>
      </c>
      <c r="I872" s="5">
        <v>0</v>
      </c>
      <c r="J872">
        <v>0</v>
      </c>
      <c r="K872">
        <v>16000</v>
      </c>
      <c r="L872">
        <v>203437</v>
      </c>
      <c r="M872">
        <v>167252</v>
      </c>
      <c r="N872">
        <v>10337</v>
      </c>
      <c r="O872" s="43">
        <v>72413146.71360001</v>
      </c>
      <c r="P872" s="14">
        <f t="shared" si="41"/>
        <v>430267.74911999702</v>
      </c>
      <c r="Q872" s="14" t="str">
        <f t="shared" si="39"/>
        <v/>
      </c>
      <c r="R872" s="14" t="str">
        <f t="shared" si="39"/>
        <v/>
      </c>
      <c r="S872" s="14" t="str">
        <f t="shared" si="40"/>
        <v/>
      </c>
      <c r="T872" s="14" t="s">
        <v>72</v>
      </c>
      <c r="U872" s="14">
        <v>0</v>
      </c>
      <c r="V872">
        <v>3297</v>
      </c>
      <c r="W872">
        <v>21.969628906250001</v>
      </c>
      <c r="X872">
        <v>47.2235053651412</v>
      </c>
      <c r="Y872">
        <v>1.39328531114514</v>
      </c>
      <c r="Z872" s="31">
        <v>2.2132600112904002</v>
      </c>
      <c r="AA872">
        <v>3.1646256303712899</v>
      </c>
      <c r="AB872">
        <v>0.13</v>
      </c>
      <c r="AC872">
        <v>621774.52984523203</v>
      </c>
      <c r="AD872">
        <v>711496.59450189909</v>
      </c>
      <c r="AE872">
        <v>1</v>
      </c>
      <c r="AF872">
        <v>1345.6152561294321</v>
      </c>
      <c r="AG872">
        <v>73431.446927322875</v>
      </c>
    </row>
    <row r="873" spans="2:33" hidden="1" x14ac:dyDescent="0.25">
      <c r="B873">
        <v>15</v>
      </c>
      <c r="C873" t="s">
        <v>45</v>
      </c>
      <c r="D873" t="s">
        <v>26</v>
      </c>
      <c r="E873" t="s">
        <v>68</v>
      </c>
      <c r="F873">
        <v>128417</v>
      </c>
      <c r="G873">
        <v>128417</v>
      </c>
      <c r="H873">
        <v>64</v>
      </c>
      <c r="I873" s="5">
        <v>0</v>
      </c>
      <c r="J873">
        <v>0</v>
      </c>
      <c r="K873">
        <v>16000</v>
      </c>
      <c r="L873">
        <v>203437</v>
      </c>
      <c r="M873">
        <v>167252</v>
      </c>
      <c r="N873">
        <v>10337</v>
      </c>
      <c r="O873" s="43">
        <v>72978445.298880011</v>
      </c>
      <c r="P873" s="14">
        <f t="shared" si="41"/>
        <v>565298.58528000116</v>
      </c>
      <c r="Q873" s="14" t="str">
        <f t="shared" si="39"/>
        <v/>
      </c>
      <c r="R873" s="14" t="str">
        <f t="shared" si="39"/>
        <v/>
      </c>
      <c r="S873" s="14" t="str">
        <f t="shared" si="40"/>
        <v/>
      </c>
      <c r="T873" s="14" t="s">
        <v>72</v>
      </c>
      <c r="U873" s="14">
        <v>0</v>
      </c>
      <c r="V873">
        <v>3297</v>
      </c>
      <c r="W873">
        <v>22.021264648437501</v>
      </c>
      <c r="X873">
        <v>49.004176776441398</v>
      </c>
      <c r="Y873">
        <v>1.35047597559551</v>
      </c>
      <c r="Z873" s="31">
        <v>2.45724453975415</v>
      </c>
      <c r="AA873">
        <v>6.0838296523289799</v>
      </c>
      <c r="AB873">
        <v>0.13</v>
      </c>
      <c r="AC873">
        <v>621774.52984523203</v>
      </c>
      <c r="AD873">
        <v>711496.59450189909</v>
      </c>
      <c r="AE873">
        <v>1</v>
      </c>
      <c r="AF873">
        <v>1345.6152561294321</v>
      </c>
      <c r="AG873">
        <v>73431.446927322875</v>
      </c>
    </row>
    <row r="874" spans="2:33" hidden="1" x14ac:dyDescent="0.25">
      <c r="B874">
        <v>15</v>
      </c>
      <c r="C874" t="s">
        <v>45</v>
      </c>
      <c r="D874" t="s">
        <v>26</v>
      </c>
      <c r="E874" t="s">
        <v>68</v>
      </c>
      <c r="F874">
        <v>128417</v>
      </c>
      <c r="G874">
        <v>128417</v>
      </c>
      <c r="H874">
        <v>65</v>
      </c>
      <c r="I874" s="5">
        <v>0</v>
      </c>
      <c r="J874">
        <v>0</v>
      </c>
      <c r="K874">
        <v>16000</v>
      </c>
      <c r="L874">
        <v>203437</v>
      </c>
      <c r="M874">
        <v>167252</v>
      </c>
      <c r="N874">
        <v>10337</v>
      </c>
      <c r="O874" s="43">
        <v>73142084.36304</v>
      </c>
      <c r="P874" s="14">
        <f t="shared" si="41"/>
        <v>163639.06415998936</v>
      </c>
      <c r="Q874" s="14" t="str">
        <f t="shared" si="39"/>
        <v/>
      </c>
      <c r="R874" s="14" t="str">
        <f t="shared" si="39"/>
        <v/>
      </c>
      <c r="S874" s="14" t="str">
        <f t="shared" si="40"/>
        <v/>
      </c>
      <c r="T874" s="14" t="s">
        <v>72</v>
      </c>
      <c r="U874" s="14">
        <v>0</v>
      </c>
      <c r="V874">
        <v>3297</v>
      </c>
      <c r="W874">
        <v>22.248071289062501</v>
      </c>
      <c r="X874">
        <v>44.822712377103997</v>
      </c>
      <c r="Y874">
        <v>1.48158488459935</v>
      </c>
      <c r="Z874" s="31">
        <v>2.5326316478590298</v>
      </c>
      <c r="AA874">
        <v>4.5514443525296304</v>
      </c>
      <c r="AB874">
        <v>0.13</v>
      </c>
      <c r="AC874">
        <v>621774.52984523203</v>
      </c>
      <c r="AD874">
        <v>711496.59450189909</v>
      </c>
      <c r="AE874">
        <v>1</v>
      </c>
      <c r="AF874">
        <v>1345.6152561294321</v>
      </c>
      <c r="AG874">
        <v>73431.446927322875</v>
      </c>
    </row>
    <row r="875" spans="2:33" hidden="1" x14ac:dyDescent="0.25">
      <c r="B875">
        <v>15</v>
      </c>
      <c r="C875" t="s">
        <v>45</v>
      </c>
      <c r="D875" t="s">
        <v>26</v>
      </c>
      <c r="E875" t="s">
        <v>68</v>
      </c>
      <c r="F875">
        <v>128417</v>
      </c>
      <c r="G875">
        <v>128417</v>
      </c>
      <c r="H875">
        <v>66</v>
      </c>
      <c r="I875" s="5">
        <v>0</v>
      </c>
      <c r="J875">
        <v>0</v>
      </c>
      <c r="K875">
        <v>16000</v>
      </c>
      <c r="L875">
        <v>203437</v>
      </c>
      <c r="M875">
        <v>167252</v>
      </c>
      <c r="N875">
        <v>10337</v>
      </c>
      <c r="O875" s="43">
        <v>73425877.984800011</v>
      </c>
      <c r="P875" s="14">
        <f t="shared" si="41"/>
        <v>283793.62176001072</v>
      </c>
      <c r="Q875" s="14" t="str">
        <f t="shared" si="39"/>
        <v/>
      </c>
      <c r="R875" s="14" t="str">
        <f t="shared" si="39"/>
        <v/>
      </c>
      <c r="S875" s="14" t="str">
        <f t="shared" si="40"/>
        <v/>
      </c>
      <c r="T875" s="14" t="s">
        <v>72</v>
      </c>
      <c r="U875" s="14">
        <v>0</v>
      </c>
      <c r="V875">
        <v>3297</v>
      </c>
      <c r="W875">
        <v>21.578759765625001</v>
      </c>
      <c r="X875">
        <v>48.123783367882702</v>
      </c>
      <c r="Y875">
        <v>1.33726206683827</v>
      </c>
      <c r="Z875" s="31">
        <v>1.82834019232444</v>
      </c>
      <c r="AA875">
        <v>5.9652605339938596</v>
      </c>
      <c r="AB875">
        <v>0.13</v>
      </c>
      <c r="AC875">
        <v>621774.52984523203</v>
      </c>
      <c r="AD875">
        <v>711496.59450189909</v>
      </c>
      <c r="AE875">
        <v>1</v>
      </c>
      <c r="AF875">
        <v>1345.6152561294321</v>
      </c>
      <c r="AG875">
        <v>73431.446927322875</v>
      </c>
    </row>
    <row r="876" spans="2:33" hidden="1" x14ac:dyDescent="0.25">
      <c r="B876">
        <v>15</v>
      </c>
      <c r="C876" t="s">
        <v>45</v>
      </c>
      <c r="D876" t="s">
        <v>26</v>
      </c>
      <c r="E876" t="s">
        <v>68</v>
      </c>
      <c r="F876">
        <v>128417</v>
      </c>
      <c r="G876">
        <v>128417</v>
      </c>
      <c r="H876">
        <v>67</v>
      </c>
      <c r="I876" s="5">
        <v>0</v>
      </c>
      <c r="J876">
        <v>0</v>
      </c>
      <c r="K876">
        <v>16000</v>
      </c>
      <c r="L876">
        <v>203437</v>
      </c>
      <c r="M876">
        <v>167252</v>
      </c>
      <c r="N876">
        <v>10337</v>
      </c>
      <c r="O876" s="43">
        <v>73773754.037280008</v>
      </c>
      <c r="P876" s="14">
        <f t="shared" si="41"/>
        <v>347876.05247999728</v>
      </c>
      <c r="Q876" s="14" t="str">
        <f t="shared" si="39"/>
        <v/>
      </c>
      <c r="R876" s="14" t="str">
        <f t="shared" si="39"/>
        <v/>
      </c>
      <c r="S876" s="14" t="str">
        <f t="shared" si="40"/>
        <v/>
      </c>
      <c r="T876" s="14" t="s">
        <v>72</v>
      </c>
      <c r="U876" s="14">
        <v>0</v>
      </c>
      <c r="V876">
        <v>3297</v>
      </c>
      <c r="W876">
        <v>17.713037109375001</v>
      </c>
      <c r="X876">
        <v>73.311659953595907</v>
      </c>
      <c r="Y876">
        <v>0.54128670401032397</v>
      </c>
      <c r="Z876" s="31">
        <v>2.2122499367247799</v>
      </c>
      <c r="AA876">
        <v>8.8090027828890296</v>
      </c>
      <c r="AB876">
        <v>0.13</v>
      </c>
      <c r="AC876">
        <v>621774.52984523203</v>
      </c>
      <c r="AD876">
        <v>711496.59450189909</v>
      </c>
      <c r="AE876">
        <v>1</v>
      </c>
      <c r="AF876">
        <v>1345.6152561294321</v>
      </c>
      <c r="AG876">
        <v>73431.446927322875</v>
      </c>
    </row>
    <row r="877" spans="2:33" hidden="1" x14ac:dyDescent="0.25">
      <c r="B877">
        <v>15</v>
      </c>
      <c r="C877" t="s">
        <v>45</v>
      </c>
      <c r="D877" t="s">
        <v>26</v>
      </c>
      <c r="E877" t="s">
        <v>68</v>
      </c>
      <c r="F877">
        <v>128417</v>
      </c>
      <c r="G877">
        <v>128417</v>
      </c>
      <c r="H877">
        <v>68</v>
      </c>
      <c r="I877" s="5">
        <v>0</v>
      </c>
      <c r="J877">
        <v>0</v>
      </c>
      <c r="K877">
        <v>16000</v>
      </c>
      <c r="L877">
        <v>203437</v>
      </c>
      <c r="M877">
        <v>167252</v>
      </c>
      <c r="N877">
        <v>10337</v>
      </c>
      <c r="O877" s="43">
        <v>73773754.037280008</v>
      </c>
      <c r="P877" s="14">
        <f t="shared" si="41"/>
        <v>0</v>
      </c>
      <c r="Q877" s="14" t="str">
        <f t="shared" si="39"/>
        <v/>
      </c>
      <c r="R877" s="14" t="str">
        <f t="shared" si="39"/>
        <v/>
      </c>
      <c r="S877" s="14" t="str">
        <f t="shared" si="40"/>
        <v/>
      </c>
      <c r="T877" s="14" t="s">
        <v>72</v>
      </c>
      <c r="U877" s="14">
        <v>0</v>
      </c>
      <c r="V877">
        <v>3297</v>
      </c>
      <c r="W877">
        <v>18.143823242187501</v>
      </c>
      <c r="X877">
        <v>74.141486159466098</v>
      </c>
      <c r="Y877">
        <v>0.53882473446745605</v>
      </c>
      <c r="Z877" s="31">
        <v>2.2161912589205102</v>
      </c>
      <c r="AA877">
        <v>2.3868317049088801</v>
      </c>
      <c r="AB877">
        <v>0.13</v>
      </c>
      <c r="AC877">
        <v>621774.52984523203</v>
      </c>
      <c r="AD877">
        <v>711496.59450189909</v>
      </c>
      <c r="AE877">
        <v>1</v>
      </c>
      <c r="AF877">
        <v>1345.6152561294321</v>
      </c>
      <c r="AG877">
        <v>73431.446927322875</v>
      </c>
    </row>
    <row r="878" spans="2:33" hidden="1" x14ac:dyDescent="0.25">
      <c r="B878">
        <v>15</v>
      </c>
      <c r="C878" t="s">
        <v>45</v>
      </c>
      <c r="D878" t="s">
        <v>26</v>
      </c>
      <c r="E878" t="s">
        <v>68</v>
      </c>
      <c r="F878">
        <v>128417</v>
      </c>
      <c r="G878">
        <v>128417</v>
      </c>
      <c r="H878">
        <v>69</v>
      </c>
      <c r="I878" s="5">
        <v>0</v>
      </c>
      <c r="J878">
        <v>0</v>
      </c>
      <c r="K878">
        <v>16000</v>
      </c>
      <c r="L878">
        <v>203437</v>
      </c>
      <c r="M878">
        <v>167252</v>
      </c>
      <c r="N878">
        <v>10337</v>
      </c>
      <c r="O878" s="43">
        <v>74348207.255520001</v>
      </c>
      <c r="P878" s="14">
        <f t="shared" si="41"/>
        <v>574453.21823999286</v>
      </c>
      <c r="Q878" s="14" t="str">
        <f t="shared" si="39"/>
        <v/>
      </c>
      <c r="R878" s="14" t="str">
        <f t="shared" si="39"/>
        <v/>
      </c>
      <c r="S878" s="14" t="str">
        <f t="shared" si="40"/>
        <v/>
      </c>
      <c r="T878" s="14" t="s">
        <v>72</v>
      </c>
      <c r="U878" s="14">
        <v>0</v>
      </c>
      <c r="V878">
        <v>3297</v>
      </c>
      <c r="W878">
        <v>17.115625000000001</v>
      </c>
      <c r="X878">
        <v>76.7386848251858</v>
      </c>
      <c r="Y878">
        <v>0.45433181934720501</v>
      </c>
      <c r="Z878" s="31">
        <v>2.19232957962251</v>
      </c>
      <c r="AA878">
        <v>3.3318960916304401</v>
      </c>
      <c r="AB878">
        <v>0.13</v>
      </c>
      <c r="AC878">
        <v>621774.52984523203</v>
      </c>
      <c r="AD878">
        <v>711496.59450189909</v>
      </c>
      <c r="AE878">
        <v>1</v>
      </c>
      <c r="AF878">
        <v>1345.6152561294321</v>
      </c>
      <c r="AG878">
        <v>73431.446927322875</v>
      </c>
    </row>
    <row r="879" spans="2:33" hidden="1" x14ac:dyDescent="0.25">
      <c r="B879">
        <v>15</v>
      </c>
      <c r="C879" t="s">
        <v>45</v>
      </c>
      <c r="D879" t="s">
        <v>26</v>
      </c>
      <c r="E879" t="s">
        <v>68</v>
      </c>
      <c r="F879">
        <v>128417</v>
      </c>
      <c r="G879">
        <v>128417</v>
      </c>
      <c r="H879">
        <v>70</v>
      </c>
      <c r="I879" s="5">
        <v>0</v>
      </c>
      <c r="J879">
        <v>0</v>
      </c>
      <c r="K879">
        <v>16000</v>
      </c>
      <c r="L879">
        <v>203437</v>
      </c>
      <c r="M879">
        <v>167252</v>
      </c>
      <c r="N879">
        <v>10337</v>
      </c>
      <c r="O879" s="43">
        <v>74547320.522400007</v>
      </c>
      <c r="P879" s="14">
        <f t="shared" si="41"/>
        <v>199113.2668800056</v>
      </c>
      <c r="Q879" s="14" t="str">
        <f t="shared" si="39"/>
        <v/>
      </c>
      <c r="R879" s="14" t="str">
        <f t="shared" si="39"/>
        <v/>
      </c>
      <c r="S879" s="14" t="str">
        <f t="shared" si="40"/>
        <v/>
      </c>
      <c r="T879" s="14" t="s">
        <v>72</v>
      </c>
      <c r="U879" s="14">
        <v>0</v>
      </c>
      <c r="V879">
        <v>3297</v>
      </c>
      <c r="W879">
        <v>16.107598876953102</v>
      </c>
      <c r="X879">
        <v>68.372275862596297</v>
      </c>
      <c r="Y879">
        <v>0.57953735980372401</v>
      </c>
      <c r="Z879" s="31">
        <v>3.5757803387481299</v>
      </c>
      <c r="AA879">
        <v>16.8086524627304</v>
      </c>
      <c r="AB879">
        <v>0.13</v>
      </c>
      <c r="AC879">
        <v>621774.52984523203</v>
      </c>
      <c r="AD879">
        <v>711496.59450189909</v>
      </c>
      <c r="AE879">
        <v>1</v>
      </c>
      <c r="AF879">
        <v>1345.6152561294321</v>
      </c>
      <c r="AG879">
        <v>73431.446927322875</v>
      </c>
    </row>
    <row r="880" spans="2:33" hidden="1" x14ac:dyDescent="0.25">
      <c r="B880">
        <v>15</v>
      </c>
      <c r="C880" t="s">
        <v>45</v>
      </c>
      <c r="D880" t="s">
        <v>26</v>
      </c>
      <c r="E880" t="s">
        <v>68</v>
      </c>
      <c r="F880">
        <v>128417</v>
      </c>
      <c r="G880">
        <v>128417</v>
      </c>
      <c r="H880">
        <v>71</v>
      </c>
      <c r="I880" s="5">
        <v>0</v>
      </c>
      <c r="J880">
        <v>0</v>
      </c>
      <c r="K880">
        <v>16000</v>
      </c>
      <c r="L880">
        <v>203437</v>
      </c>
      <c r="M880">
        <v>167252</v>
      </c>
      <c r="N880">
        <v>10337</v>
      </c>
      <c r="O880" s="43">
        <v>74547320.522400007</v>
      </c>
      <c r="P880" s="14">
        <f t="shared" si="41"/>
        <v>0</v>
      </c>
      <c r="Q880" s="14" t="str">
        <f t="shared" si="39"/>
        <v/>
      </c>
      <c r="R880" s="14" t="str">
        <f t="shared" si="39"/>
        <v/>
      </c>
      <c r="S880" s="14" t="str">
        <f t="shared" si="40"/>
        <v/>
      </c>
      <c r="T880" s="14" t="s">
        <v>72</v>
      </c>
      <c r="U880" s="14">
        <v>0</v>
      </c>
      <c r="V880">
        <v>3297</v>
      </c>
      <c r="W880">
        <v>18.098748779296901</v>
      </c>
      <c r="X880">
        <v>33.3297658474171</v>
      </c>
      <c r="Y880">
        <v>1.3858885581788101</v>
      </c>
      <c r="Z880" s="31">
        <v>2.38233291429315</v>
      </c>
      <c r="AA880">
        <v>14.764616580886299</v>
      </c>
      <c r="AB880">
        <v>0.13</v>
      </c>
      <c r="AC880">
        <v>621774.52984523203</v>
      </c>
      <c r="AD880">
        <v>711496.59450189909</v>
      </c>
      <c r="AE880">
        <v>1</v>
      </c>
      <c r="AF880">
        <v>1345.6152561294321</v>
      </c>
      <c r="AG880">
        <v>73431.446927322875</v>
      </c>
    </row>
    <row r="881" spans="1:33" hidden="1" x14ac:dyDescent="0.25">
      <c r="B881">
        <v>15</v>
      </c>
      <c r="C881" t="s">
        <v>45</v>
      </c>
      <c r="D881" t="s">
        <v>26</v>
      </c>
      <c r="E881" t="s">
        <v>68</v>
      </c>
      <c r="F881">
        <v>128417</v>
      </c>
      <c r="G881">
        <v>128417</v>
      </c>
      <c r="H881">
        <v>72</v>
      </c>
      <c r="I881" s="5">
        <v>0</v>
      </c>
      <c r="J881">
        <v>0</v>
      </c>
      <c r="K881">
        <v>16000</v>
      </c>
      <c r="L881">
        <v>203437</v>
      </c>
      <c r="M881">
        <v>167252</v>
      </c>
      <c r="N881">
        <v>10337</v>
      </c>
      <c r="O881" s="43">
        <v>75239639.640000001</v>
      </c>
      <c r="P881" s="14">
        <f t="shared" si="41"/>
        <v>692319.11759999394</v>
      </c>
      <c r="Q881" s="14" t="str">
        <f t="shared" si="39"/>
        <v/>
      </c>
      <c r="R881" s="14" t="str">
        <f t="shared" si="39"/>
        <v/>
      </c>
      <c r="S881" s="14" t="str">
        <f t="shared" si="40"/>
        <v/>
      </c>
      <c r="T881" s="14" t="s">
        <v>72</v>
      </c>
      <c r="U881" s="14">
        <v>0</v>
      </c>
      <c r="V881">
        <v>3297</v>
      </c>
      <c r="W881">
        <v>18.612939453125001</v>
      </c>
      <c r="X881">
        <v>38.332958555159401</v>
      </c>
      <c r="Y881">
        <v>1.32377329438698</v>
      </c>
      <c r="Z881" s="31">
        <v>1.03002099214431</v>
      </c>
      <c r="AA881">
        <v>7.1628657746626399</v>
      </c>
      <c r="AB881">
        <v>0.13</v>
      </c>
      <c r="AC881">
        <v>621774.52984523203</v>
      </c>
      <c r="AD881">
        <v>711496.59450189909</v>
      </c>
      <c r="AE881">
        <v>1</v>
      </c>
      <c r="AF881">
        <v>1345.6152561294321</v>
      </c>
      <c r="AG881">
        <v>73431.446927322875</v>
      </c>
    </row>
    <row r="882" spans="1:33" hidden="1" x14ac:dyDescent="0.25">
      <c r="B882">
        <v>15</v>
      </c>
      <c r="C882" t="s">
        <v>45</v>
      </c>
      <c r="D882" t="s">
        <v>26</v>
      </c>
      <c r="E882" t="s">
        <v>68</v>
      </c>
      <c r="F882">
        <v>128417</v>
      </c>
      <c r="G882">
        <v>128417</v>
      </c>
      <c r="H882">
        <v>73</v>
      </c>
      <c r="I882" s="5">
        <v>0</v>
      </c>
      <c r="J882">
        <v>0</v>
      </c>
      <c r="K882">
        <v>16000</v>
      </c>
      <c r="L882">
        <v>203437</v>
      </c>
      <c r="M882">
        <v>167252</v>
      </c>
      <c r="N882">
        <v>10337</v>
      </c>
      <c r="O882" s="43">
        <v>75525721.920000002</v>
      </c>
      <c r="P882" s="14">
        <f t="shared" si="41"/>
        <v>286082.28000000119</v>
      </c>
      <c r="Q882" s="14" t="str">
        <f t="shared" si="39"/>
        <v/>
      </c>
      <c r="R882" s="14" t="str">
        <f t="shared" si="39"/>
        <v/>
      </c>
      <c r="S882" s="14" t="str">
        <f t="shared" si="40"/>
        <v/>
      </c>
      <c r="T882" s="14" t="s">
        <v>72</v>
      </c>
      <c r="U882" s="14">
        <v>0</v>
      </c>
      <c r="V882">
        <v>3297</v>
      </c>
      <c r="W882">
        <v>20.260888671875001</v>
      </c>
      <c r="X882">
        <v>24.4652790184739</v>
      </c>
      <c r="Y882">
        <v>1.79632550848539</v>
      </c>
      <c r="Z882" s="31">
        <v>1.5718538865450999</v>
      </c>
      <c r="AA882">
        <v>3.73593541316502</v>
      </c>
      <c r="AB882">
        <v>0.13</v>
      </c>
      <c r="AC882">
        <v>621774.52984523203</v>
      </c>
      <c r="AD882">
        <v>711496.59450189909</v>
      </c>
      <c r="AE882">
        <v>1</v>
      </c>
      <c r="AF882">
        <v>1345.6152561294321</v>
      </c>
      <c r="AG882">
        <v>73431.446927322875</v>
      </c>
    </row>
    <row r="883" spans="1:33" hidden="1" x14ac:dyDescent="0.25">
      <c r="B883">
        <v>15</v>
      </c>
      <c r="C883" t="s">
        <v>45</v>
      </c>
      <c r="D883" t="s">
        <v>26</v>
      </c>
      <c r="E883" t="s">
        <v>68</v>
      </c>
      <c r="F883">
        <v>128417</v>
      </c>
      <c r="G883">
        <v>128417</v>
      </c>
      <c r="H883">
        <v>74</v>
      </c>
      <c r="I883" s="5">
        <v>0</v>
      </c>
      <c r="J883">
        <v>0</v>
      </c>
      <c r="K883">
        <v>16000</v>
      </c>
      <c r="L883">
        <v>203437</v>
      </c>
      <c r="M883">
        <v>167252</v>
      </c>
      <c r="N883">
        <v>10337</v>
      </c>
      <c r="O883" s="43">
        <v>75811804.200000003</v>
      </c>
      <c r="P883" s="14">
        <f t="shared" si="41"/>
        <v>286082.28000000119</v>
      </c>
      <c r="Q883" s="14" t="str">
        <f t="shared" si="39"/>
        <v/>
      </c>
      <c r="R883" s="14" t="str">
        <f t="shared" si="39"/>
        <v/>
      </c>
      <c r="S883" s="14" t="str">
        <f t="shared" si="40"/>
        <v/>
      </c>
      <c r="T883" s="14" t="s">
        <v>72</v>
      </c>
      <c r="U883" s="14">
        <v>0</v>
      </c>
      <c r="V883">
        <v>3297</v>
      </c>
      <c r="W883">
        <v>20.154321289062501</v>
      </c>
      <c r="X883">
        <v>35.151942997891297</v>
      </c>
      <c r="Y883">
        <v>1.53194109589245</v>
      </c>
      <c r="Z883" s="31">
        <v>2.8285404499597302</v>
      </c>
      <c r="AA883">
        <v>2.7902363017138399</v>
      </c>
      <c r="AB883">
        <v>0.13</v>
      </c>
      <c r="AC883">
        <v>621774.52984523203</v>
      </c>
      <c r="AD883">
        <v>711496.59450189909</v>
      </c>
      <c r="AE883">
        <v>1</v>
      </c>
      <c r="AF883">
        <v>1345.6152561294321</v>
      </c>
      <c r="AG883">
        <v>73431.446927322875</v>
      </c>
    </row>
    <row r="884" spans="1:33" hidden="1" x14ac:dyDescent="0.25">
      <c r="B884">
        <v>15</v>
      </c>
      <c r="C884" t="s">
        <v>45</v>
      </c>
      <c r="D884" t="s">
        <v>26</v>
      </c>
      <c r="E884" t="s">
        <v>68</v>
      </c>
      <c r="F884">
        <v>128417</v>
      </c>
      <c r="G884">
        <v>128417</v>
      </c>
      <c r="H884">
        <v>75</v>
      </c>
      <c r="I884" s="5">
        <v>0</v>
      </c>
      <c r="J884">
        <v>0</v>
      </c>
      <c r="K884">
        <v>16000</v>
      </c>
      <c r="L884">
        <v>203437</v>
      </c>
      <c r="M884">
        <v>167252</v>
      </c>
      <c r="N884">
        <v>10337</v>
      </c>
      <c r="O884" s="43">
        <v>84680354.88000001</v>
      </c>
      <c r="P884" s="14">
        <f t="shared" si="41"/>
        <v>8868550.6800000072</v>
      </c>
      <c r="Q884" s="14" t="str">
        <f t="shared" si="39"/>
        <v/>
      </c>
      <c r="R884" s="14" t="str">
        <f t="shared" si="39"/>
        <v/>
      </c>
      <c r="S884" s="14" t="str">
        <f t="shared" si="40"/>
        <v/>
      </c>
      <c r="T884" s="14" t="s">
        <v>72</v>
      </c>
      <c r="U884" s="14">
        <v>0</v>
      </c>
      <c r="V884">
        <v>3297</v>
      </c>
      <c r="W884">
        <v>20.472558593750001</v>
      </c>
      <c r="X884">
        <v>39.029457254294002</v>
      </c>
      <c r="Y884">
        <v>1.4688184389476899</v>
      </c>
      <c r="Z884" s="31">
        <v>3.6158211421303599</v>
      </c>
      <c r="AA884">
        <v>4.06215327315208</v>
      </c>
      <c r="AB884">
        <v>0.13</v>
      </c>
      <c r="AC884">
        <v>621774.52984523203</v>
      </c>
      <c r="AD884">
        <v>711496.59450189909</v>
      </c>
      <c r="AE884">
        <v>1</v>
      </c>
      <c r="AF884">
        <v>1345.6152561294321</v>
      </c>
      <c r="AG884">
        <v>73431.446927322875</v>
      </c>
    </row>
    <row r="885" spans="1:33" hidden="1" x14ac:dyDescent="0.25">
      <c r="A885" t="s">
        <v>104</v>
      </c>
      <c r="B885">
        <v>16</v>
      </c>
      <c r="C885" t="s">
        <v>46</v>
      </c>
      <c r="D885" t="s">
        <v>41</v>
      </c>
      <c r="E885" t="s">
        <v>69</v>
      </c>
      <c r="F885">
        <v>388</v>
      </c>
      <c r="G885">
        <v>193812</v>
      </c>
      <c r="H885">
        <v>1</v>
      </c>
      <c r="I885" s="5">
        <v>0</v>
      </c>
      <c r="J885">
        <v>6.8065960828018912E-2</v>
      </c>
      <c r="K885">
        <v>627646</v>
      </c>
      <c r="L885">
        <v>23258</v>
      </c>
      <c r="M885">
        <v>280</v>
      </c>
      <c r="N885">
        <v>44565</v>
      </c>
      <c r="O885" s="43">
        <v>0</v>
      </c>
      <c r="P885" s="14">
        <v>0</v>
      </c>
      <c r="Q885" s="14" t="str">
        <f t="shared" si="39"/>
        <v/>
      </c>
      <c r="R885" s="14" t="str">
        <f t="shared" si="39"/>
        <v/>
      </c>
      <c r="S885" s="14" t="str">
        <f t="shared" si="40"/>
        <v/>
      </c>
      <c r="T885" s="14" t="s">
        <v>72</v>
      </c>
      <c r="U885" s="14">
        <v>0</v>
      </c>
      <c r="V885">
        <v>10135</v>
      </c>
      <c r="W885">
        <v>11.011437988281299</v>
      </c>
      <c r="X885">
        <v>28.568011870352802</v>
      </c>
      <c r="Y885">
        <v>0.93987336969290902</v>
      </c>
      <c r="Z885" s="31">
        <v>3.1673895469407398</v>
      </c>
      <c r="AA885">
        <v>6.6691003722200097</v>
      </c>
      <c r="AB885">
        <v>0.09</v>
      </c>
      <c r="AC885">
        <v>529666.296321286</v>
      </c>
      <c r="AD885">
        <v>606097.14288044767</v>
      </c>
      <c r="AE885">
        <v>1</v>
      </c>
      <c r="AF885">
        <v>6195.5059819503422</v>
      </c>
      <c r="AG885">
        <v>25651.071439242449</v>
      </c>
    </row>
    <row r="886" spans="1:33" hidden="1" x14ac:dyDescent="0.25">
      <c r="B886">
        <v>16</v>
      </c>
      <c r="C886" t="s">
        <v>46</v>
      </c>
      <c r="D886" t="s">
        <v>41</v>
      </c>
      <c r="E886" t="s">
        <v>69</v>
      </c>
      <c r="F886">
        <v>5684</v>
      </c>
      <c r="G886">
        <v>193812</v>
      </c>
      <c r="H886">
        <v>2</v>
      </c>
      <c r="I886" s="5">
        <v>0</v>
      </c>
      <c r="J886">
        <v>0.92906527975563946</v>
      </c>
      <c r="K886">
        <v>627646</v>
      </c>
      <c r="L886">
        <v>23258</v>
      </c>
      <c r="M886">
        <v>280</v>
      </c>
      <c r="N886">
        <v>44565</v>
      </c>
      <c r="O886" s="43">
        <v>1315978.4879999999</v>
      </c>
      <c r="P886" s="14">
        <f t="shared" si="41"/>
        <v>1315978.4879999999</v>
      </c>
      <c r="Q886" s="14" t="str">
        <f t="shared" si="39"/>
        <v/>
      </c>
      <c r="R886" s="14" t="str">
        <f t="shared" si="39"/>
        <v/>
      </c>
      <c r="S886" s="14" t="str">
        <f t="shared" si="40"/>
        <v/>
      </c>
      <c r="T886" s="14" t="s">
        <v>72</v>
      </c>
      <c r="U886" s="14">
        <v>0</v>
      </c>
      <c r="V886">
        <v>10135</v>
      </c>
      <c r="W886">
        <v>6.0638061523437203</v>
      </c>
      <c r="X886">
        <v>57.161955539396601</v>
      </c>
      <c r="Y886">
        <v>0.40328694307669899</v>
      </c>
      <c r="Z886" s="31">
        <v>4.6806100348618198</v>
      </c>
      <c r="AA886">
        <v>8.3876796318766598</v>
      </c>
      <c r="AB886">
        <v>0.09</v>
      </c>
      <c r="AC886">
        <v>529666.296321286</v>
      </c>
      <c r="AD886">
        <v>606097.14288044767</v>
      </c>
      <c r="AE886">
        <v>1</v>
      </c>
      <c r="AF886">
        <v>6195.5059819503422</v>
      </c>
      <c r="AG886">
        <v>25651.071439242449</v>
      </c>
    </row>
    <row r="887" spans="1:33" hidden="1" x14ac:dyDescent="0.25">
      <c r="B887">
        <v>16</v>
      </c>
      <c r="C887" t="s">
        <v>46</v>
      </c>
      <c r="D887" t="s">
        <v>41</v>
      </c>
      <c r="E887" t="s">
        <v>69</v>
      </c>
      <c r="F887">
        <v>11329</v>
      </c>
      <c r="G887">
        <v>193812</v>
      </c>
      <c r="H887">
        <v>3</v>
      </c>
      <c r="I887" s="5">
        <v>0</v>
      </c>
      <c r="J887">
        <v>0.99028955895403792</v>
      </c>
      <c r="K887">
        <v>627646</v>
      </c>
      <c r="L887">
        <v>23258</v>
      </c>
      <c r="M887">
        <v>280</v>
      </c>
      <c r="N887">
        <v>44565</v>
      </c>
      <c r="O887" s="43">
        <v>1808040.0096</v>
      </c>
      <c r="P887" s="14">
        <f t="shared" si="41"/>
        <v>492061.52160000009</v>
      </c>
      <c r="Q887" s="14" t="str">
        <f t="shared" si="39"/>
        <v/>
      </c>
      <c r="R887" s="14" t="str">
        <f t="shared" si="39"/>
        <v/>
      </c>
      <c r="S887" s="14" t="str">
        <f t="shared" si="40"/>
        <v/>
      </c>
      <c r="T887" s="14" t="s">
        <v>72</v>
      </c>
      <c r="U887" s="14">
        <v>0</v>
      </c>
      <c r="V887">
        <v>10135</v>
      </c>
      <c r="W887">
        <v>-0.35104980468747699</v>
      </c>
      <c r="X887">
        <v>38.945366958537001</v>
      </c>
      <c r="Y887">
        <v>0.36456473118830302</v>
      </c>
      <c r="Z887" s="31">
        <v>3.3991238856292498</v>
      </c>
      <c r="AA887">
        <v>6.8702520636669604</v>
      </c>
      <c r="AB887">
        <v>0.09</v>
      </c>
      <c r="AC887">
        <v>529666.296321286</v>
      </c>
      <c r="AD887">
        <v>606097.14288044767</v>
      </c>
      <c r="AE887">
        <v>1</v>
      </c>
      <c r="AF887">
        <v>6195.5059819503422</v>
      </c>
      <c r="AG887">
        <v>25651.071439242449</v>
      </c>
    </row>
    <row r="888" spans="1:33" hidden="1" x14ac:dyDescent="0.25">
      <c r="B888">
        <v>16</v>
      </c>
      <c r="C888" t="s">
        <v>46</v>
      </c>
      <c r="D888" t="s">
        <v>41</v>
      </c>
      <c r="E888" t="s">
        <v>69</v>
      </c>
      <c r="F888">
        <v>12631</v>
      </c>
      <c r="G888">
        <v>193812</v>
      </c>
      <c r="H888">
        <v>4</v>
      </c>
      <c r="I888">
        <v>388</v>
      </c>
      <c r="J888">
        <v>0.2284069097888676</v>
      </c>
      <c r="K888">
        <v>627646</v>
      </c>
      <c r="L888">
        <v>23258</v>
      </c>
      <c r="M888">
        <v>280</v>
      </c>
      <c r="N888">
        <v>44565</v>
      </c>
      <c r="O888" s="43">
        <v>3146905.08</v>
      </c>
      <c r="P888" s="14">
        <f t="shared" si="41"/>
        <v>1338865.0704000001</v>
      </c>
      <c r="Q888" s="14" t="str">
        <f t="shared" si="39"/>
        <v/>
      </c>
      <c r="R888" s="14" t="str">
        <f t="shared" si="39"/>
        <v/>
      </c>
      <c r="S888" s="14" t="str">
        <f t="shared" si="40"/>
        <v/>
      </c>
      <c r="T888" s="14" t="s">
        <v>72</v>
      </c>
      <c r="U888" s="14">
        <v>3450.6831711340201</v>
      </c>
      <c r="V888">
        <v>10135</v>
      </c>
      <c r="W888">
        <v>6.1184326171875201</v>
      </c>
      <c r="X888">
        <v>41.700712648579902</v>
      </c>
      <c r="Y888">
        <v>0.55085680787128599</v>
      </c>
      <c r="Z888" s="31">
        <v>4.8524507204391103</v>
      </c>
      <c r="AA888">
        <v>7.5875603046866704</v>
      </c>
      <c r="AB888">
        <v>0.09</v>
      </c>
      <c r="AC888">
        <v>529666.296321286</v>
      </c>
      <c r="AD888">
        <v>606097.14288044767</v>
      </c>
      <c r="AE888">
        <v>1</v>
      </c>
      <c r="AF888">
        <v>6195.5059819503422</v>
      </c>
      <c r="AG888">
        <v>25651.071439242449</v>
      </c>
    </row>
    <row r="889" spans="1:33" hidden="1" x14ac:dyDescent="0.25">
      <c r="B889">
        <v>16</v>
      </c>
      <c r="C889" t="s">
        <v>46</v>
      </c>
      <c r="D889" t="s">
        <v>41</v>
      </c>
      <c r="E889" t="s">
        <v>69</v>
      </c>
      <c r="F889">
        <v>12655</v>
      </c>
      <c r="G889">
        <v>193812</v>
      </c>
      <c r="H889">
        <v>5</v>
      </c>
      <c r="I889">
        <v>5296</v>
      </c>
      <c r="J889">
        <v>4.2102656182279744E-3</v>
      </c>
      <c r="K889">
        <v>627646</v>
      </c>
      <c r="L889">
        <v>23258</v>
      </c>
      <c r="M889">
        <v>280</v>
      </c>
      <c r="N889">
        <v>44565</v>
      </c>
      <c r="O889" s="43">
        <v>3146905.08</v>
      </c>
      <c r="P889" s="14">
        <f t="shared" si="41"/>
        <v>0</v>
      </c>
      <c r="Q889" s="14" t="str">
        <f t="shared" si="39"/>
        <v/>
      </c>
      <c r="R889" s="14" t="str">
        <f t="shared" si="39"/>
        <v/>
      </c>
      <c r="S889" s="14" t="str">
        <f t="shared" si="40"/>
        <v/>
      </c>
      <c r="T889" s="14" t="s">
        <v>72</v>
      </c>
      <c r="U889" s="14">
        <v>0</v>
      </c>
      <c r="V889">
        <v>10135</v>
      </c>
      <c r="W889">
        <v>6.4104858398437203</v>
      </c>
      <c r="X889">
        <v>43.672194129757003</v>
      </c>
      <c r="Y889">
        <v>0.54306680146568198</v>
      </c>
      <c r="Z889" s="31">
        <v>2.6890858657521801</v>
      </c>
      <c r="AA889">
        <v>4.9536838714473204</v>
      </c>
      <c r="AB889">
        <v>0.09</v>
      </c>
      <c r="AC889">
        <v>529666.296321286</v>
      </c>
      <c r="AD889">
        <v>606097.14288044767</v>
      </c>
      <c r="AE889">
        <v>1</v>
      </c>
      <c r="AF889">
        <v>6195.5059819503422</v>
      </c>
      <c r="AG889">
        <v>25651.071439242449</v>
      </c>
    </row>
    <row r="890" spans="1:33" hidden="1" x14ac:dyDescent="0.25">
      <c r="B890">
        <v>16</v>
      </c>
      <c r="C890" t="s">
        <v>46</v>
      </c>
      <c r="D890" t="s">
        <v>41</v>
      </c>
      <c r="E890" t="s">
        <v>69</v>
      </c>
      <c r="F890">
        <v>15537</v>
      </c>
      <c r="G890">
        <v>193812</v>
      </c>
      <c r="H890">
        <v>6</v>
      </c>
      <c r="I890">
        <v>5645</v>
      </c>
      <c r="J890">
        <v>0.50558272965554252</v>
      </c>
      <c r="K890">
        <v>627646</v>
      </c>
      <c r="L890">
        <v>23258</v>
      </c>
      <c r="M890">
        <v>280</v>
      </c>
      <c r="N890">
        <v>44565</v>
      </c>
      <c r="O890" s="43">
        <v>5836078.5120000001</v>
      </c>
      <c r="P890" s="14">
        <f t="shared" si="41"/>
        <v>2689173.432</v>
      </c>
      <c r="Q890" s="14" t="str">
        <f t="shared" si="39"/>
        <v/>
      </c>
      <c r="R890" s="14" t="str">
        <f t="shared" si="39"/>
        <v/>
      </c>
      <c r="S890" s="14" t="str">
        <f t="shared" si="40"/>
        <v/>
      </c>
      <c r="T890" s="14" t="s">
        <v>72</v>
      </c>
      <c r="U890" s="14">
        <v>476.38147599645703</v>
      </c>
      <c r="V890">
        <v>10135</v>
      </c>
      <c r="W890">
        <v>7.1083618164062701</v>
      </c>
      <c r="X890">
        <v>54.629265572274797</v>
      </c>
      <c r="Y890">
        <v>0.45893243500627601</v>
      </c>
      <c r="Z890" s="31">
        <v>4.5822848085874401</v>
      </c>
      <c r="AA890">
        <v>8.2145947839039906</v>
      </c>
      <c r="AB890">
        <v>0.09</v>
      </c>
      <c r="AC890">
        <v>529666.296321286</v>
      </c>
      <c r="AD890">
        <v>606097.14288044767</v>
      </c>
      <c r="AE890">
        <v>1</v>
      </c>
      <c r="AF890">
        <v>6195.5059819503422</v>
      </c>
      <c r="AG890">
        <v>25651.071439242449</v>
      </c>
    </row>
    <row r="891" spans="1:33" hidden="1" x14ac:dyDescent="0.25">
      <c r="B891">
        <v>16</v>
      </c>
      <c r="C891" t="s">
        <v>46</v>
      </c>
      <c r="D891" t="s">
        <v>41</v>
      </c>
      <c r="E891" t="s">
        <v>69</v>
      </c>
      <c r="F891">
        <v>18561</v>
      </c>
      <c r="G891">
        <v>193812</v>
      </c>
      <c r="H891">
        <v>7</v>
      </c>
      <c r="I891">
        <v>1302</v>
      </c>
      <c r="J891">
        <v>0.53049346789672469</v>
      </c>
      <c r="K891">
        <v>627646</v>
      </c>
      <c r="L891">
        <v>23258</v>
      </c>
      <c r="M891">
        <v>280</v>
      </c>
      <c r="N891">
        <v>44565</v>
      </c>
      <c r="O891" s="43">
        <v>5836078.5120000001</v>
      </c>
      <c r="P891" s="14">
        <f t="shared" si="41"/>
        <v>0</v>
      </c>
      <c r="Q891" s="14" t="str">
        <f t="shared" si="39"/>
        <v/>
      </c>
      <c r="R891" s="14" t="str">
        <f t="shared" si="39"/>
        <v/>
      </c>
      <c r="S891" s="14" t="str">
        <f t="shared" si="40"/>
        <v/>
      </c>
      <c r="T891" s="14" t="s">
        <v>72</v>
      </c>
      <c r="U891" s="14">
        <v>0</v>
      </c>
      <c r="V891">
        <v>10135</v>
      </c>
      <c r="W891">
        <v>6.5134216308594004</v>
      </c>
      <c r="X891">
        <v>37.386792622847899</v>
      </c>
      <c r="Y891">
        <v>0.607920498430778</v>
      </c>
      <c r="Z891" s="31">
        <v>3.1701324617184099</v>
      </c>
      <c r="AA891">
        <v>5.7207062330079603</v>
      </c>
      <c r="AB891">
        <v>0.09</v>
      </c>
      <c r="AC891">
        <v>529666.296321286</v>
      </c>
      <c r="AD891">
        <v>606097.14288044767</v>
      </c>
      <c r="AE891">
        <v>1</v>
      </c>
      <c r="AF891">
        <v>6195.5059819503422</v>
      </c>
      <c r="AG891">
        <v>25651.071439242449</v>
      </c>
    </row>
    <row r="892" spans="1:33" hidden="1" x14ac:dyDescent="0.25">
      <c r="B892">
        <v>16</v>
      </c>
      <c r="C892" t="s">
        <v>46</v>
      </c>
      <c r="D892" t="s">
        <v>41</v>
      </c>
      <c r="E892" t="s">
        <v>69</v>
      </c>
      <c r="F892">
        <v>125602</v>
      </c>
      <c r="G892">
        <v>193812</v>
      </c>
      <c r="H892">
        <v>8</v>
      </c>
      <c r="I892">
        <v>24</v>
      </c>
      <c r="J892">
        <v>18.777960085030859</v>
      </c>
      <c r="K892">
        <v>627646</v>
      </c>
      <c r="L892">
        <v>23258</v>
      </c>
      <c r="M892">
        <v>280</v>
      </c>
      <c r="N892">
        <v>44565</v>
      </c>
      <c r="O892" s="43">
        <v>6865974.7200000007</v>
      </c>
      <c r="P892" s="14">
        <f t="shared" si="41"/>
        <v>1029896.2080000006</v>
      </c>
      <c r="Q892" s="14" t="str">
        <f t="shared" si="39"/>
        <v/>
      </c>
      <c r="R892" s="14" t="str">
        <f t="shared" si="39"/>
        <v/>
      </c>
      <c r="S892" s="14" t="str">
        <f t="shared" si="40"/>
        <v/>
      </c>
      <c r="T892" s="14" t="s">
        <v>72</v>
      </c>
      <c r="U892" s="14">
        <v>42912.342000000026</v>
      </c>
      <c r="V892">
        <v>10135</v>
      </c>
      <c r="W892">
        <v>7.6093994140625201</v>
      </c>
      <c r="X892">
        <v>42.5710808857975</v>
      </c>
      <c r="Y892">
        <v>0.60109823634902704</v>
      </c>
      <c r="Z892" s="31">
        <v>1.4745491028145901</v>
      </c>
      <c r="AA892">
        <v>4.0003126170560499</v>
      </c>
      <c r="AB892">
        <v>0.09</v>
      </c>
      <c r="AC892">
        <v>529666.296321286</v>
      </c>
      <c r="AD892">
        <v>606097.14288044767</v>
      </c>
      <c r="AE892">
        <v>1</v>
      </c>
      <c r="AF892">
        <v>6195.5059819503422</v>
      </c>
      <c r="AG892">
        <v>25651.071439242449</v>
      </c>
    </row>
    <row r="893" spans="1:33" hidden="1" x14ac:dyDescent="0.25">
      <c r="B893">
        <v>16</v>
      </c>
      <c r="C893" t="s">
        <v>46</v>
      </c>
      <c r="D893" t="s">
        <v>41</v>
      </c>
      <c r="E893" t="s">
        <v>69</v>
      </c>
      <c r="F893">
        <v>169766</v>
      </c>
      <c r="G893">
        <v>193812</v>
      </c>
      <c r="H893">
        <v>9</v>
      </c>
      <c r="I893">
        <v>2882</v>
      </c>
      <c r="J893">
        <v>7.7475904484758429</v>
      </c>
      <c r="K893">
        <v>627646</v>
      </c>
      <c r="L893">
        <v>23258</v>
      </c>
      <c r="M893">
        <v>280</v>
      </c>
      <c r="N893">
        <v>44565</v>
      </c>
      <c r="O893" s="43">
        <v>7323706.3680000007</v>
      </c>
      <c r="P893" s="14">
        <f t="shared" si="41"/>
        <v>457731.64800000004</v>
      </c>
      <c r="Q893" s="14" t="str">
        <f t="shared" si="39"/>
        <v/>
      </c>
      <c r="R893" s="14" t="str">
        <f t="shared" si="39"/>
        <v/>
      </c>
      <c r="S893" s="14" t="str">
        <f t="shared" si="40"/>
        <v/>
      </c>
      <c r="T893" s="14" t="s">
        <v>72</v>
      </c>
      <c r="U893" s="14">
        <v>158.82430534351147</v>
      </c>
      <c r="V893">
        <v>10135</v>
      </c>
      <c r="W893">
        <v>10.977136230468799</v>
      </c>
      <c r="X893">
        <v>24.881294883909302</v>
      </c>
      <c r="Y893">
        <v>0.98609301433472696</v>
      </c>
      <c r="Z893" s="31">
        <v>2.1686212061566601</v>
      </c>
      <c r="AA893">
        <v>5.4377664684742797</v>
      </c>
      <c r="AB893">
        <v>0.09</v>
      </c>
      <c r="AC893">
        <v>529666.296321286</v>
      </c>
      <c r="AD893">
        <v>606097.14288044767</v>
      </c>
      <c r="AE893">
        <v>1</v>
      </c>
      <c r="AF893">
        <v>6195.5059819503422</v>
      </c>
      <c r="AG893">
        <v>25651.071439242449</v>
      </c>
    </row>
    <row r="894" spans="1:33" hidden="1" x14ac:dyDescent="0.25">
      <c r="B894">
        <v>16</v>
      </c>
      <c r="C894" t="s">
        <v>46</v>
      </c>
      <c r="D894" t="s">
        <v>41</v>
      </c>
      <c r="E894" t="s">
        <v>69</v>
      </c>
      <c r="F894">
        <v>187964</v>
      </c>
      <c r="G894">
        <v>193812</v>
      </c>
      <c r="H894">
        <v>10</v>
      </c>
      <c r="I894">
        <v>3024</v>
      </c>
      <c r="J894">
        <v>3.1924339050213608</v>
      </c>
      <c r="K894">
        <v>627646</v>
      </c>
      <c r="L894">
        <v>23258</v>
      </c>
      <c r="M894">
        <v>280</v>
      </c>
      <c r="N894">
        <v>44565</v>
      </c>
      <c r="O894" s="43">
        <v>8124736.7520000003</v>
      </c>
      <c r="P894" s="14">
        <f t="shared" si="41"/>
        <v>801030.38399999961</v>
      </c>
      <c r="Q894" s="14" t="str">
        <f t="shared" si="39"/>
        <v/>
      </c>
      <c r="R894" s="14" t="str">
        <f t="shared" si="39"/>
        <v/>
      </c>
      <c r="S894" s="14" t="str">
        <f t="shared" si="40"/>
        <v/>
      </c>
      <c r="T894" s="14" t="s">
        <v>72</v>
      </c>
      <c r="U894" s="14">
        <v>264.89099999999985</v>
      </c>
      <c r="V894">
        <v>10135</v>
      </c>
      <c r="W894">
        <v>4.5743652343750201</v>
      </c>
      <c r="X894">
        <v>58.847183406316603</v>
      </c>
      <c r="Y894">
        <v>0.349337710342779</v>
      </c>
      <c r="Z894" s="31">
        <v>1.3002615183358399</v>
      </c>
      <c r="AA894">
        <v>2.90876244651463</v>
      </c>
      <c r="AB894">
        <v>0.09</v>
      </c>
      <c r="AC894">
        <v>529666.296321286</v>
      </c>
      <c r="AD894">
        <v>606097.14288044767</v>
      </c>
      <c r="AE894">
        <v>1</v>
      </c>
      <c r="AF894">
        <v>6195.5059819503422</v>
      </c>
      <c r="AG894">
        <v>25651.071439242449</v>
      </c>
    </row>
    <row r="895" spans="1:33" hidden="1" x14ac:dyDescent="0.25">
      <c r="B895">
        <v>16</v>
      </c>
      <c r="C895" t="s">
        <v>46</v>
      </c>
      <c r="D895" t="s">
        <v>41</v>
      </c>
      <c r="E895" t="s">
        <v>69</v>
      </c>
      <c r="F895">
        <v>192455</v>
      </c>
      <c r="G895">
        <v>193812</v>
      </c>
      <c r="H895">
        <v>11</v>
      </c>
      <c r="I895">
        <v>107041</v>
      </c>
      <c r="J895">
        <v>0.78784595381090949</v>
      </c>
      <c r="K895">
        <v>627646</v>
      </c>
      <c r="L895">
        <v>23258</v>
      </c>
      <c r="M895">
        <v>280</v>
      </c>
      <c r="N895">
        <v>44565</v>
      </c>
      <c r="O895" s="43">
        <v>9269065.8720000014</v>
      </c>
      <c r="P895" s="14">
        <f t="shared" si="41"/>
        <v>1144329.120000001</v>
      </c>
      <c r="Q895" s="14" t="str">
        <f t="shared" si="39"/>
        <v/>
      </c>
      <c r="R895" s="14" t="str">
        <f t="shared" si="39"/>
        <v/>
      </c>
      <c r="S895" s="14" t="str">
        <f t="shared" si="40"/>
        <v/>
      </c>
      <c r="T895" s="14" t="s">
        <v>72</v>
      </c>
      <c r="U895" s="14">
        <v>10.690568286918106</v>
      </c>
      <c r="V895">
        <v>10135</v>
      </c>
      <c r="W895">
        <v>0.97188720703127296</v>
      </c>
      <c r="X895">
        <v>47.454390871192402</v>
      </c>
      <c r="Y895">
        <v>0.34537797545936</v>
      </c>
      <c r="Z895" s="31">
        <v>1.60093912031346</v>
      </c>
      <c r="AA895">
        <v>3.7592814519237701</v>
      </c>
      <c r="AB895">
        <v>0.09</v>
      </c>
      <c r="AC895">
        <v>529666.296321286</v>
      </c>
      <c r="AD895">
        <v>606097.14288044767</v>
      </c>
      <c r="AE895">
        <v>1</v>
      </c>
      <c r="AF895">
        <v>6195.5059819503422</v>
      </c>
      <c r="AG895">
        <v>25651.071439242449</v>
      </c>
    </row>
    <row r="896" spans="1:33" hidden="1" x14ac:dyDescent="0.25">
      <c r="B896">
        <v>16</v>
      </c>
      <c r="C896" t="s">
        <v>46</v>
      </c>
      <c r="D896" t="s">
        <v>41</v>
      </c>
      <c r="E896" t="s">
        <v>69</v>
      </c>
      <c r="F896">
        <v>192455</v>
      </c>
      <c r="G896">
        <v>193812</v>
      </c>
      <c r="H896">
        <v>12</v>
      </c>
      <c r="I896">
        <v>44164</v>
      </c>
      <c r="J896">
        <v>0</v>
      </c>
      <c r="K896">
        <v>627646</v>
      </c>
      <c r="L896">
        <v>23258</v>
      </c>
      <c r="M896">
        <v>280</v>
      </c>
      <c r="N896">
        <v>44565</v>
      </c>
      <c r="O896" s="43">
        <v>10298962.08</v>
      </c>
      <c r="P896" s="14">
        <f t="shared" si="41"/>
        <v>1029896.2079999987</v>
      </c>
      <c r="Q896" s="14" t="str">
        <f t="shared" si="39"/>
        <v/>
      </c>
      <c r="R896" s="14" t="str">
        <f t="shared" si="39"/>
        <v/>
      </c>
      <c r="S896" s="14" t="str">
        <f t="shared" si="40"/>
        <v/>
      </c>
      <c r="T896" s="14" t="s">
        <v>72</v>
      </c>
      <c r="U896" s="14">
        <v>23.319812698125141</v>
      </c>
      <c r="V896">
        <v>10135</v>
      </c>
      <c r="W896">
        <v>3.8519531250000201</v>
      </c>
      <c r="X896">
        <v>45.317414052288697</v>
      </c>
      <c r="Y896">
        <v>0.44120702451370503</v>
      </c>
      <c r="Z896" s="31">
        <v>2.6359163661716201</v>
      </c>
      <c r="AA896">
        <v>5.5806807265269702</v>
      </c>
      <c r="AB896">
        <v>0.09</v>
      </c>
      <c r="AC896">
        <v>529666.296321286</v>
      </c>
      <c r="AD896">
        <v>606097.14288044767</v>
      </c>
      <c r="AE896">
        <v>1</v>
      </c>
      <c r="AF896">
        <v>6195.5059819503422</v>
      </c>
      <c r="AG896">
        <v>25651.071439242449</v>
      </c>
    </row>
    <row r="897" spans="2:33" hidden="1" x14ac:dyDescent="0.25">
      <c r="B897">
        <v>16</v>
      </c>
      <c r="C897" t="s">
        <v>46</v>
      </c>
      <c r="D897" t="s">
        <v>41</v>
      </c>
      <c r="E897" t="s">
        <v>69</v>
      </c>
      <c r="F897">
        <v>192455</v>
      </c>
      <c r="G897">
        <v>193812</v>
      </c>
      <c r="H897">
        <v>13</v>
      </c>
      <c r="I897">
        <v>18198</v>
      </c>
      <c r="J897">
        <v>0</v>
      </c>
      <c r="K897">
        <v>627646</v>
      </c>
      <c r="L897">
        <v>23258</v>
      </c>
      <c r="M897">
        <v>280</v>
      </c>
      <c r="N897">
        <v>44565</v>
      </c>
      <c r="O897" s="43">
        <v>11443291.199999999</v>
      </c>
      <c r="P897" s="14">
        <f t="shared" si="41"/>
        <v>1144329.1199999992</v>
      </c>
      <c r="Q897" s="14" t="str">
        <f t="shared" si="39"/>
        <v/>
      </c>
      <c r="R897" s="14" t="str">
        <f t="shared" si="39"/>
        <v/>
      </c>
      <c r="S897" s="14" t="str">
        <f t="shared" si="40"/>
        <v/>
      </c>
      <c r="T897" s="14" t="s">
        <v>72</v>
      </c>
      <c r="U897" s="14">
        <v>62.882136498516381</v>
      </c>
      <c r="V897">
        <v>10135</v>
      </c>
      <c r="W897">
        <v>-18.275213623046799</v>
      </c>
      <c r="X897">
        <v>89.135757106889898</v>
      </c>
      <c r="Y897">
        <v>1.58198834278825E-2</v>
      </c>
      <c r="Z897" s="31">
        <v>2.6383319765703699</v>
      </c>
      <c r="AA897">
        <v>4.1404438641577803</v>
      </c>
      <c r="AB897">
        <v>0.09</v>
      </c>
      <c r="AC897">
        <v>529666.296321286</v>
      </c>
      <c r="AD897">
        <v>606097.14288044767</v>
      </c>
      <c r="AE897">
        <v>1</v>
      </c>
      <c r="AF897">
        <v>6195.5059819503422</v>
      </c>
      <c r="AG897">
        <v>25651.071439242449</v>
      </c>
    </row>
    <row r="898" spans="2:33" hidden="1" x14ac:dyDescent="0.25">
      <c r="B898">
        <v>16</v>
      </c>
      <c r="C898" t="s">
        <v>46</v>
      </c>
      <c r="D898" t="s">
        <v>41</v>
      </c>
      <c r="E898" t="s">
        <v>69</v>
      </c>
      <c r="F898">
        <v>192455</v>
      </c>
      <c r="G898">
        <v>193812</v>
      </c>
      <c r="H898">
        <v>14</v>
      </c>
      <c r="I898">
        <v>4491</v>
      </c>
      <c r="J898">
        <v>0</v>
      </c>
      <c r="K898">
        <v>627646</v>
      </c>
      <c r="L898">
        <v>23258</v>
      </c>
      <c r="M898">
        <v>280</v>
      </c>
      <c r="N898">
        <v>44565</v>
      </c>
      <c r="O898" s="43">
        <v>12015455.76</v>
      </c>
      <c r="P898" s="14">
        <f t="shared" si="41"/>
        <v>572164.56000000052</v>
      </c>
      <c r="Q898" s="14" t="str">
        <f t="shared" si="39"/>
        <v/>
      </c>
      <c r="R898" s="14" t="str">
        <f t="shared" si="39"/>
        <v/>
      </c>
      <c r="S898" s="14" t="str">
        <f t="shared" si="40"/>
        <v/>
      </c>
      <c r="T898" s="14" t="s">
        <v>72</v>
      </c>
      <c r="U898" s="14">
        <v>127.40248496993999</v>
      </c>
      <c r="V898">
        <v>10135</v>
      </c>
      <c r="W898">
        <v>-10.5028137207031</v>
      </c>
      <c r="X898">
        <v>82.854447939735294</v>
      </c>
      <c r="Y898">
        <v>4.7322899512706303E-2</v>
      </c>
      <c r="Z898" s="31">
        <v>1.9395876620027199</v>
      </c>
      <c r="AA898">
        <v>2.9187940442359599</v>
      </c>
      <c r="AB898">
        <v>0.09</v>
      </c>
      <c r="AC898">
        <v>529666.296321286</v>
      </c>
      <c r="AD898">
        <v>606097.14288044767</v>
      </c>
      <c r="AE898">
        <v>1</v>
      </c>
      <c r="AF898">
        <v>6195.5059819503422</v>
      </c>
      <c r="AG898">
        <v>25651.071439242449</v>
      </c>
    </row>
    <row r="899" spans="2:33" hidden="1" x14ac:dyDescent="0.25">
      <c r="B899">
        <v>16</v>
      </c>
      <c r="C899" t="s">
        <v>46</v>
      </c>
      <c r="D899" t="s">
        <v>41</v>
      </c>
      <c r="E899" t="s">
        <v>69</v>
      </c>
      <c r="F899">
        <v>192455</v>
      </c>
      <c r="G899">
        <v>193812</v>
      </c>
      <c r="H899">
        <v>15</v>
      </c>
      <c r="I899">
        <v>0</v>
      </c>
      <c r="J899">
        <v>0</v>
      </c>
      <c r="K899">
        <v>627646</v>
      </c>
      <c r="L899">
        <v>23258</v>
      </c>
      <c r="M899">
        <v>280</v>
      </c>
      <c r="N899">
        <v>44565</v>
      </c>
      <c r="O899" s="43">
        <v>12930919.056</v>
      </c>
      <c r="P899" s="14">
        <f t="shared" si="41"/>
        <v>915463.29600000009</v>
      </c>
      <c r="Q899" s="14" t="str">
        <f t="shared" ref="Q899:R962" si="42">IF(P899&gt;=0,"",P899)</f>
        <v/>
      </c>
      <c r="R899" s="14" t="str">
        <f t="shared" si="42"/>
        <v/>
      </c>
      <c r="S899" s="14" t="str">
        <f t="shared" ref="S899:S962" si="43">IFERROR(IF(ISNA(Q899),NA(),Q899^2),"")</f>
        <v/>
      </c>
      <c r="T899" s="14" t="s">
        <v>72</v>
      </c>
      <c r="U899" s="14">
        <v>0</v>
      </c>
      <c r="V899">
        <v>10135</v>
      </c>
      <c r="W899">
        <v>-3.5316223144531</v>
      </c>
      <c r="X899">
        <v>67.199901082118501</v>
      </c>
      <c r="Y899">
        <v>0.154935910973581</v>
      </c>
      <c r="Z899" s="31">
        <v>2.1110434252545298</v>
      </c>
      <c r="AA899">
        <v>2.9168082788445502</v>
      </c>
      <c r="AB899">
        <v>0.09</v>
      </c>
      <c r="AC899">
        <v>529666.296321286</v>
      </c>
      <c r="AD899">
        <v>606097.14288044767</v>
      </c>
      <c r="AE899">
        <v>1</v>
      </c>
      <c r="AF899">
        <v>6195.5059819503422</v>
      </c>
      <c r="AG899">
        <v>25651.071439242449</v>
      </c>
    </row>
    <row r="900" spans="2:33" hidden="1" x14ac:dyDescent="0.25">
      <c r="B900">
        <v>16</v>
      </c>
      <c r="C900" t="s">
        <v>46</v>
      </c>
      <c r="D900" t="s">
        <v>41</v>
      </c>
      <c r="E900" t="s">
        <v>69</v>
      </c>
      <c r="F900">
        <v>192455</v>
      </c>
      <c r="G900">
        <v>193812</v>
      </c>
      <c r="H900">
        <v>16</v>
      </c>
      <c r="I900">
        <v>0</v>
      </c>
      <c r="J900">
        <v>0</v>
      </c>
      <c r="K900">
        <v>627646</v>
      </c>
      <c r="L900">
        <v>23258</v>
      </c>
      <c r="M900">
        <v>280</v>
      </c>
      <c r="N900">
        <v>44565</v>
      </c>
      <c r="O900" s="43">
        <v>13503083.616</v>
      </c>
      <c r="P900" s="14">
        <f t="shared" ref="P900:P963" si="44">O900-O899</f>
        <v>572164.56000000052</v>
      </c>
      <c r="Q900" s="14" t="str">
        <f t="shared" si="42"/>
        <v/>
      </c>
      <c r="R900" s="14" t="str">
        <f t="shared" si="42"/>
        <v/>
      </c>
      <c r="S900" s="14" t="str">
        <f t="shared" si="43"/>
        <v/>
      </c>
      <c r="T900" s="14" t="s">
        <v>72</v>
      </c>
      <c r="U900" s="14">
        <v>0</v>
      </c>
      <c r="V900">
        <v>10135</v>
      </c>
      <c r="W900">
        <v>3.28826293945315</v>
      </c>
      <c r="X900">
        <v>62.315415530148499</v>
      </c>
      <c r="Y900">
        <v>0.29225818831289602</v>
      </c>
      <c r="Z900" s="31">
        <v>1.66515440730111</v>
      </c>
      <c r="AA900">
        <v>3.6691584920201898</v>
      </c>
      <c r="AB900">
        <v>0.09</v>
      </c>
      <c r="AC900">
        <v>529666.296321286</v>
      </c>
      <c r="AD900">
        <v>606097.14288044767</v>
      </c>
      <c r="AE900">
        <v>1</v>
      </c>
      <c r="AF900">
        <v>6195.5059819503422</v>
      </c>
      <c r="AG900">
        <v>25651.071439242449</v>
      </c>
    </row>
    <row r="901" spans="2:33" hidden="1" x14ac:dyDescent="0.25">
      <c r="B901">
        <v>16</v>
      </c>
      <c r="C901" t="s">
        <v>46</v>
      </c>
      <c r="D901" t="s">
        <v>41</v>
      </c>
      <c r="E901" t="s">
        <v>69</v>
      </c>
      <c r="F901">
        <v>192455</v>
      </c>
      <c r="G901">
        <v>193812</v>
      </c>
      <c r="H901">
        <v>17</v>
      </c>
      <c r="I901">
        <v>0</v>
      </c>
      <c r="J901">
        <v>0</v>
      </c>
      <c r="K901">
        <v>627646</v>
      </c>
      <c r="L901">
        <v>23258</v>
      </c>
      <c r="M901">
        <v>280</v>
      </c>
      <c r="N901">
        <v>44565</v>
      </c>
      <c r="O901" s="43">
        <v>14189681.088</v>
      </c>
      <c r="P901" s="14">
        <f t="shared" si="44"/>
        <v>686597.47199999914</v>
      </c>
      <c r="Q901" s="14" t="str">
        <f t="shared" si="42"/>
        <v/>
      </c>
      <c r="R901" s="14" t="str">
        <f t="shared" si="42"/>
        <v/>
      </c>
      <c r="S901" s="14" t="str">
        <f t="shared" si="43"/>
        <v/>
      </c>
      <c r="T901" s="14" t="s">
        <v>72</v>
      </c>
      <c r="U901" s="14">
        <v>0</v>
      </c>
      <c r="V901">
        <v>10135</v>
      </c>
      <c r="W901">
        <v>2.8086791992187701</v>
      </c>
      <c r="X901">
        <v>64.352537304490994</v>
      </c>
      <c r="Y901">
        <v>0.267235169227377</v>
      </c>
      <c r="Z901" s="31">
        <v>1.93569001883211</v>
      </c>
      <c r="AA901">
        <v>3.0297619306179802</v>
      </c>
      <c r="AB901">
        <v>0.09</v>
      </c>
      <c r="AC901">
        <v>529666.296321286</v>
      </c>
      <c r="AD901">
        <v>606097.14288044767</v>
      </c>
      <c r="AE901">
        <v>1</v>
      </c>
      <c r="AF901">
        <v>6195.5059819503422</v>
      </c>
      <c r="AG901">
        <v>25651.071439242449</v>
      </c>
    </row>
    <row r="902" spans="2:33" hidden="1" x14ac:dyDescent="0.25">
      <c r="B902">
        <v>16</v>
      </c>
      <c r="C902" t="s">
        <v>46</v>
      </c>
      <c r="D902" t="s">
        <v>41</v>
      </c>
      <c r="E902" t="s">
        <v>69</v>
      </c>
      <c r="F902">
        <v>193812</v>
      </c>
      <c r="G902">
        <v>193812</v>
      </c>
      <c r="H902">
        <v>18</v>
      </c>
      <c r="I902">
        <v>0</v>
      </c>
      <c r="J902">
        <v>0.23805543516397329</v>
      </c>
      <c r="K902">
        <v>627646</v>
      </c>
      <c r="L902">
        <v>23258</v>
      </c>
      <c r="M902">
        <v>280</v>
      </c>
      <c r="N902">
        <v>44565</v>
      </c>
      <c r="O902" s="43">
        <v>14761845.648</v>
      </c>
      <c r="P902" s="14">
        <f t="shared" si="44"/>
        <v>572164.56000000052</v>
      </c>
      <c r="Q902" s="14" t="str">
        <f t="shared" si="42"/>
        <v/>
      </c>
      <c r="R902" s="14" t="str">
        <f t="shared" si="42"/>
        <v/>
      </c>
      <c r="S902" s="14" t="str">
        <f t="shared" si="43"/>
        <v/>
      </c>
      <c r="T902" s="14" t="s">
        <v>72</v>
      </c>
      <c r="U902" s="14">
        <v>0</v>
      </c>
      <c r="V902">
        <v>10135</v>
      </c>
      <c r="W902">
        <v>2.0291687011719</v>
      </c>
      <c r="X902">
        <v>56.965423895131103</v>
      </c>
      <c r="Y902">
        <v>0.30518482179517398</v>
      </c>
      <c r="Z902" s="31">
        <v>1.87946359400221</v>
      </c>
      <c r="AA902">
        <v>2.8118932598116499</v>
      </c>
      <c r="AB902">
        <v>0.09</v>
      </c>
      <c r="AC902">
        <v>529666.296321286</v>
      </c>
      <c r="AD902">
        <v>606097.14288044767</v>
      </c>
      <c r="AE902">
        <v>1</v>
      </c>
      <c r="AF902">
        <v>6195.5059819503422</v>
      </c>
      <c r="AG902">
        <v>25651.071439242449</v>
      </c>
    </row>
    <row r="903" spans="2:33" hidden="1" x14ac:dyDescent="0.25">
      <c r="B903">
        <v>16</v>
      </c>
      <c r="C903" t="s">
        <v>46</v>
      </c>
      <c r="D903" t="s">
        <v>41</v>
      </c>
      <c r="E903" t="s">
        <v>69</v>
      </c>
      <c r="F903">
        <v>193812</v>
      </c>
      <c r="G903">
        <v>193812</v>
      </c>
      <c r="H903">
        <v>19</v>
      </c>
      <c r="I903">
        <v>0</v>
      </c>
      <c r="J903">
        <v>0</v>
      </c>
      <c r="K903">
        <v>627646</v>
      </c>
      <c r="L903">
        <v>23258</v>
      </c>
      <c r="M903">
        <v>280</v>
      </c>
      <c r="N903">
        <v>44565</v>
      </c>
      <c r="O903" s="43">
        <v>15334010.208000001</v>
      </c>
      <c r="P903" s="14">
        <f t="shared" si="44"/>
        <v>572164.56000000052</v>
      </c>
      <c r="Q903" s="14" t="str">
        <f t="shared" si="42"/>
        <v/>
      </c>
      <c r="R903" s="14" t="str">
        <f t="shared" si="42"/>
        <v/>
      </c>
      <c r="S903" s="14" t="str">
        <f t="shared" si="43"/>
        <v/>
      </c>
      <c r="T903" s="14" t="s">
        <v>72</v>
      </c>
      <c r="U903" s="14">
        <v>0</v>
      </c>
      <c r="V903">
        <v>10135</v>
      </c>
      <c r="W903">
        <v>2.5912719726562701</v>
      </c>
      <c r="X903">
        <v>50.859971919547498</v>
      </c>
      <c r="Y903">
        <v>0.36269617862689701</v>
      </c>
      <c r="Z903" s="31">
        <v>2.1212937979034598</v>
      </c>
      <c r="AA903">
        <v>6.2075119174728099</v>
      </c>
      <c r="AB903">
        <v>0.09</v>
      </c>
      <c r="AC903">
        <v>529666.296321286</v>
      </c>
      <c r="AD903">
        <v>606097.14288044767</v>
      </c>
      <c r="AE903">
        <v>1</v>
      </c>
      <c r="AF903">
        <v>6195.5059819503422</v>
      </c>
      <c r="AG903">
        <v>25651.071439242449</v>
      </c>
    </row>
    <row r="904" spans="2:33" hidden="1" x14ac:dyDescent="0.25">
      <c r="B904">
        <v>16</v>
      </c>
      <c r="C904" t="s">
        <v>46</v>
      </c>
      <c r="D904" t="s">
        <v>41</v>
      </c>
      <c r="E904" t="s">
        <v>69</v>
      </c>
      <c r="F904">
        <v>193812</v>
      </c>
      <c r="G904">
        <v>193812</v>
      </c>
      <c r="H904">
        <v>20</v>
      </c>
      <c r="I904">
        <v>0</v>
      </c>
      <c r="J904">
        <v>0</v>
      </c>
      <c r="K904">
        <v>627646</v>
      </c>
      <c r="L904">
        <v>23258</v>
      </c>
      <c r="M904">
        <v>280</v>
      </c>
      <c r="N904">
        <v>44565</v>
      </c>
      <c r="O904" s="43">
        <v>15619786.952124961</v>
      </c>
      <c r="P904" s="14">
        <f t="shared" si="44"/>
        <v>285776.74412496015</v>
      </c>
      <c r="Q904" s="14" t="str">
        <f t="shared" si="42"/>
        <v/>
      </c>
      <c r="R904" s="14" t="str">
        <f t="shared" si="42"/>
        <v/>
      </c>
      <c r="S904" s="14" t="str">
        <f t="shared" si="43"/>
        <v/>
      </c>
      <c r="T904" s="14" t="s">
        <v>72</v>
      </c>
      <c r="U904" s="14">
        <v>0</v>
      </c>
      <c r="V904">
        <v>10135</v>
      </c>
      <c r="W904">
        <v>5.3796386718772703E-2</v>
      </c>
      <c r="X904">
        <v>60.310640834929302</v>
      </c>
      <c r="Y904">
        <v>0.24415852970705701</v>
      </c>
      <c r="Z904" s="31">
        <v>0.90625177914551702</v>
      </c>
      <c r="AA904">
        <v>4.5032099245144304</v>
      </c>
      <c r="AB904">
        <v>0.09</v>
      </c>
      <c r="AC904">
        <v>529666.296321286</v>
      </c>
      <c r="AD904">
        <v>606097.14288044767</v>
      </c>
      <c r="AE904">
        <v>1</v>
      </c>
      <c r="AF904">
        <v>6195.5059819503422</v>
      </c>
      <c r="AG904">
        <v>25651.071439242449</v>
      </c>
    </row>
    <row r="905" spans="2:33" hidden="1" x14ac:dyDescent="0.25">
      <c r="B905">
        <v>16</v>
      </c>
      <c r="C905" t="s">
        <v>46</v>
      </c>
      <c r="D905" t="s">
        <v>41</v>
      </c>
      <c r="E905" t="s">
        <v>69</v>
      </c>
      <c r="F905">
        <v>193812</v>
      </c>
      <c r="G905">
        <v>193812</v>
      </c>
      <c r="H905">
        <v>21</v>
      </c>
      <c r="I905">
        <v>1357</v>
      </c>
      <c r="J905">
        <v>0</v>
      </c>
      <c r="K905">
        <v>627646</v>
      </c>
      <c r="L905">
        <v>23258</v>
      </c>
      <c r="M905">
        <v>280</v>
      </c>
      <c r="N905">
        <v>44565</v>
      </c>
      <c r="O905" s="43">
        <v>15346389.560420159</v>
      </c>
      <c r="P905" s="14">
        <f t="shared" si="44"/>
        <v>-273397.39170480147</v>
      </c>
      <c r="Q905" s="14">
        <f t="shared" si="42"/>
        <v>-273397.39170480147</v>
      </c>
      <c r="R905" s="14">
        <f t="shared" si="42"/>
        <v>-273397.39170480147</v>
      </c>
      <c r="S905" s="14">
        <f t="shared" si="43"/>
        <v>74746133790.988647</v>
      </c>
      <c r="T905" s="14">
        <v>74746133790.988647</v>
      </c>
      <c r="U905" s="14">
        <v>-201.47191724745733</v>
      </c>
      <c r="V905">
        <v>10135</v>
      </c>
      <c r="W905">
        <v>1.1186767578125201</v>
      </c>
      <c r="X905">
        <v>53.1409856124112</v>
      </c>
      <c r="Y905">
        <v>0.31129809775553502</v>
      </c>
      <c r="Z905" s="31">
        <v>0.71425835180040598</v>
      </c>
      <c r="AA905">
        <v>2.94209392560429</v>
      </c>
      <c r="AB905">
        <v>0.09</v>
      </c>
      <c r="AC905">
        <v>529666.296321286</v>
      </c>
      <c r="AD905">
        <v>606097.14288044767</v>
      </c>
      <c r="AE905">
        <v>1</v>
      </c>
      <c r="AF905">
        <v>6195.5059819503422</v>
      </c>
      <c r="AG905">
        <v>25651.071439242449</v>
      </c>
    </row>
    <row r="906" spans="2:33" hidden="1" x14ac:dyDescent="0.25">
      <c r="B906">
        <v>16</v>
      </c>
      <c r="C906" t="s">
        <v>46</v>
      </c>
      <c r="D906" t="s">
        <v>41</v>
      </c>
      <c r="E906" t="s">
        <v>69</v>
      </c>
      <c r="F906">
        <v>193812</v>
      </c>
      <c r="G906">
        <v>193812</v>
      </c>
      <c r="H906">
        <v>22</v>
      </c>
      <c r="I906" s="4">
        <v>0</v>
      </c>
      <c r="J906">
        <v>0</v>
      </c>
      <c r="K906">
        <v>627646</v>
      </c>
      <c r="L906">
        <v>23258</v>
      </c>
      <c r="M906">
        <v>280</v>
      </c>
      <c r="N906">
        <v>44565</v>
      </c>
      <c r="O906" s="43">
        <v>16346517.190692481</v>
      </c>
      <c r="P906" s="14">
        <f t="shared" si="44"/>
        <v>1000127.6302723214</v>
      </c>
      <c r="Q906" s="14" t="str">
        <f t="shared" si="42"/>
        <v/>
      </c>
      <c r="R906" s="14" t="str">
        <f t="shared" si="42"/>
        <v/>
      </c>
      <c r="S906" s="14" t="str">
        <f t="shared" si="43"/>
        <v/>
      </c>
      <c r="T906" s="14" t="s">
        <v>72</v>
      </c>
      <c r="U906" s="14">
        <v>0</v>
      </c>
      <c r="V906">
        <v>10135</v>
      </c>
      <c r="W906">
        <v>2.9017578125000201</v>
      </c>
      <c r="X906">
        <v>47.634966100758298</v>
      </c>
      <c r="Y906">
        <v>0.395097547928005</v>
      </c>
      <c r="Z906" s="31">
        <v>0.66379827561604599</v>
      </c>
      <c r="AA906">
        <v>1.4125795084660799</v>
      </c>
      <c r="AB906">
        <v>0.09</v>
      </c>
      <c r="AC906">
        <v>529666.296321286</v>
      </c>
      <c r="AD906">
        <v>606097.14288044767</v>
      </c>
      <c r="AE906">
        <v>1</v>
      </c>
      <c r="AF906">
        <v>6195.5059819503422</v>
      </c>
      <c r="AG906">
        <v>25651.071439242449</v>
      </c>
    </row>
    <row r="907" spans="2:33" hidden="1" x14ac:dyDescent="0.25">
      <c r="B907">
        <v>16</v>
      </c>
      <c r="C907" t="s">
        <v>46</v>
      </c>
      <c r="D907" t="s">
        <v>41</v>
      </c>
      <c r="E907" t="s">
        <v>69</v>
      </c>
      <c r="F907">
        <v>193812</v>
      </c>
      <c r="G907">
        <v>193812</v>
      </c>
      <c r="H907">
        <v>23</v>
      </c>
      <c r="I907" s="4">
        <v>0</v>
      </c>
      <c r="J907">
        <v>0</v>
      </c>
      <c r="K907">
        <v>627646</v>
      </c>
      <c r="L907">
        <v>23258</v>
      </c>
      <c r="M907">
        <v>280</v>
      </c>
      <c r="N907">
        <v>44565</v>
      </c>
      <c r="O907" s="43">
        <v>16085476.264825439</v>
      </c>
      <c r="P907" s="14">
        <f t="shared" si="44"/>
        <v>-261040.92586704157</v>
      </c>
      <c r="Q907" s="14">
        <f t="shared" si="42"/>
        <v>-261040.92586704157</v>
      </c>
      <c r="R907" s="14">
        <f t="shared" si="42"/>
        <v>-261040.92586704157</v>
      </c>
      <c r="S907" s="14">
        <f t="shared" si="43"/>
        <v>68142364977.522293</v>
      </c>
      <c r="T907" s="14">
        <v>68142364977.522293</v>
      </c>
      <c r="U907" s="14">
        <v>0</v>
      </c>
      <c r="V907">
        <v>10135</v>
      </c>
      <c r="W907">
        <v>3.3698974609375201</v>
      </c>
      <c r="X907">
        <v>62.292316444744998</v>
      </c>
      <c r="Y907">
        <v>0.29412820541708001</v>
      </c>
      <c r="Z907" s="31">
        <v>1.97599092714008</v>
      </c>
      <c r="AA907">
        <v>3.8082979249384699</v>
      </c>
      <c r="AB907">
        <v>0.09</v>
      </c>
      <c r="AC907">
        <v>529666.296321286</v>
      </c>
      <c r="AD907">
        <v>606097.14288044767</v>
      </c>
      <c r="AE907">
        <v>1</v>
      </c>
      <c r="AF907">
        <v>6195.5059819503422</v>
      </c>
      <c r="AG907">
        <v>25651.071439242449</v>
      </c>
    </row>
    <row r="908" spans="2:33" hidden="1" x14ac:dyDescent="0.25">
      <c r="B908">
        <v>16</v>
      </c>
      <c r="C908" t="s">
        <v>46</v>
      </c>
      <c r="D908" t="s">
        <v>41</v>
      </c>
      <c r="E908" t="s">
        <v>69</v>
      </c>
      <c r="F908">
        <v>193812</v>
      </c>
      <c r="G908">
        <v>193812</v>
      </c>
      <c r="H908">
        <v>24</v>
      </c>
      <c r="I908" s="4">
        <v>0</v>
      </c>
      <c r="J908">
        <v>0</v>
      </c>
      <c r="K908">
        <v>627646</v>
      </c>
      <c r="L908">
        <v>23258</v>
      </c>
      <c r="M908">
        <v>280</v>
      </c>
      <c r="N908">
        <v>44565</v>
      </c>
      <c r="O908" s="43">
        <v>16613386.18476768</v>
      </c>
      <c r="P908" s="14">
        <f t="shared" si="44"/>
        <v>527909.91994224116</v>
      </c>
      <c r="Q908" s="14" t="str">
        <f t="shared" si="42"/>
        <v/>
      </c>
      <c r="R908" s="14" t="str">
        <f t="shared" si="42"/>
        <v/>
      </c>
      <c r="S908" s="14" t="str">
        <f t="shared" si="43"/>
        <v/>
      </c>
      <c r="T908" s="14" t="s">
        <v>72</v>
      </c>
      <c r="U908" s="14">
        <v>0</v>
      </c>
      <c r="V908">
        <v>10135</v>
      </c>
      <c r="W908">
        <v>2.8700805664062701</v>
      </c>
      <c r="X908">
        <v>58.699926737890301</v>
      </c>
      <c r="Y908">
        <v>0.31094812130227201</v>
      </c>
      <c r="Z908" s="31">
        <v>0.60069547949045898</v>
      </c>
      <c r="AA908">
        <v>2.69328758515443</v>
      </c>
      <c r="AB908">
        <v>0.09</v>
      </c>
      <c r="AC908">
        <v>529666.296321286</v>
      </c>
      <c r="AD908">
        <v>606097.14288044767</v>
      </c>
      <c r="AE908">
        <v>1</v>
      </c>
      <c r="AF908">
        <v>6195.5059819503422</v>
      </c>
      <c r="AG908">
        <v>25651.071439242449</v>
      </c>
    </row>
    <row r="909" spans="2:33" hidden="1" x14ac:dyDescent="0.25">
      <c r="B909">
        <v>16</v>
      </c>
      <c r="C909" t="s">
        <v>46</v>
      </c>
      <c r="D909" t="s">
        <v>41</v>
      </c>
      <c r="E909" t="s">
        <v>69</v>
      </c>
      <c r="F909">
        <v>193812</v>
      </c>
      <c r="G909">
        <v>193812</v>
      </c>
      <c r="H909">
        <v>25</v>
      </c>
      <c r="I909" s="4">
        <v>0</v>
      </c>
      <c r="J909">
        <v>0</v>
      </c>
      <c r="K909">
        <v>627646</v>
      </c>
      <c r="L909">
        <v>23258</v>
      </c>
      <c r="M909">
        <v>280</v>
      </c>
      <c r="N909">
        <v>44565</v>
      </c>
      <c r="O909" s="43">
        <v>16887128.019537602</v>
      </c>
      <c r="P909" s="14">
        <f t="shared" si="44"/>
        <v>273741.83476992138</v>
      </c>
      <c r="Q909" s="14" t="str">
        <f t="shared" si="42"/>
        <v/>
      </c>
      <c r="R909" s="14" t="str">
        <f t="shared" si="42"/>
        <v/>
      </c>
      <c r="S909" s="14" t="str">
        <f t="shared" si="43"/>
        <v/>
      </c>
      <c r="T909" s="14" t="s">
        <v>72</v>
      </c>
      <c r="U909" s="14">
        <v>0</v>
      </c>
      <c r="V909">
        <v>10135</v>
      </c>
      <c r="W909">
        <v>4.4560485839844004</v>
      </c>
      <c r="X909">
        <v>45.918531076531799</v>
      </c>
      <c r="Y909">
        <v>0.455254030538218</v>
      </c>
      <c r="Z909" s="31">
        <v>0.89251632419092397</v>
      </c>
      <c r="AA909">
        <v>1.8085483561806901</v>
      </c>
      <c r="AB909">
        <v>0.09</v>
      </c>
      <c r="AC909">
        <v>529666.296321286</v>
      </c>
      <c r="AD909">
        <v>606097.14288044767</v>
      </c>
      <c r="AE909">
        <v>1</v>
      </c>
      <c r="AF909">
        <v>6195.5059819503422</v>
      </c>
      <c r="AG909">
        <v>25651.071439242449</v>
      </c>
    </row>
    <row r="910" spans="2:33" hidden="1" x14ac:dyDescent="0.25">
      <c r="B910">
        <v>16</v>
      </c>
      <c r="C910" t="s">
        <v>46</v>
      </c>
      <c r="D910" t="s">
        <v>41</v>
      </c>
      <c r="E910" t="s">
        <v>69</v>
      </c>
      <c r="F910">
        <v>193812</v>
      </c>
      <c r="G910">
        <v>193812</v>
      </c>
      <c r="H910">
        <v>26</v>
      </c>
      <c r="I910" s="4">
        <v>0</v>
      </c>
      <c r="J910">
        <v>0</v>
      </c>
      <c r="K910">
        <v>627646</v>
      </c>
      <c r="L910">
        <v>23258</v>
      </c>
      <c r="M910">
        <v>280</v>
      </c>
      <c r="N910">
        <v>44565</v>
      </c>
      <c r="O910" s="43">
        <v>17015088.046065118</v>
      </c>
      <c r="P910" s="14">
        <f t="shared" si="44"/>
        <v>127960.02652751654</v>
      </c>
      <c r="Q910" s="14" t="str">
        <f t="shared" si="42"/>
        <v/>
      </c>
      <c r="R910" s="14" t="str">
        <f t="shared" si="42"/>
        <v/>
      </c>
      <c r="S910" s="14" t="str">
        <f t="shared" si="43"/>
        <v/>
      </c>
      <c r="T910" s="14" t="s">
        <v>72</v>
      </c>
      <c r="U910" s="14">
        <v>0</v>
      </c>
      <c r="V910">
        <v>10135</v>
      </c>
      <c r="W910">
        <v>4.2896362304687701</v>
      </c>
      <c r="X910">
        <v>64.620867357217904</v>
      </c>
      <c r="Y910">
        <v>0.29441035689416101</v>
      </c>
      <c r="Z910" s="31">
        <v>1.5121973685306001</v>
      </c>
      <c r="AA910">
        <v>2.4139617865446001</v>
      </c>
      <c r="AB910">
        <v>0.09</v>
      </c>
      <c r="AC910">
        <v>529666.296321286</v>
      </c>
      <c r="AD910">
        <v>606097.14288044767</v>
      </c>
      <c r="AE910">
        <v>1</v>
      </c>
      <c r="AF910">
        <v>6195.5059819503422</v>
      </c>
      <c r="AG910">
        <v>25651.071439242449</v>
      </c>
    </row>
    <row r="911" spans="2:33" hidden="1" x14ac:dyDescent="0.25">
      <c r="B911">
        <v>16</v>
      </c>
      <c r="C911" t="s">
        <v>46</v>
      </c>
      <c r="D911" t="s">
        <v>41</v>
      </c>
      <c r="E911" t="s">
        <v>69</v>
      </c>
      <c r="F911">
        <v>193812</v>
      </c>
      <c r="G911">
        <v>193812</v>
      </c>
      <c r="H911">
        <v>27</v>
      </c>
      <c r="I911" s="4">
        <v>0</v>
      </c>
      <c r="J911">
        <v>0</v>
      </c>
      <c r="K911">
        <v>627646</v>
      </c>
      <c r="L911">
        <v>23258</v>
      </c>
      <c r="M911">
        <v>280</v>
      </c>
      <c r="N911">
        <v>44565</v>
      </c>
      <c r="O911" s="43">
        <v>17128603.20611088</v>
      </c>
      <c r="P911" s="14">
        <f t="shared" si="44"/>
        <v>113515.16004576162</v>
      </c>
      <c r="Q911" s="14" t="str">
        <f t="shared" si="42"/>
        <v/>
      </c>
      <c r="R911" s="14" t="str">
        <f t="shared" si="42"/>
        <v/>
      </c>
      <c r="S911" s="14" t="str">
        <f t="shared" si="43"/>
        <v/>
      </c>
      <c r="T911" s="14" t="s">
        <v>72</v>
      </c>
      <c r="U911" s="14">
        <v>0</v>
      </c>
      <c r="V911">
        <v>10135</v>
      </c>
      <c r="W911">
        <v>-1.77619018554685</v>
      </c>
      <c r="X911">
        <v>43.941827017735697</v>
      </c>
      <c r="Y911">
        <v>0.30155728034539903</v>
      </c>
      <c r="Z911" s="31">
        <v>0.88280935413508999</v>
      </c>
      <c r="AA911">
        <v>1.0734417934085501</v>
      </c>
      <c r="AB911">
        <v>0.09</v>
      </c>
      <c r="AC911">
        <v>529666.296321286</v>
      </c>
      <c r="AD911">
        <v>606097.14288044767</v>
      </c>
      <c r="AE911">
        <v>1</v>
      </c>
      <c r="AF911">
        <v>6195.5059819503422</v>
      </c>
      <c r="AG911">
        <v>25651.071439242449</v>
      </c>
    </row>
    <row r="912" spans="2:33" hidden="1" x14ac:dyDescent="0.25">
      <c r="B912">
        <v>16</v>
      </c>
      <c r="C912" t="s">
        <v>46</v>
      </c>
      <c r="D912" t="s">
        <v>41</v>
      </c>
      <c r="E912" t="s">
        <v>69</v>
      </c>
      <c r="F912">
        <v>193812</v>
      </c>
      <c r="G912">
        <v>193812</v>
      </c>
      <c r="H912">
        <v>28</v>
      </c>
      <c r="I912" s="4">
        <v>0</v>
      </c>
      <c r="J912">
        <v>0</v>
      </c>
      <c r="K912">
        <v>627646</v>
      </c>
      <c r="L912">
        <v>23258</v>
      </c>
      <c r="M912">
        <v>280</v>
      </c>
      <c r="N912">
        <v>44565</v>
      </c>
      <c r="O912" s="43">
        <v>17743629.757629599</v>
      </c>
      <c r="P912" s="14">
        <f t="shared" si="44"/>
        <v>615026.55151871964</v>
      </c>
      <c r="Q912" s="14" t="str">
        <f t="shared" si="42"/>
        <v/>
      </c>
      <c r="R912" s="14" t="str">
        <f t="shared" si="42"/>
        <v/>
      </c>
      <c r="S912" s="14" t="str">
        <f t="shared" si="43"/>
        <v/>
      </c>
      <c r="T912" s="14" t="s">
        <v>72</v>
      </c>
      <c r="U912" s="14">
        <v>0</v>
      </c>
      <c r="V912">
        <v>10135</v>
      </c>
      <c r="W912">
        <v>-7.5980590820312299</v>
      </c>
      <c r="X912">
        <v>84.191336451069205</v>
      </c>
      <c r="Y912">
        <v>5.4804512640947302E-2</v>
      </c>
      <c r="Z912" s="31">
        <v>2.8350799912025</v>
      </c>
      <c r="AA912">
        <v>4.7066169688033703</v>
      </c>
      <c r="AB912">
        <v>0.09</v>
      </c>
      <c r="AC912">
        <v>529666.296321286</v>
      </c>
      <c r="AD912">
        <v>606097.14288044767</v>
      </c>
      <c r="AE912">
        <v>1</v>
      </c>
      <c r="AF912">
        <v>6195.5059819503422</v>
      </c>
      <c r="AG912">
        <v>25651.071439242449</v>
      </c>
    </row>
    <row r="913" spans="1:33" hidden="1" x14ac:dyDescent="0.25">
      <c r="B913">
        <v>16</v>
      </c>
      <c r="C913" t="s">
        <v>46</v>
      </c>
      <c r="D913" t="s">
        <v>41</v>
      </c>
      <c r="E913" t="s">
        <v>69</v>
      </c>
      <c r="F913">
        <v>193812</v>
      </c>
      <c r="G913">
        <v>193812</v>
      </c>
      <c r="H913">
        <v>29</v>
      </c>
      <c r="I913" s="4">
        <v>0</v>
      </c>
      <c r="J913">
        <v>0</v>
      </c>
      <c r="K913">
        <v>627646</v>
      </c>
      <c r="L913">
        <v>23258</v>
      </c>
      <c r="M913">
        <v>280</v>
      </c>
      <c r="N913">
        <v>44565</v>
      </c>
      <c r="O913" s="43">
        <v>17411131.19986416</v>
      </c>
      <c r="P913" s="14">
        <f t="shared" si="44"/>
        <v>-332498.55776543915</v>
      </c>
      <c r="Q913" s="14">
        <f t="shared" si="42"/>
        <v>-332498.55776543915</v>
      </c>
      <c r="R913" s="14">
        <f t="shared" si="42"/>
        <v>-332498.55776543915</v>
      </c>
      <c r="S913" s="14">
        <f t="shared" si="43"/>
        <v>110555290916.09708</v>
      </c>
      <c r="T913" s="14">
        <v>110555290916.09708</v>
      </c>
      <c r="U913" s="14">
        <v>0</v>
      </c>
      <c r="V913">
        <v>10135</v>
      </c>
      <c r="W913">
        <v>-9.2805541992187308</v>
      </c>
      <c r="X913">
        <v>74.5325988771596</v>
      </c>
      <c r="Y913">
        <v>7.7410265244678894E-2</v>
      </c>
      <c r="Z913" s="31">
        <v>3.1871026238605999</v>
      </c>
      <c r="AA913">
        <v>4.4480852822771002</v>
      </c>
      <c r="AB913">
        <v>0.09</v>
      </c>
      <c r="AC913">
        <v>529666.296321286</v>
      </c>
      <c r="AD913">
        <v>606097.14288044767</v>
      </c>
      <c r="AE913">
        <v>1</v>
      </c>
      <c r="AF913">
        <v>6195.5059819503422</v>
      </c>
      <c r="AG913">
        <v>25651.071439242449</v>
      </c>
    </row>
    <row r="914" spans="1:33" hidden="1" x14ac:dyDescent="0.25">
      <c r="B914">
        <v>16</v>
      </c>
      <c r="C914" t="s">
        <v>46</v>
      </c>
      <c r="D914" t="s">
        <v>41</v>
      </c>
      <c r="E914" t="s">
        <v>69</v>
      </c>
      <c r="F914">
        <v>193812</v>
      </c>
      <c r="G914">
        <v>193812</v>
      </c>
      <c r="H914">
        <v>30</v>
      </c>
      <c r="I914" s="4">
        <v>0</v>
      </c>
      <c r="J914">
        <v>0</v>
      </c>
      <c r="K914">
        <v>627646</v>
      </c>
      <c r="L914">
        <v>23258</v>
      </c>
      <c r="M914">
        <v>280</v>
      </c>
      <c r="N914">
        <v>44565</v>
      </c>
      <c r="O914" s="43">
        <v>17531473.427439839</v>
      </c>
      <c r="P914" s="14">
        <f t="shared" si="44"/>
        <v>120342.22757567838</v>
      </c>
      <c r="Q914" s="14" t="str">
        <f t="shared" si="42"/>
        <v/>
      </c>
      <c r="R914" s="14" t="str">
        <f t="shared" si="42"/>
        <v/>
      </c>
      <c r="S914" s="14" t="str">
        <f t="shared" si="43"/>
        <v/>
      </c>
      <c r="T914" s="14" t="s">
        <v>72</v>
      </c>
      <c r="U914" s="14">
        <v>0</v>
      </c>
      <c r="V914">
        <v>10135</v>
      </c>
      <c r="W914">
        <v>-6.0099243164062797</v>
      </c>
      <c r="X914">
        <v>57.097747676064898</v>
      </c>
      <c r="Y914">
        <v>0.167985414353885</v>
      </c>
      <c r="Z914" s="31">
        <v>3.14332779555542</v>
      </c>
      <c r="AA914">
        <v>5.0245016124222799</v>
      </c>
      <c r="AB914">
        <v>0.09</v>
      </c>
      <c r="AC914">
        <v>529666.296321286</v>
      </c>
      <c r="AD914">
        <v>606097.14288044767</v>
      </c>
      <c r="AE914">
        <v>1</v>
      </c>
      <c r="AF914">
        <v>6195.5059819503422</v>
      </c>
      <c r="AG914">
        <v>25651.071439242449</v>
      </c>
    </row>
    <row r="915" spans="1:33" hidden="1" x14ac:dyDescent="0.25">
      <c r="B915">
        <v>16</v>
      </c>
      <c r="C915" t="s">
        <v>46</v>
      </c>
      <c r="D915" t="s">
        <v>41</v>
      </c>
      <c r="E915" t="s">
        <v>69</v>
      </c>
      <c r="F915">
        <v>193812</v>
      </c>
      <c r="G915">
        <v>193812</v>
      </c>
      <c r="H915">
        <v>31</v>
      </c>
      <c r="I915" s="4">
        <v>0</v>
      </c>
      <c r="J915">
        <v>0</v>
      </c>
      <c r="K915">
        <v>627646</v>
      </c>
      <c r="L915">
        <v>23258</v>
      </c>
      <c r="M915">
        <v>280</v>
      </c>
      <c r="N915">
        <v>44565</v>
      </c>
      <c r="O915" s="43">
        <v>17923261.965570722</v>
      </c>
      <c r="P915" s="14">
        <f t="shared" si="44"/>
        <v>391788.53813088313</v>
      </c>
      <c r="Q915" s="14" t="str">
        <f t="shared" si="42"/>
        <v/>
      </c>
      <c r="R915" s="14" t="str">
        <f t="shared" si="42"/>
        <v/>
      </c>
      <c r="S915" s="14" t="str">
        <f t="shared" si="43"/>
        <v/>
      </c>
      <c r="T915" s="14" t="s">
        <v>72</v>
      </c>
      <c r="U915" s="14">
        <v>0</v>
      </c>
      <c r="V915">
        <v>10135</v>
      </c>
      <c r="W915">
        <v>-10.782995605468701</v>
      </c>
      <c r="X915">
        <v>59.697641379419203</v>
      </c>
      <c r="Y915">
        <v>0.108726387696541</v>
      </c>
      <c r="Z915" s="31">
        <v>2.2356523971829998</v>
      </c>
      <c r="AA915">
        <v>3.1707168080424299</v>
      </c>
      <c r="AB915">
        <v>0.09</v>
      </c>
      <c r="AC915">
        <v>529666.296321286</v>
      </c>
      <c r="AD915">
        <v>606097.14288044767</v>
      </c>
      <c r="AE915">
        <v>1</v>
      </c>
      <c r="AF915">
        <v>6195.5059819503422</v>
      </c>
      <c r="AG915">
        <v>25651.071439242449</v>
      </c>
    </row>
    <row r="916" spans="1:33" hidden="1" x14ac:dyDescent="0.25">
      <c r="B916">
        <v>16</v>
      </c>
      <c r="C916" t="s">
        <v>46</v>
      </c>
      <c r="D916" t="s">
        <v>41</v>
      </c>
      <c r="E916" t="s">
        <v>69</v>
      </c>
      <c r="F916">
        <v>193812</v>
      </c>
      <c r="G916">
        <v>193812</v>
      </c>
      <c r="H916">
        <v>32</v>
      </c>
      <c r="I916" s="4">
        <v>0</v>
      </c>
      <c r="J916">
        <v>0</v>
      </c>
      <c r="K916">
        <v>627646</v>
      </c>
      <c r="L916">
        <v>23258</v>
      </c>
      <c r="M916">
        <v>280</v>
      </c>
      <c r="N916">
        <v>44565</v>
      </c>
      <c r="O916" s="43">
        <v>17667345.34550304</v>
      </c>
      <c r="P916" s="14">
        <f t="shared" si="44"/>
        <v>-255916.62006768212</v>
      </c>
      <c r="Q916" s="14">
        <f t="shared" si="42"/>
        <v>-255916.62006768212</v>
      </c>
      <c r="R916" s="14">
        <f t="shared" si="42"/>
        <v>-255916.62006768212</v>
      </c>
      <c r="S916" s="14">
        <f t="shared" si="43"/>
        <v>65493316426.866356</v>
      </c>
      <c r="T916" s="14">
        <v>65493316426.866356</v>
      </c>
      <c r="U916" s="14">
        <v>0</v>
      </c>
      <c r="V916">
        <v>10135</v>
      </c>
      <c r="W916">
        <v>0.74535522460939796</v>
      </c>
      <c r="X916">
        <v>50.181540784080497</v>
      </c>
      <c r="Y916">
        <v>0.32215971620091899</v>
      </c>
      <c r="Z916" s="31">
        <v>3.3009424548313699</v>
      </c>
      <c r="AA916">
        <v>5.8066045973789597</v>
      </c>
      <c r="AB916">
        <v>0.09</v>
      </c>
      <c r="AC916">
        <v>529666.296321286</v>
      </c>
      <c r="AD916">
        <v>606097.14288044767</v>
      </c>
      <c r="AE916">
        <v>1</v>
      </c>
      <c r="AF916">
        <v>6195.5059819503422</v>
      </c>
      <c r="AG916">
        <v>25651.071439242449</v>
      </c>
    </row>
    <row r="917" spans="1:33" hidden="1" x14ac:dyDescent="0.25">
      <c r="B917">
        <v>16</v>
      </c>
      <c r="C917" t="s">
        <v>46</v>
      </c>
      <c r="D917" t="s">
        <v>41</v>
      </c>
      <c r="E917" t="s">
        <v>69</v>
      </c>
      <c r="F917">
        <v>193812</v>
      </c>
      <c r="G917">
        <v>193812</v>
      </c>
      <c r="H917">
        <v>33</v>
      </c>
      <c r="I917" s="4">
        <v>0</v>
      </c>
      <c r="J917">
        <v>0</v>
      </c>
      <c r="K917">
        <v>627646</v>
      </c>
      <c r="L917">
        <v>23258</v>
      </c>
      <c r="M917">
        <v>280</v>
      </c>
      <c r="N917">
        <v>44565</v>
      </c>
      <c r="O917" s="43">
        <v>17946148.54797072</v>
      </c>
      <c r="P917" s="14">
        <f t="shared" si="44"/>
        <v>278803.20246767998</v>
      </c>
      <c r="Q917" s="14" t="str">
        <f t="shared" si="42"/>
        <v/>
      </c>
      <c r="R917" s="14" t="str">
        <f t="shared" si="42"/>
        <v/>
      </c>
      <c r="S917" s="14" t="str">
        <f t="shared" si="43"/>
        <v/>
      </c>
      <c r="T917" s="14" t="s">
        <v>72</v>
      </c>
      <c r="U917" s="14">
        <v>0</v>
      </c>
      <c r="V917">
        <v>10135</v>
      </c>
      <c r="W917">
        <v>-10.823156738281201</v>
      </c>
      <c r="X917">
        <v>72.051903314882097</v>
      </c>
      <c r="Y917">
        <v>7.5179801198253293E-2</v>
      </c>
      <c r="Z917" s="31">
        <v>7.5125251961285198</v>
      </c>
      <c r="AA917">
        <v>10.3840649629335</v>
      </c>
      <c r="AB917">
        <v>0.09</v>
      </c>
      <c r="AC917">
        <v>529666.296321286</v>
      </c>
      <c r="AD917">
        <v>606097.14288044767</v>
      </c>
      <c r="AE917">
        <v>1</v>
      </c>
      <c r="AF917">
        <v>6195.5059819503422</v>
      </c>
      <c r="AG917">
        <v>25651.071439242449</v>
      </c>
    </row>
    <row r="918" spans="1:33" hidden="1" x14ac:dyDescent="0.25">
      <c r="B918">
        <v>16</v>
      </c>
      <c r="C918" t="s">
        <v>46</v>
      </c>
      <c r="D918" t="s">
        <v>41</v>
      </c>
      <c r="E918" t="s">
        <v>69</v>
      </c>
      <c r="F918">
        <v>193812</v>
      </c>
      <c r="G918">
        <v>193812</v>
      </c>
      <c r="H918">
        <v>34</v>
      </c>
      <c r="I918" s="4">
        <v>0</v>
      </c>
      <c r="J918">
        <v>0</v>
      </c>
      <c r="K918">
        <v>627646</v>
      </c>
      <c r="L918">
        <v>23258</v>
      </c>
      <c r="M918">
        <v>280</v>
      </c>
      <c r="N918">
        <v>44565</v>
      </c>
      <c r="O918" s="43">
        <v>17946148.54797072</v>
      </c>
      <c r="P918" s="14">
        <f t="shared" si="44"/>
        <v>0</v>
      </c>
      <c r="Q918" s="14" t="str">
        <f t="shared" si="42"/>
        <v/>
      </c>
      <c r="R918" s="14" t="str">
        <f t="shared" si="42"/>
        <v/>
      </c>
      <c r="S918" s="14" t="str">
        <f t="shared" si="43"/>
        <v/>
      </c>
      <c r="T918" s="14" t="s">
        <v>72</v>
      </c>
      <c r="U918" s="14">
        <v>0</v>
      </c>
      <c r="V918">
        <v>10135</v>
      </c>
      <c r="W918">
        <v>0.30739746093752301</v>
      </c>
      <c r="X918">
        <v>58.421647220600398</v>
      </c>
      <c r="Y918">
        <v>0.260520512376683</v>
      </c>
      <c r="Z918" s="31">
        <v>2.5741850572365199</v>
      </c>
      <c r="AA918">
        <v>5.22733383539265</v>
      </c>
      <c r="AB918">
        <v>0.09</v>
      </c>
      <c r="AC918">
        <v>529666.296321286</v>
      </c>
      <c r="AD918">
        <v>606097.14288044767</v>
      </c>
      <c r="AE918">
        <v>1</v>
      </c>
      <c r="AF918">
        <v>6195.5059819503422</v>
      </c>
      <c r="AG918">
        <v>25651.071439242449</v>
      </c>
    </row>
    <row r="919" spans="1:33" hidden="1" x14ac:dyDescent="0.25">
      <c r="A919" t="s">
        <v>106</v>
      </c>
      <c r="B919">
        <v>17</v>
      </c>
      <c r="C919" t="s">
        <v>47</v>
      </c>
      <c r="D919" t="s">
        <v>28</v>
      </c>
      <c r="E919" t="s">
        <v>68</v>
      </c>
      <c r="F919">
        <v>32000</v>
      </c>
      <c r="G919">
        <v>173094</v>
      </c>
      <c r="H919">
        <v>1</v>
      </c>
      <c r="I919" s="4">
        <v>0</v>
      </c>
      <c r="J919">
        <v>9.0586617675944865</v>
      </c>
      <c r="K919">
        <v>577839</v>
      </c>
      <c r="L919">
        <v>34651</v>
      </c>
      <c r="M919">
        <v>0</v>
      </c>
      <c r="N919">
        <v>14228</v>
      </c>
      <c r="O919" s="43">
        <v>125876.2032</v>
      </c>
      <c r="P919" s="14">
        <v>0</v>
      </c>
      <c r="Q919" s="14" t="str">
        <f t="shared" si="42"/>
        <v/>
      </c>
      <c r="R919" s="14" t="str">
        <f t="shared" si="42"/>
        <v/>
      </c>
      <c r="S919" s="14" t="str">
        <f t="shared" si="43"/>
        <v/>
      </c>
      <c r="T919" s="14" t="s">
        <v>72</v>
      </c>
      <c r="U919" s="14">
        <v>0</v>
      </c>
      <c r="V919">
        <v>1624</v>
      </c>
      <c r="W919">
        <v>29.167749023437501</v>
      </c>
      <c r="X919">
        <v>29.720286419922701</v>
      </c>
      <c r="Y919">
        <v>2.84254800202025</v>
      </c>
      <c r="Z919" s="31">
        <v>2.3934126113446199</v>
      </c>
      <c r="AA919">
        <v>2.3388130172257999</v>
      </c>
      <c r="AB919">
        <v>0.05</v>
      </c>
      <c r="AC919">
        <v>343833.74722017202</v>
      </c>
      <c r="AD919">
        <v>393448.95694404287</v>
      </c>
      <c r="AE919">
        <v>1</v>
      </c>
      <c r="AF919">
        <v>6977.1637881027418</v>
      </c>
      <c r="AG919">
        <v>297151.86572576128</v>
      </c>
    </row>
    <row r="920" spans="1:33" hidden="1" x14ac:dyDescent="0.25">
      <c r="B920">
        <v>17</v>
      </c>
      <c r="C920" t="s">
        <v>47</v>
      </c>
      <c r="D920" t="s">
        <v>28</v>
      </c>
      <c r="E920" t="s">
        <v>68</v>
      </c>
      <c r="F920">
        <v>105523</v>
      </c>
      <c r="G920">
        <v>173094</v>
      </c>
      <c r="H920">
        <v>2</v>
      </c>
      <c r="I920" s="4">
        <v>0</v>
      </c>
      <c r="J920">
        <v>20.81312466058905</v>
      </c>
      <c r="K920">
        <v>577839</v>
      </c>
      <c r="L920">
        <v>34651</v>
      </c>
      <c r="M920">
        <v>0</v>
      </c>
      <c r="N920">
        <v>14228</v>
      </c>
      <c r="O920" s="43">
        <v>444286.92516912002</v>
      </c>
      <c r="P920" s="14">
        <f t="shared" si="44"/>
        <v>318410.72196912003</v>
      </c>
      <c r="Q920" s="14" t="str">
        <f t="shared" si="42"/>
        <v/>
      </c>
      <c r="R920" s="14" t="str">
        <f t="shared" si="42"/>
        <v/>
      </c>
      <c r="S920" s="14" t="str">
        <f t="shared" si="43"/>
        <v/>
      </c>
      <c r="T920" s="14" t="s">
        <v>72</v>
      </c>
      <c r="U920" s="14">
        <v>0</v>
      </c>
      <c r="V920">
        <v>1624</v>
      </c>
      <c r="W920">
        <v>30.025354003906301</v>
      </c>
      <c r="X920">
        <v>24.8325562562624</v>
      </c>
      <c r="Y920">
        <v>3.1941599359263102</v>
      </c>
      <c r="Z920" s="31">
        <v>3.9388280449982398</v>
      </c>
      <c r="AA920">
        <v>10.4569916375397</v>
      </c>
      <c r="AB920">
        <v>0.05</v>
      </c>
      <c r="AC920">
        <v>343833.74722017202</v>
      </c>
      <c r="AD920">
        <v>393448.95694404287</v>
      </c>
      <c r="AE920">
        <v>1</v>
      </c>
      <c r="AF920">
        <v>6977.1637881027418</v>
      </c>
      <c r="AG920">
        <v>297151.86572576128</v>
      </c>
    </row>
    <row r="921" spans="1:33" hidden="1" x14ac:dyDescent="0.25">
      <c r="B921">
        <v>17</v>
      </c>
      <c r="C921" t="s">
        <v>47</v>
      </c>
      <c r="D921" t="s">
        <v>28</v>
      </c>
      <c r="E921" t="s">
        <v>68</v>
      </c>
      <c r="F921">
        <v>144695</v>
      </c>
      <c r="G921">
        <v>173094</v>
      </c>
      <c r="H921">
        <v>3</v>
      </c>
      <c r="I921" s="4">
        <v>0</v>
      </c>
      <c r="J921">
        <v>11.0889343362566</v>
      </c>
      <c r="K921">
        <v>577839</v>
      </c>
      <c r="L921">
        <v>34651</v>
      </c>
      <c r="M921">
        <v>0</v>
      </c>
      <c r="N921">
        <v>14228</v>
      </c>
      <c r="O921" s="43">
        <v>827464.38667200005</v>
      </c>
      <c r="P921" s="14">
        <f t="shared" si="44"/>
        <v>383177.46150288003</v>
      </c>
      <c r="Q921" s="14" t="str">
        <f t="shared" si="42"/>
        <v/>
      </c>
      <c r="R921" s="14" t="str">
        <f t="shared" si="42"/>
        <v/>
      </c>
      <c r="S921" s="14" t="str">
        <f t="shared" si="43"/>
        <v/>
      </c>
      <c r="T921" s="14" t="s">
        <v>72</v>
      </c>
      <c r="U921" s="14">
        <v>0</v>
      </c>
      <c r="V921">
        <v>1624</v>
      </c>
      <c r="W921">
        <v>25.403161621093702</v>
      </c>
      <c r="X921">
        <v>9.0567878711962404</v>
      </c>
      <c r="Y921">
        <v>2.9522962171065799</v>
      </c>
      <c r="Z921" s="31">
        <v>4.7200541535515503</v>
      </c>
      <c r="AA921">
        <v>4.8863889855147704</v>
      </c>
      <c r="AB921">
        <v>0.05</v>
      </c>
      <c r="AC921">
        <v>343833.74722017202</v>
      </c>
      <c r="AD921">
        <v>393448.95694404287</v>
      </c>
      <c r="AE921">
        <v>1</v>
      </c>
      <c r="AF921">
        <v>6977.1637881027418</v>
      </c>
      <c r="AG921">
        <v>297151.86572576128</v>
      </c>
    </row>
    <row r="922" spans="1:33" hidden="1" x14ac:dyDescent="0.25">
      <c r="B922">
        <v>17</v>
      </c>
      <c r="C922" t="s">
        <v>47</v>
      </c>
      <c r="D922" t="s">
        <v>28</v>
      </c>
      <c r="E922" t="s">
        <v>68</v>
      </c>
      <c r="F922">
        <v>153708</v>
      </c>
      <c r="G922">
        <v>173094</v>
      </c>
      <c r="H922">
        <v>4</v>
      </c>
      <c r="I922">
        <v>32000</v>
      </c>
      <c r="J922">
        <v>2.5514287034790351</v>
      </c>
      <c r="K922">
        <v>577839</v>
      </c>
      <c r="L922">
        <v>34651</v>
      </c>
      <c r="M922">
        <v>0</v>
      </c>
      <c r="N922">
        <v>14228</v>
      </c>
      <c r="O922" s="43">
        <v>1639452.86632512</v>
      </c>
      <c r="P922" s="14">
        <f t="shared" si="44"/>
        <v>811988.47965311992</v>
      </c>
      <c r="Q922" s="14" t="str">
        <f t="shared" si="42"/>
        <v/>
      </c>
      <c r="R922" s="14" t="str">
        <f t="shared" si="42"/>
        <v/>
      </c>
      <c r="S922" s="14" t="str">
        <f t="shared" si="43"/>
        <v/>
      </c>
      <c r="T922" s="14" t="s">
        <v>72</v>
      </c>
      <c r="U922" s="14">
        <v>25.374639989160006</v>
      </c>
      <c r="V922">
        <v>1624</v>
      </c>
      <c r="W922">
        <v>31.870263671875001</v>
      </c>
      <c r="X922">
        <v>9.0685152918893905</v>
      </c>
      <c r="Y922">
        <v>4.2931270153270402</v>
      </c>
      <c r="Z922" s="31">
        <v>2.4651277060880998</v>
      </c>
      <c r="AA922">
        <v>3.7921875371442302</v>
      </c>
      <c r="AB922">
        <v>0.05</v>
      </c>
      <c r="AC922">
        <v>343833.74722017202</v>
      </c>
      <c r="AD922">
        <v>393448.95694404287</v>
      </c>
      <c r="AE922">
        <v>1</v>
      </c>
      <c r="AF922">
        <v>6977.1637881027418</v>
      </c>
      <c r="AG922">
        <v>297151.86572576128</v>
      </c>
    </row>
    <row r="923" spans="1:33" hidden="1" x14ac:dyDescent="0.25">
      <c r="B923">
        <v>17</v>
      </c>
      <c r="C923" t="s">
        <v>47</v>
      </c>
      <c r="D923" t="s">
        <v>28</v>
      </c>
      <c r="E923" t="s">
        <v>68</v>
      </c>
      <c r="F923">
        <v>161872</v>
      </c>
      <c r="G923">
        <v>173094</v>
      </c>
      <c r="H923">
        <v>5</v>
      </c>
      <c r="I923">
        <v>73523</v>
      </c>
      <c r="J923">
        <v>2.3110910834575429</v>
      </c>
      <c r="K923">
        <v>577839</v>
      </c>
      <c r="L923">
        <v>34651</v>
      </c>
      <c r="M923">
        <v>0</v>
      </c>
      <c r="N923">
        <v>14228</v>
      </c>
      <c r="O923" s="43">
        <v>2426260.3836926399</v>
      </c>
      <c r="P923" s="14">
        <f t="shared" si="44"/>
        <v>786807.5173675199</v>
      </c>
      <c r="Q923" s="14" t="str">
        <f t="shared" si="42"/>
        <v/>
      </c>
      <c r="R923" s="14" t="str">
        <f t="shared" si="42"/>
        <v/>
      </c>
      <c r="S923" s="14" t="str">
        <f t="shared" si="43"/>
        <v/>
      </c>
      <c r="T923" s="14" t="s">
        <v>72</v>
      </c>
      <c r="U923" s="14">
        <v>10.701515408341882</v>
      </c>
      <c r="V923">
        <v>1624</v>
      </c>
      <c r="W923">
        <v>26.150415039062501</v>
      </c>
      <c r="X923">
        <v>20.5843894050846</v>
      </c>
      <c r="Y923">
        <v>2.6943797331116199</v>
      </c>
      <c r="Z923" s="31">
        <v>2.3439042722572898</v>
      </c>
      <c r="AA923">
        <v>1.98059724151323</v>
      </c>
      <c r="AB923">
        <v>0.05</v>
      </c>
      <c r="AC923">
        <v>343833.74722017202</v>
      </c>
      <c r="AD923">
        <v>393448.95694404287</v>
      </c>
      <c r="AE923">
        <v>1</v>
      </c>
      <c r="AF923">
        <v>6977.1637881027418</v>
      </c>
      <c r="AG923">
        <v>297151.86572576128</v>
      </c>
    </row>
    <row r="924" spans="1:33" hidden="1" x14ac:dyDescent="0.25">
      <c r="B924">
        <v>17</v>
      </c>
      <c r="C924" t="s">
        <v>47</v>
      </c>
      <c r="D924" t="s">
        <v>28</v>
      </c>
      <c r="E924" t="s">
        <v>68</v>
      </c>
      <c r="F924">
        <v>161872</v>
      </c>
      <c r="G924">
        <v>173094</v>
      </c>
      <c r="H924">
        <v>6</v>
      </c>
      <c r="I924">
        <v>39172</v>
      </c>
      <c r="J924">
        <v>0</v>
      </c>
      <c r="K924">
        <v>577839</v>
      </c>
      <c r="L924">
        <v>34651</v>
      </c>
      <c r="M924">
        <v>0</v>
      </c>
      <c r="N924">
        <v>14228</v>
      </c>
      <c r="O924" s="43">
        <v>3274085.8183968002</v>
      </c>
      <c r="P924" s="14">
        <f t="shared" si="44"/>
        <v>847825.43470416032</v>
      </c>
      <c r="Q924" s="14" t="str">
        <f t="shared" si="42"/>
        <v/>
      </c>
      <c r="R924" s="14" t="str">
        <f t="shared" si="42"/>
        <v/>
      </c>
      <c r="S924" s="14" t="str">
        <f t="shared" si="43"/>
        <v/>
      </c>
      <c r="T924" s="14" t="s">
        <v>72</v>
      </c>
      <c r="U924" s="14">
        <v>21.643659621774734</v>
      </c>
      <c r="V924">
        <v>1624</v>
      </c>
      <c r="W924">
        <v>22.972802734375001</v>
      </c>
      <c r="X924">
        <v>33.547364734401199</v>
      </c>
      <c r="Y924">
        <v>1.8647164697240699</v>
      </c>
      <c r="Z924" s="31">
        <v>1.8798554824725</v>
      </c>
      <c r="AA924">
        <v>3.6302254242907499</v>
      </c>
      <c r="AB924">
        <v>0.05</v>
      </c>
      <c r="AC924">
        <v>343833.74722017202</v>
      </c>
      <c r="AD924">
        <v>393448.95694404287</v>
      </c>
      <c r="AE924">
        <v>1</v>
      </c>
      <c r="AF924">
        <v>6977.1637881027418</v>
      </c>
      <c r="AG924">
        <v>297151.86572576128</v>
      </c>
    </row>
    <row r="925" spans="1:33" hidden="1" x14ac:dyDescent="0.25">
      <c r="B925">
        <v>17</v>
      </c>
      <c r="C925" t="s">
        <v>47</v>
      </c>
      <c r="D925" t="s">
        <v>28</v>
      </c>
      <c r="E925" t="s">
        <v>68</v>
      </c>
      <c r="F925">
        <v>166573</v>
      </c>
      <c r="G925">
        <v>173094</v>
      </c>
      <c r="H925">
        <v>7</v>
      </c>
      <c r="I925">
        <v>9013</v>
      </c>
      <c r="J925">
        <v>1.3307740302956781</v>
      </c>
      <c r="K925">
        <v>577839</v>
      </c>
      <c r="L925">
        <v>34651</v>
      </c>
      <c r="M925">
        <v>0</v>
      </c>
      <c r="N925">
        <v>14228</v>
      </c>
      <c r="O925" s="43">
        <v>3964097.96849088</v>
      </c>
      <c r="P925" s="14">
        <f t="shared" si="44"/>
        <v>690012.15009407979</v>
      </c>
      <c r="Q925" s="14" t="str">
        <f t="shared" si="42"/>
        <v/>
      </c>
      <c r="R925" s="14" t="str">
        <f t="shared" si="42"/>
        <v/>
      </c>
      <c r="S925" s="14" t="str">
        <f t="shared" si="43"/>
        <v/>
      </c>
      <c r="T925" s="14" t="s">
        <v>72</v>
      </c>
      <c r="U925" s="14">
        <v>76.557433717306139</v>
      </c>
      <c r="V925">
        <v>1624</v>
      </c>
      <c r="W925">
        <v>21.595758056640602</v>
      </c>
      <c r="X925">
        <v>39.609419031928802</v>
      </c>
      <c r="Y925">
        <v>1.55854560997957</v>
      </c>
      <c r="Z925">
        <v>1.86916435970536</v>
      </c>
      <c r="AA925">
        <v>11.9289833744307</v>
      </c>
      <c r="AB925">
        <v>0.05</v>
      </c>
      <c r="AC925">
        <v>343833.74722017202</v>
      </c>
      <c r="AD925">
        <v>393448.95694404287</v>
      </c>
      <c r="AE925">
        <v>1</v>
      </c>
      <c r="AF925">
        <v>6977.1637881027418</v>
      </c>
      <c r="AG925">
        <v>297151.86572576128</v>
      </c>
    </row>
    <row r="926" spans="1:33" hidden="1" x14ac:dyDescent="0.25">
      <c r="B926">
        <v>17</v>
      </c>
      <c r="C926" t="s">
        <v>47</v>
      </c>
      <c r="D926" t="s">
        <v>28</v>
      </c>
      <c r="E926" t="s">
        <v>68</v>
      </c>
      <c r="F926">
        <v>166573</v>
      </c>
      <c r="G926">
        <v>173094</v>
      </c>
      <c r="H926">
        <v>8</v>
      </c>
      <c r="I926">
        <v>8164</v>
      </c>
      <c r="J926">
        <v>0</v>
      </c>
      <c r="K926">
        <v>577839</v>
      </c>
      <c r="L926">
        <v>34651</v>
      </c>
      <c r="M926">
        <v>0</v>
      </c>
      <c r="N926">
        <v>14228</v>
      </c>
      <c r="O926" s="43">
        <v>4134208.2138244798</v>
      </c>
      <c r="P926" s="14">
        <f t="shared" si="44"/>
        <v>170110.24533359986</v>
      </c>
      <c r="Q926" s="14" t="str">
        <f t="shared" si="42"/>
        <v/>
      </c>
      <c r="R926" s="14" t="str">
        <f t="shared" si="42"/>
        <v/>
      </c>
      <c r="S926" s="14" t="str">
        <f t="shared" si="43"/>
        <v/>
      </c>
      <c r="T926" s="14" t="s">
        <v>72</v>
      </c>
      <c r="U926" s="14">
        <v>20.836629756687881</v>
      </c>
      <c r="V926">
        <v>1624</v>
      </c>
      <c r="W926">
        <v>21.912469482421901</v>
      </c>
      <c r="X926">
        <v>40.467133558938798</v>
      </c>
      <c r="Y926">
        <v>1.5663454527796501</v>
      </c>
      <c r="Z926" s="31">
        <v>1.71711530447425</v>
      </c>
      <c r="AA926">
        <v>19.009819276508502</v>
      </c>
      <c r="AB926">
        <v>0.05</v>
      </c>
      <c r="AC926">
        <v>343833.74722017202</v>
      </c>
      <c r="AD926">
        <v>393448.95694404287</v>
      </c>
      <c r="AE926">
        <v>1</v>
      </c>
      <c r="AF926">
        <v>6977.1637881027418</v>
      </c>
      <c r="AG926">
        <v>297151.86572576128</v>
      </c>
    </row>
    <row r="927" spans="1:33" hidden="1" x14ac:dyDescent="0.25">
      <c r="B927">
        <v>17</v>
      </c>
      <c r="C927" t="s">
        <v>47</v>
      </c>
      <c r="D927" t="s">
        <v>28</v>
      </c>
      <c r="E927" t="s">
        <v>68</v>
      </c>
      <c r="F927">
        <v>170637</v>
      </c>
      <c r="G927">
        <v>173094</v>
      </c>
      <c r="H927">
        <v>9</v>
      </c>
      <c r="I927">
        <v>0</v>
      </c>
      <c r="J927">
        <v>1.1504500444845001</v>
      </c>
      <c r="K927">
        <v>577839</v>
      </c>
      <c r="L927">
        <v>34651</v>
      </c>
      <c r="M927">
        <v>0</v>
      </c>
      <c r="N927">
        <v>14228</v>
      </c>
      <c r="O927" s="43">
        <v>4425786.7065878408</v>
      </c>
      <c r="P927" s="14">
        <f t="shared" si="44"/>
        <v>291578.49276336096</v>
      </c>
      <c r="Q927" s="14" t="str">
        <f t="shared" si="42"/>
        <v/>
      </c>
      <c r="R927" s="14" t="str">
        <f t="shared" si="42"/>
        <v/>
      </c>
      <c r="S927" s="14" t="str">
        <f t="shared" si="43"/>
        <v/>
      </c>
      <c r="T927" s="14" t="s">
        <v>72</v>
      </c>
      <c r="U927" s="14">
        <v>0</v>
      </c>
      <c r="V927">
        <v>1624</v>
      </c>
      <c r="W927">
        <v>23.070642089843702</v>
      </c>
      <c r="X927">
        <v>40.461259145585601</v>
      </c>
      <c r="Y927">
        <v>1.6804326661244999</v>
      </c>
      <c r="Z927" s="31">
        <v>1.50912875831241</v>
      </c>
      <c r="AA927">
        <v>15.126270704479101</v>
      </c>
      <c r="AB927">
        <v>0.05</v>
      </c>
      <c r="AC927">
        <v>343833.74722017202</v>
      </c>
      <c r="AD927">
        <v>393448.95694404287</v>
      </c>
      <c r="AE927">
        <v>1</v>
      </c>
      <c r="AF927">
        <v>6977.1637881027418</v>
      </c>
      <c r="AG927">
        <v>297151.86572576128</v>
      </c>
    </row>
    <row r="928" spans="1:33" hidden="1" x14ac:dyDescent="0.25">
      <c r="B928">
        <v>17</v>
      </c>
      <c r="C928" t="s">
        <v>47</v>
      </c>
      <c r="D928" t="s">
        <v>28</v>
      </c>
      <c r="E928" t="s">
        <v>68</v>
      </c>
      <c r="F928">
        <v>170637</v>
      </c>
      <c r="G928">
        <v>173094</v>
      </c>
      <c r="H928">
        <v>10</v>
      </c>
      <c r="I928">
        <v>4701</v>
      </c>
      <c r="J928">
        <v>0</v>
      </c>
      <c r="K928">
        <v>577839</v>
      </c>
      <c r="L928">
        <v>34651</v>
      </c>
      <c r="M928">
        <v>0</v>
      </c>
      <c r="N928">
        <v>14228</v>
      </c>
      <c r="O928" s="43">
        <v>5525936.7122520003</v>
      </c>
      <c r="P928" s="14">
        <f t="shared" si="44"/>
        <v>1100150.0056641595</v>
      </c>
      <c r="Q928" s="14" t="str">
        <f t="shared" si="42"/>
        <v/>
      </c>
      <c r="R928" s="14" t="str">
        <f t="shared" si="42"/>
        <v/>
      </c>
      <c r="S928" s="14" t="str">
        <f t="shared" si="43"/>
        <v/>
      </c>
      <c r="T928" s="14" t="s">
        <v>72</v>
      </c>
      <c r="U928" s="14">
        <v>234.02467680581995</v>
      </c>
      <c r="V928">
        <v>1624</v>
      </c>
      <c r="W928">
        <v>22.717004394531301</v>
      </c>
      <c r="X928">
        <v>39.755877842561603</v>
      </c>
      <c r="Y928">
        <v>1.66440684798364</v>
      </c>
      <c r="Z928" s="31">
        <v>2.1992382605357998</v>
      </c>
      <c r="AA928">
        <v>12.031711851426699</v>
      </c>
      <c r="AB928">
        <v>0.05</v>
      </c>
      <c r="AC928">
        <v>343833.74722017202</v>
      </c>
      <c r="AD928">
        <v>393448.95694404287</v>
      </c>
      <c r="AE928">
        <v>1</v>
      </c>
      <c r="AF928">
        <v>6977.1637881027418</v>
      </c>
      <c r="AG928">
        <v>297151.86572576128</v>
      </c>
    </row>
    <row r="929" spans="2:33" hidden="1" x14ac:dyDescent="0.25">
      <c r="B929">
        <v>17</v>
      </c>
      <c r="C929" t="s">
        <v>47</v>
      </c>
      <c r="D929" t="s">
        <v>28</v>
      </c>
      <c r="E929" t="s">
        <v>68</v>
      </c>
      <c r="F929">
        <v>172510</v>
      </c>
      <c r="G929">
        <v>173094</v>
      </c>
      <c r="H929">
        <v>11</v>
      </c>
      <c r="I929">
        <v>0</v>
      </c>
      <c r="J929">
        <v>0.53021479658451487</v>
      </c>
      <c r="K929">
        <v>577839</v>
      </c>
      <c r="L929">
        <v>34651</v>
      </c>
      <c r="M929">
        <v>0</v>
      </c>
      <c r="N929">
        <v>14228</v>
      </c>
      <c r="O929" s="43">
        <v>7107802.3599422406</v>
      </c>
      <c r="P929" s="14">
        <f t="shared" si="44"/>
        <v>1581865.6476902403</v>
      </c>
      <c r="Q929" s="14" t="str">
        <f t="shared" si="42"/>
        <v/>
      </c>
      <c r="R929" s="14" t="str">
        <f t="shared" si="42"/>
        <v/>
      </c>
      <c r="S929" s="14" t="str">
        <f t="shared" si="43"/>
        <v/>
      </c>
      <c r="T929" s="14" t="s">
        <v>72</v>
      </c>
      <c r="U929" s="14">
        <v>0</v>
      </c>
      <c r="V929">
        <v>1624</v>
      </c>
      <c r="W929">
        <v>21.375115966796901</v>
      </c>
      <c r="X929">
        <v>50.174106286734698</v>
      </c>
      <c r="Y929">
        <v>1.2684933541977199</v>
      </c>
      <c r="Z929" s="31">
        <v>2.6492186257003199</v>
      </c>
      <c r="AA929">
        <v>12.1157034007612</v>
      </c>
      <c r="AB929">
        <v>0.05</v>
      </c>
      <c r="AC929">
        <v>343833.74722017202</v>
      </c>
      <c r="AD929">
        <v>393448.95694404287</v>
      </c>
      <c r="AE929">
        <v>1</v>
      </c>
      <c r="AF929">
        <v>6977.1637881027418</v>
      </c>
      <c r="AG929">
        <v>297151.86572576128</v>
      </c>
    </row>
    <row r="930" spans="2:33" hidden="1" x14ac:dyDescent="0.25">
      <c r="B930">
        <v>17</v>
      </c>
      <c r="C930" t="s">
        <v>47</v>
      </c>
      <c r="D930" t="s">
        <v>28</v>
      </c>
      <c r="E930" t="s">
        <v>68</v>
      </c>
      <c r="F930">
        <v>173025</v>
      </c>
      <c r="G930">
        <v>173094</v>
      </c>
      <c r="H930">
        <v>12</v>
      </c>
      <c r="I930">
        <v>4064</v>
      </c>
      <c r="J930">
        <v>0.14578783782222379</v>
      </c>
      <c r="K930">
        <v>577839</v>
      </c>
      <c r="L930">
        <v>34651</v>
      </c>
      <c r="M930">
        <v>0</v>
      </c>
      <c r="N930">
        <v>14228</v>
      </c>
      <c r="O930" s="43">
        <v>8157060.6166526414</v>
      </c>
      <c r="P930" s="14">
        <f t="shared" si="44"/>
        <v>1049258.2567104008</v>
      </c>
      <c r="Q930" s="14" t="str">
        <f t="shared" si="42"/>
        <v/>
      </c>
      <c r="R930" s="14" t="str">
        <f t="shared" si="42"/>
        <v/>
      </c>
      <c r="S930" s="14" t="str">
        <f t="shared" si="43"/>
        <v/>
      </c>
      <c r="T930" s="14" t="s">
        <v>72</v>
      </c>
      <c r="U930" s="14">
        <v>258.18362615905511</v>
      </c>
      <c r="V930">
        <v>1624</v>
      </c>
      <c r="W930">
        <v>20.093530273437501</v>
      </c>
      <c r="X930">
        <v>59.8335591613573</v>
      </c>
      <c r="Y930">
        <v>0.94503442850743102</v>
      </c>
      <c r="Z930" s="31">
        <v>2.2901876983923599</v>
      </c>
      <c r="AA930">
        <v>8.6546464552478994</v>
      </c>
      <c r="AB930">
        <v>0.05</v>
      </c>
      <c r="AC930">
        <v>343833.74722017202</v>
      </c>
      <c r="AD930">
        <v>393448.95694404287</v>
      </c>
      <c r="AE930">
        <v>1</v>
      </c>
      <c r="AF930">
        <v>6977.1637881027418</v>
      </c>
      <c r="AG930">
        <v>297151.86572576128</v>
      </c>
    </row>
    <row r="931" spans="2:33" hidden="1" x14ac:dyDescent="0.25">
      <c r="B931">
        <v>17</v>
      </c>
      <c r="C931" t="s">
        <v>47</v>
      </c>
      <c r="D931" t="s">
        <v>28</v>
      </c>
      <c r="E931" t="s">
        <v>68</v>
      </c>
      <c r="F931">
        <v>173025</v>
      </c>
      <c r="G931">
        <v>173094</v>
      </c>
      <c r="H931">
        <v>13</v>
      </c>
      <c r="I931">
        <v>0</v>
      </c>
      <c r="J931">
        <v>0</v>
      </c>
      <c r="K931">
        <v>577839</v>
      </c>
      <c r="L931">
        <v>34651</v>
      </c>
      <c r="M931">
        <v>0</v>
      </c>
      <c r="N931">
        <v>14228</v>
      </c>
      <c r="O931" s="43">
        <v>9871532.2670976017</v>
      </c>
      <c r="P931" s="14">
        <f t="shared" si="44"/>
        <v>1714471.6504449602</v>
      </c>
      <c r="Q931" s="14" t="str">
        <f t="shared" si="42"/>
        <v/>
      </c>
      <c r="R931" s="14" t="str">
        <f t="shared" si="42"/>
        <v/>
      </c>
      <c r="S931" s="14" t="str">
        <f t="shared" si="43"/>
        <v/>
      </c>
      <c r="T931" s="14" t="s">
        <v>72</v>
      </c>
      <c r="U931" s="14">
        <v>0</v>
      </c>
      <c r="V931">
        <v>1624</v>
      </c>
      <c r="W931">
        <v>13.60048828125</v>
      </c>
      <c r="X931">
        <v>84.787647920789396</v>
      </c>
      <c r="Y931">
        <v>0.237209548330863</v>
      </c>
      <c r="Z931" s="31">
        <v>1.52637475158906</v>
      </c>
      <c r="AA931">
        <v>9.6575114304919403</v>
      </c>
      <c r="AB931">
        <v>0.05</v>
      </c>
      <c r="AC931">
        <v>343833.74722017202</v>
      </c>
      <c r="AD931">
        <v>393448.95694404287</v>
      </c>
      <c r="AE931">
        <v>1</v>
      </c>
      <c r="AF931">
        <v>6977.1637881027418</v>
      </c>
      <c r="AG931">
        <v>297151.86572576128</v>
      </c>
    </row>
    <row r="932" spans="2:33" hidden="1" x14ac:dyDescent="0.25">
      <c r="B932">
        <v>17</v>
      </c>
      <c r="C932" t="s">
        <v>47</v>
      </c>
      <c r="D932" t="s">
        <v>28</v>
      </c>
      <c r="E932" t="s">
        <v>68</v>
      </c>
      <c r="F932">
        <v>173025</v>
      </c>
      <c r="G932">
        <v>173094</v>
      </c>
      <c r="H932">
        <v>14</v>
      </c>
      <c r="I932">
        <v>1873</v>
      </c>
      <c r="J932">
        <v>0</v>
      </c>
      <c r="K932">
        <v>577839</v>
      </c>
      <c r="L932">
        <v>34651</v>
      </c>
      <c r="M932">
        <v>0</v>
      </c>
      <c r="N932">
        <v>14228</v>
      </c>
      <c r="O932" s="43">
        <v>11486839.788990719</v>
      </c>
      <c r="P932" s="14">
        <f t="shared" si="44"/>
        <v>1615307.5218931176</v>
      </c>
      <c r="Q932" s="14" t="str">
        <f t="shared" si="42"/>
        <v/>
      </c>
      <c r="R932" s="14" t="str">
        <f t="shared" si="42"/>
        <v/>
      </c>
      <c r="S932" s="14" t="str">
        <f t="shared" si="43"/>
        <v/>
      </c>
      <c r="T932" s="14" t="s">
        <v>72</v>
      </c>
      <c r="U932" s="14">
        <v>862.41725675019723</v>
      </c>
      <c r="V932">
        <v>1624</v>
      </c>
      <c r="W932">
        <v>18.057275390625001</v>
      </c>
      <c r="X932">
        <v>66.830223333923598</v>
      </c>
      <c r="Y932">
        <v>0.68749316198265897</v>
      </c>
      <c r="Z932" s="31">
        <v>1.8873128637394101</v>
      </c>
      <c r="AA932">
        <v>8.6183516293530804</v>
      </c>
      <c r="AB932">
        <v>0.05</v>
      </c>
      <c r="AC932">
        <v>343833.74722017202</v>
      </c>
      <c r="AD932">
        <v>393448.95694404287</v>
      </c>
      <c r="AE932">
        <v>1</v>
      </c>
      <c r="AF932">
        <v>6977.1637881027418</v>
      </c>
      <c r="AG932">
        <v>297151.86572576128</v>
      </c>
    </row>
    <row r="933" spans="2:33" hidden="1" x14ac:dyDescent="0.25">
      <c r="B933">
        <v>17</v>
      </c>
      <c r="C933" t="s">
        <v>47</v>
      </c>
      <c r="D933" t="s">
        <v>28</v>
      </c>
      <c r="E933" t="s">
        <v>68</v>
      </c>
      <c r="F933">
        <v>173094</v>
      </c>
      <c r="G933">
        <v>173094</v>
      </c>
      <c r="H933">
        <v>15</v>
      </c>
      <c r="I933">
        <v>515</v>
      </c>
      <c r="J933">
        <v>1.953273943637561E-2</v>
      </c>
      <c r="K933">
        <v>577839</v>
      </c>
      <c r="L933">
        <v>34651</v>
      </c>
      <c r="M933">
        <v>0</v>
      </c>
      <c r="N933">
        <v>14228</v>
      </c>
      <c r="O933" s="43">
        <v>13313328.672663361</v>
      </c>
      <c r="P933" s="14">
        <f t="shared" si="44"/>
        <v>1826488.8836726416</v>
      </c>
      <c r="Q933" s="14" t="str">
        <f t="shared" si="42"/>
        <v/>
      </c>
      <c r="R933" s="14" t="str">
        <f t="shared" si="42"/>
        <v/>
      </c>
      <c r="S933" s="14" t="str">
        <f t="shared" si="43"/>
        <v/>
      </c>
      <c r="T933" s="14" t="s">
        <v>72</v>
      </c>
      <c r="U933" s="14">
        <v>3546.5803566459022</v>
      </c>
      <c r="V933">
        <v>1624</v>
      </c>
      <c r="W933">
        <v>21.166314697265602</v>
      </c>
      <c r="X933">
        <v>51.694971757894201</v>
      </c>
      <c r="Y933">
        <v>1.21413853550617</v>
      </c>
      <c r="Z933" s="31">
        <v>1.6550077709734501</v>
      </c>
      <c r="AA933">
        <v>8.6324413659940706</v>
      </c>
      <c r="AB933">
        <v>0.05</v>
      </c>
      <c r="AC933">
        <v>343833.74722017202</v>
      </c>
      <c r="AD933">
        <v>393448.95694404287</v>
      </c>
      <c r="AE933">
        <v>1</v>
      </c>
      <c r="AF933">
        <v>6977.1637881027418</v>
      </c>
      <c r="AG933">
        <v>297151.86572576128</v>
      </c>
    </row>
    <row r="934" spans="2:33" hidden="1" x14ac:dyDescent="0.25">
      <c r="B934">
        <v>17</v>
      </c>
      <c r="C934" t="s">
        <v>47</v>
      </c>
      <c r="D934" t="s">
        <v>28</v>
      </c>
      <c r="E934" t="s">
        <v>68</v>
      </c>
      <c r="F934">
        <v>173094</v>
      </c>
      <c r="G934">
        <v>173094</v>
      </c>
      <c r="H934">
        <v>16</v>
      </c>
      <c r="I934">
        <v>0</v>
      </c>
      <c r="J934">
        <v>0</v>
      </c>
      <c r="K934">
        <v>577839</v>
      </c>
      <c r="L934">
        <v>34651</v>
      </c>
      <c r="M934">
        <v>0</v>
      </c>
      <c r="N934">
        <v>14228</v>
      </c>
      <c r="O934" s="43">
        <v>15495401.809768319</v>
      </c>
      <c r="P934" s="14">
        <f t="shared" si="44"/>
        <v>2182073.1371049583</v>
      </c>
      <c r="Q934" s="14" t="str">
        <f t="shared" si="42"/>
        <v/>
      </c>
      <c r="R934" s="14" t="str">
        <f t="shared" si="42"/>
        <v/>
      </c>
      <c r="S934" s="14" t="str">
        <f t="shared" si="43"/>
        <v/>
      </c>
      <c r="T934" s="14" t="s">
        <v>72</v>
      </c>
      <c r="U934" s="14">
        <v>0</v>
      </c>
      <c r="V934">
        <v>1624</v>
      </c>
      <c r="W934">
        <v>19.235314941406301</v>
      </c>
      <c r="X934">
        <v>59.583095647972002</v>
      </c>
      <c r="Y934">
        <v>0.90170509054916703</v>
      </c>
      <c r="Z934" s="31">
        <v>2.0409527936075502</v>
      </c>
      <c r="AA934">
        <v>11.068201158046399</v>
      </c>
      <c r="AB934">
        <v>0.05</v>
      </c>
      <c r="AC934">
        <v>343833.74722017202</v>
      </c>
      <c r="AD934">
        <v>393448.95694404287</v>
      </c>
      <c r="AE934">
        <v>1</v>
      </c>
      <c r="AF934">
        <v>6977.1637881027418</v>
      </c>
      <c r="AG934">
        <v>297151.86572576128</v>
      </c>
    </row>
    <row r="935" spans="2:33" hidden="1" x14ac:dyDescent="0.25">
      <c r="B935">
        <v>17</v>
      </c>
      <c r="C935" t="s">
        <v>47</v>
      </c>
      <c r="D935" t="s">
        <v>28</v>
      </c>
      <c r="E935" t="s">
        <v>68</v>
      </c>
      <c r="F935">
        <v>173094</v>
      </c>
      <c r="G935">
        <v>173094</v>
      </c>
      <c r="H935">
        <v>17</v>
      </c>
      <c r="I935">
        <v>0</v>
      </c>
      <c r="J935">
        <v>0</v>
      </c>
      <c r="K935">
        <v>577839</v>
      </c>
      <c r="L935">
        <v>34651</v>
      </c>
      <c r="M935">
        <v>0</v>
      </c>
      <c r="N935">
        <v>14228</v>
      </c>
      <c r="O935" s="43">
        <v>17825961.94915536</v>
      </c>
      <c r="P935" s="14">
        <f t="shared" si="44"/>
        <v>2330560.1393870413</v>
      </c>
      <c r="Q935" s="14" t="str">
        <f t="shared" si="42"/>
        <v/>
      </c>
      <c r="R935" s="14" t="str">
        <f t="shared" si="42"/>
        <v/>
      </c>
      <c r="S935" s="14" t="str">
        <f t="shared" si="43"/>
        <v/>
      </c>
      <c r="T935" s="14" t="s">
        <v>72</v>
      </c>
      <c r="U935" s="14">
        <v>0</v>
      </c>
      <c r="V935">
        <v>1624</v>
      </c>
      <c r="W935">
        <v>19.423150634765602</v>
      </c>
      <c r="X935">
        <v>55.6273431071875</v>
      </c>
      <c r="Y935">
        <v>1.0016228024907801</v>
      </c>
      <c r="Z935" s="31">
        <v>1.8735485017399101</v>
      </c>
      <c r="AA935">
        <v>14.1420625956733</v>
      </c>
      <c r="AB935">
        <v>0.05</v>
      </c>
      <c r="AC935">
        <v>343833.74722017202</v>
      </c>
      <c r="AD935">
        <v>393448.95694404287</v>
      </c>
      <c r="AE935">
        <v>1</v>
      </c>
      <c r="AF935">
        <v>6977.1637881027418</v>
      </c>
      <c r="AG935">
        <v>297151.86572576128</v>
      </c>
    </row>
    <row r="936" spans="2:33" hidden="1" x14ac:dyDescent="0.25">
      <c r="B936">
        <v>17</v>
      </c>
      <c r="C936" t="s">
        <v>47</v>
      </c>
      <c r="D936" t="s">
        <v>28</v>
      </c>
      <c r="E936" t="s">
        <v>68</v>
      </c>
      <c r="F936">
        <v>173094</v>
      </c>
      <c r="G936">
        <v>173094</v>
      </c>
      <c r="H936">
        <v>18</v>
      </c>
      <c r="I936">
        <v>69</v>
      </c>
      <c r="J936">
        <v>0</v>
      </c>
      <c r="K936">
        <v>577839</v>
      </c>
      <c r="L936">
        <v>34651</v>
      </c>
      <c r="M936">
        <v>0</v>
      </c>
      <c r="N936">
        <v>14228</v>
      </c>
      <c r="O936" s="43">
        <v>19209319.68007008</v>
      </c>
      <c r="P936" s="14">
        <f t="shared" si="44"/>
        <v>1383357.7309147194</v>
      </c>
      <c r="Q936" s="14" t="str">
        <f t="shared" si="42"/>
        <v/>
      </c>
      <c r="R936" s="14" t="str">
        <f t="shared" si="42"/>
        <v/>
      </c>
      <c r="S936" s="14" t="str">
        <f t="shared" si="43"/>
        <v/>
      </c>
      <c r="T936" s="14" t="s">
        <v>72</v>
      </c>
      <c r="U936" s="14">
        <v>20048.662766879992</v>
      </c>
      <c r="V936">
        <v>1624</v>
      </c>
      <c r="W936">
        <v>21.786798095703102</v>
      </c>
      <c r="X936">
        <v>50.821100117145498</v>
      </c>
      <c r="Y936">
        <v>1.2838663479986301</v>
      </c>
      <c r="Z936" s="31">
        <v>4.1591368494393901</v>
      </c>
      <c r="AA936">
        <v>31.070509262331299</v>
      </c>
      <c r="AB936">
        <v>0.05</v>
      </c>
      <c r="AC936">
        <v>343833.74722017202</v>
      </c>
      <c r="AD936">
        <v>393448.95694404287</v>
      </c>
      <c r="AE936">
        <v>1</v>
      </c>
      <c r="AF936">
        <v>6977.1637881027418</v>
      </c>
      <c r="AG936">
        <v>297151.86572576128</v>
      </c>
    </row>
    <row r="937" spans="2:33" hidden="1" x14ac:dyDescent="0.25">
      <c r="B937">
        <v>17</v>
      </c>
      <c r="C937" t="s">
        <v>47</v>
      </c>
      <c r="D937" t="s">
        <v>28</v>
      </c>
      <c r="E937" t="s">
        <v>68</v>
      </c>
      <c r="F937">
        <v>173094</v>
      </c>
      <c r="G937">
        <v>173094</v>
      </c>
      <c r="H937">
        <v>19</v>
      </c>
      <c r="I937" s="2">
        <v>0</v>
      </c>
      <c r="J937">
        <v>0</v>
      </c>
      <c r="K937">
        <v>577839</v>
      </c>
      <c r="L937">
        <v>34651</v>
      </c>
      <c r="M937">
        <v>0</v>
      </c>
      <c r="N937">
        <v>14228</v>
      </c>
      <c r="O937" s="43">
        <v>20592716.31817488</v>
      </c>
      <c r="P937" s="14">
        <f t="shared" si="44"/>
        <v>1383396.6381048001</v>
      </c>
      <c r="Q937" s="14" t="str">
        <f t="shared" si="42"/>
        <v/>
      </c>
      <c r="R937" s="14" t="str">
        <f t="shared" si="42"/>
        <v/>
      </c>
      <c r="S937" s="14" t="str">
        <f t="shared" si="43"/>
        <v/>
      </c>
      <c r="T937" s="14" t="s">
        <v>72</v>
      </c>
      <c r="U937" s="14">
        <v>0</v>
      </c>
      <c r="V937">
        <v>1624</v>
      </c>
      <c r="W937">
        <v>17.102685546875001</v>
      </c>
      <c r="X937">
        <v>58.271679016334403</v>
      </c>
      <c r="Y937">
        <v>0.81451700376605696</v>
      </c>
      <c r="Z937" s="31">
        <v>3.0441747475829599</v>
      </c>
      <c r="AA937">
        <v>9.9795349282608292</v>
      </c>
      <c r="AB937">
        <v>0.05</v>
      </c>
      <c r="AC937">
        <v>343833.74722017202</v>
      </c>
      <c r="AD937">
        <v>393448.95694404287</v>
      </c>
      <c r="AE937">
        <v>1</v>
      </c>
      <c r="AF937">
        <v>6977.1637881027418</v>
      </c>
      <c r="AG937">
        <v>297151.86572576128</v>
      </c>
    </row>
    <row r="938" spans="2:33" hidden="1" x14ac:dyDescent="0.25">
      <c r="B938">
        <v>17</v>
      </c>
      <c r="C938" t="s">
        <v>47</v>
      </c>
      <c r="D938" t="s">
        <v>28</v>
      </c>
      <c r="E938" t="s">
        <v>68</v>
      </c>
      <c r="F938">
        <v>173094</v>
      </c>
      <c r="G938">
        <v>173094</v>
      </c>
      <c r="H938">
        <v>20</v>
      </c>
      <c r="I938" s="5">
        <v>0</v>
      </c>
      <c r="J938">
        <v>0</v>
      </c>
      <c r="K938">
        <v>577839</v>
      </c>
      <c r="L938">
        <v>34651</v>
      </c>
      <c r="M938">
        <v>0</v>
      </c>
      <c r="N938">
        <v>14228</v>
      </c>
      <c r="O938" s="43">
        <v>21496356.405707039</v>
      </c>
      <c r="P938" s="14">
        <f t="shared" si="44"/>
        <v>903640.08753215894</v>
      </c>
      <c r="Q938" s="14" t="str">
        <f t="shared" si="42"/>
        <v/>
      </c>
      <c r="R938" s="14" t="str">
        <f t="shared" si="42"/>
        <v/>
      </c>
      <c r="S938" s="14" t="str">
        <f t="shared" si="43"/>
        <v/>
      </c>
      <c r="T938" s="14" t="s">
        <v>72</v>
      </c>
      <c r="U938" s="14">
        <v>0</v>
      </c>
      <c r="V938">
        <v>1624</v>
      </c>
      <c r="W938">
        <v>13.8122802734375</v>
      </c>
      <c r="X938">
        <v>93.845756524222296</v>
      </c>
      <c r="Y938">
        <v>9.7284766041799503E-2</v>
      </c>
      <c r="Z938" s="31">
        <v>3.11855352259201</v>
      </c>
      <c r="AA938">
        <v>25.300236124515799</v>
      </c>
      <c r="AB938">
        <v>0.05</v>
      </c>
      <c r="AC938">
        <v>343833.74722017202</v>
      </c>
      <c r="AD938">
        <v>393448.95694404287</v>
      </c>
      <c r="AE938">
        <v>1</v>
      </c>
      <c r="AF938">
        <v>6977.1637881027418</v>
      </c>
      <c r="AG938">
        <v>297151.86572576128</v>
      </c>
    </row>
    <row r="939" spans="2:33" hidden="1" x14ac:dyDescent="0.25">
      <c r="B939">
        <v>17</v>
      </c>
      <c r="C939" t="s">
        <v>47</v>
      </c>
      <c r="D939" t="s">
        <v>28</v>
      </c>
      <c r="E939" t="s">
        <v>68</v>
      </c>
      <c r="F939">
        <v>173094</v>
      </c>
      <c r="G939">
        <v>173094</v>
      </c>
      <c r="H939">
        <v>21</v>
      </c>
      <c r="I939" s="5">
        <v>0</v>
      </c>
      <c r="J939">
        <v>0</v>
      </c>
      <c r="K939">
        <v>577839</v>
      </c>
      <c r="L939">
        <v>34651</v>
      </c>
      <c r="M939">
        <v>0</v>
      </c>
      <c r="N939">
        <v>14228</v>
      </c>
      <c r="O939" s="43">
        <v>22820785.764258239</v>
      </c>
      <c r="P939" s="14">
        <f t="shared" si="44"/>
        <v>1324429.3585512005</v>
      </c>
      <c r="Q939" s="14" t="str">
        <f t="shared" si="42"/>
        <v/>
      </c>
      <c r="R939" s="14" t="str">
        <f t="shared" si="42"/>
        <v/>
      </c>
      <c r="S939" s="14" t="str">
        <f t="shared" si="43"/>
        <v/>
      </c>
      <c r="T939" s="14" t="s">
        <v>72</v>
      </c>
      <c r="U939" s="14">
        <v>0</v>
      </c>
      <c r="V939">
        <v>1624</v>
      </c>
      <c r="W939">
        <v>15.6033569335937</v>
      </c>
      <c r="X939">
        <v>74.449259438265898</v>
      </c>
      <c r="Y939">
        <v>0.453336175852048</v>
      </c>
      <c r="Z939" s="31">
        <v>1.8479768652431099</v>
      </c>
      <c r="AA939">
        <v>13.7244578856385</v>
      </c>
      <c r="AB939">
        <v>0.05</v>
      </c>
      <c r="AC939">
        <v>343833.74722017202</v>
      </c>
      <c r="AD939">
        <v>393448.95694404287</v>
      </c>
      <c r="AE939">
        <v>1</v>
      </c>
      <c r="AF939">
        <v>6977.1637881027418</v>
      </c>
      <c r="AG939">
        <v>297151.86572576128</v>
      </c>
    </row>
    <row r="940" spans="2:33" hidden="1" x14ac:dyDescent="0.25">
      <c r="B940">
        <v>17</v>
      </c>
      <c r="C940" t="s">
        <v>47</v>
      </c>
      <c r="D940" t="s">
        <v>28</v>
      </c>
      <c r="E940" t="s">
        <v>68</v>
      </c>
      <c r="F940">
        <v>173094</v>
      </c>
      <c r="G940">
        <v>173094</v>
      </c>
      <c r="H940">
        <v>22</v>
      </c>
      <c r="I940" s="5">
        <v>0</v>
      </c>
      <c r="J940">
        <v>0</v>
      </c>
      <c r="K940">
        <v>577839</v>
      </c>
      <c r="L940">
        <v>34651</v>
      </c>
      <c r="M940">
        <v>0</v>
      </c>
      <c r="N940">
        <v>14228</v>
      </c>
      <c r="O940" s="43">
        <v>22820785.764258239</v>
      </c>
      <c r="P940" s="14">
        <f t="shared" si="44"/>
        <v>0</v>
      </c>
      <c r="Q940" s="14" t="str">
        <f t="shared" si="42"/>
        <v/>
      </c>
      <c r="R940" s="14" t="str">
        <f t="shared" si="42"/>
        <v/>
      </c>
      <c r="S940" s="14" t="str">
        <f t="shared" si="43"/>
        <v/>
      </c>
      <c r="T940" s="14" t="s">
        <v>72</v>
      </c>
      <c r="U940" s="14">
        <v>0</v>
      </c>
      <c r="V940">
        <v>1624</v>
      </c>
      <c r="W940">
        <v>22.397790527343702</v>
      </c>
      <c r="X940">
        <v>45.822634270718801</v>
      </c>
      <c r="Y940">
        <v>1.46799217551143</v>
      </c>
      <c r="Z940" s="31">
        <v>2.0201630123565999</v>
      </c>
      <c r="AA940">
        <v>8.6131108496504094</v>
      </c>
      <c r="AB940">
        <v>0.05</v>
      </c>
      <c r="AC940">
        <v>343833.74722017202</v>
      </c>
      <c r="AD940">
        <v>393448.95694404287</v>
      </c>
      <c r="AE940">
        <v>1</v>
      </c>
      <c r="AF940">
        <v>6977.1637881027418</v>
      </c>
      <c r="AG940">
        <v>297151.86572576128</v>
      </c>
    </row>
    <row r="941" spans="2:33" hidden="1" x14ac:dyDescent="0.25">
      <c r="B941">
        <v>17</v>
      </c>
      <c r="C941" t="s">
        <v>47</v>
      </c>
      <c r="D941" t="s">
        <v>28</v>
      </c>
      <c r="E941" t="s">
        <v>68</v>
      </c>
      <c r="F941">
        <v>173094</v>
      </c>
      <c r="G941">
        <v>173094</v>
      </c>
      <c r="H941">
        <v>23</v>
      </c>
      <c r="I941" s="5">
        <v>0</v>
      </c>
      <c r="J941">
        <v>0</v>
      </c>
      <c r="K941">
        <v>577839</v>
      </c>
      <c r="L941">
        <v>34651</v>
      </c>
      <c r="M941">
        <v>0</v>
      </c>
      <c r="N941">
        <v>14228</v>
      </c>
      <c r="O941" s="43">
        <v>23635800.994433761</v>
      </c>
      <c r="P941" s="14">
        <f t="shared" si="44"/>
        <v>815015.23017552122</v>
      </c>
      <c r="Q941" s="14" t="str">
        <f t="shared" si="42"/>
        <v/>
      </c>
      <c r="R941" s="14" t="str">
        <f t="shared" si="42"/>
        <v/>
      </c>
      <c r="S941" s="14" t="str">
        <f t="shared" si="43"/>
        <v/>
      </c>
      <c r="T941" s="14" t="s">
        <v>72</v>
      </c>
      <c r="U941" s="14">
        <v>0</v>
      </c>
      <c r="V941">
        <v>1624</v>
      </c>
      <c r="W941">
        <v>28.826318359375001</v>
      </c>
      <c r="X941">
        <v>31.052708441465398</v>
      </c>
      <c r="Y941">
        <v>2.73416433032564</v>
      </c>
      <c r="Z941" s="31">
        <v>2.5192113999529102</v>
      </c>
      <c r="AA941">
        <v>2.50664634427882</v>
      </c>
      <c r="AB941">
        <v>0.05</v>
      </c>
      <c r="AC941">
        <v>343833.74722017202</v>
      </c>
      <c r="AD941">
        <v>393448.95694404287</v>
      </c>
      <c r="AE941">
        <v>1</v>
      </c>
      <c r="AF941">
        <v>6977.1637881027418</v>
      </c>
      <c r="AG941">
        <v>297151.86572576128</v>
      </c>
    </row>
    <row r="942" spans="2:33" hidden="1" x14ac:dyDescent="0.25">
      <c r="B942">
        <v>17</v>
      </c>
      <c r="C942" t="s">
        <v>47</v>
      </c>
      <c r="D942" t="s">
        <v>28</v>
      </c>
      <c r="E942" t="s">
        <v>68</v>
      </c>
      <c r="F942">
        <v>173094</v>
      </c>
      <c r="G942">
        <v>173094</v>
      </c>
      <c r="H942">
        <v>24</v>
      </c>
      <c r="I942" s="5">
        <v>0</v>
      </c>
      <c r="J942">
        <v>0</v>
      </c>
      <c r="K942">
        <v>577839</v>
      </c>
      <c r="L942">
        <v>34651</v>
      </c>
      <c r="M942">
        <v>0</v>
      </c>
      <c r="N942">
        <v>14228</v>
      </c>
      <c r="O942" s="43">
        <v>24365816.601904798</v>
      </c>
      <c r="P942" s="14">
        <f t="shared" si="44"/>
        <v>730015.60747103766</v>
      </c>
      <c r="Q942" s="14" t="str">
        <f t="shared" si="42"/>
        <v/>
      </c>
      <c r="R942" s="14" t="str">
        <f t="shared" si="42"/>
        <v/>
      </c>
      <c r="S942" s="14" t="str">
        <f t="shared" si="43"/>
        <v/>
      </c>
      <c r="T942" s="14" t="s">
        <v>72</v>
      </c>
      <c r="U942" s="14">
        <v>0</v>
      </c>
      <c r="V942">
        <v>1624</v>
      </c>
      <c r="W942">
        <v>27.764184570312501</v>
      </c>
      <c r="X942">
        <v>47.336802245849</v>
      </c>
      <c r="Y942">
        <v>1.9629020506114301</v>
      </c>
      <c r="Z942" s="31">
        <v>1.13426145529324</v>
      </c>
      <c r="AA942">
        <v>0.91003070897157501</v>
      </c>
      <c r="AB942">
        <v>0.05</v>
      </c>
      <c r="AC942">
        <v>343833.74722017202</v>
      </c>
      <c r="AD942">
        <v>393448.95694404287</v>
      </c>
      <c r="AE942">
        <v>1</v>
      </c>
      <c r="AF942">
        <v>6977.1637881027418</v>
      </c>
      <c r="AG942">
        <v>297151.86572576128</v>
      </c>
    </row>
    <row r="943" spans="2:33" hidden="1" x14ac:dyDescent="0.25">
      <c r="B943">
        <v>17</v>
      </c>
      <c r="C943" t="s">
        <v>47</v>
      </c>
      <c r="D943" t="s">
        <v>28</v>
      </c>
      <c r="E943" t="s">
        <v>68</v>
      </c>
      <c r="F943">
        <v>173094</v>
      </c>
      <c r="G943">
        <v>173094</v>
      </c>
      <c r="H943">
        <v>25</v>
      </c>
      <c r="I943" s="5">
        <v>0</v>
      </c>
      <c r="J943">
        <v>0</v>
      </c>
      <c r="K943">
        <v>577839</v>
      </c>
      <c r="L943">
        <v>34651</v>
      </c>
      <c r="M943">
        <v>0</v>
      </c>
      <c r="N943">
        <v>14228</v>
      </c>
      <c r="O943" s="43">
        <v>24940423.160246879</v>
      </c>
      <c r="P943" s="14">
        <f t="shared" si="44"/>
        <v>574606.55834208056</v>
      </c>
      <c r="Q943" s="14" t="str">
        <f t="shared" si="42"/>
        <v/>
      </c>
      <c r="R943" s="14" t="str">
        <f t="shared" si="42"/>
        <v/>
      </c>
      <c r="S943" s="14" t="str">
        <f t="shared" si="43"/>
        <v/>
      </c>
      <c r="T943" s="14" t="s">
        <v>72</v>
      </c>
      <c r="U943" s="14">
        <v>0</v>
      </c>
      <c r="V943">
        <v>1624</v>
      </c>
      <c r="W943">
        <v>24.464562988281301</v>
      </c>
      <c r="X943">
        <v>54.717624080702997</v>
      </c>
      <c r="Y943">
        <v>1.3892408158734799</v>
      </c>
      <c r="Z943" s="31">
        <v>1.08964617196131</v>
      </c>
      <c r="AA943">
        <v>6.8783247187138601</v>
      </c>
      <c r="AB943">
        <v>0.05</v>
      </c>
      <c r="AC943">
        <v>343833.74722017202</v>
      </c>
      <c r="AD943">
        <v>393448.95694404287</v>
      </c>
      <c r="AE943">
        <v>1</v>
      </c>
      <c r="AF943">
        <v>6977.1637881027418</v>
      </c>
      <c r="AG943">
        <v>297151.86572576128</v>
      </c>
    </row>
    <row r="944" spans="2:33" hidden="1" x14ac:dyDescent="0.25">
      <c r="B944">
        <v>17</v>
      </c>
      <c r="C944" t="s">
        <v>47</v>
      </c>
      <c r="D944" t="s">
        <v>28</v>
      </c>
      <c r="E944" t="s">
        <v>68</v>
      </c>
      <c r="F944">
        <v>173094</v>
      </c>
      <c r="G944">
        <v>173094</v>
      </c>
      <c r="H944">
        <v>26</v>
      </c>
      <c r="I944" s="5">
        <v>0</v>
      </c>
      <c r="J944">
        <v>0</v>
      </c>
      <c r="K944">
        <v>577839</v>
      </c>
      <c r="L944">
        <v>34651</v>
      </c>
      <c r="M944">
        <v>0</v>
      </c>
      <c r="N944">
        <v>14228</v>
      </c>
      <c r="O944" s="43">
        <v>25703715.858527519</v>
      </c>
      <c r="P944" s="14">
        <f t="shared" si="44"/>
        <v>763292.69828063995</v>
      </c>
      <c r="Q944" s="14" t="str">
        <f t="shared" si="42"/>
        <v/>
      </c>
      <c r="R944" s="14" t="str">
        <f t="shared" si="42"/>
        <v/>
      </c>
      <c r="S944" s="14" t="str">
        <f t="shared" si="43"/>
        <v/>
      </c>
      <c r="T944" s="14" t="s">
        <v>72</v>
      </c>
      <c r="U944" s="14">
        <v>0</v>
      </c>
      <c r="V944">
        <v>1624</v>
      </c>
      <c r="W944">
        <v>24.781396484375001</v>
      </c>
      <c r="X944">
        <v>55.028117003136998</v>
      </c>
      <c r="Y944">
        <v>1.40601570193683</v>
      </c>
      <c r="Z944" s="31">
        <v>0.85830809217579995</v>
      </c>
      <c r="AA944">
        <v>7.1631051755132003</v>
      </c>
      <c r="AB944">
        <v>0.05</v>
      </c>
      <c r="AC944">
        <v>343833.74722017202</v>
      </c>
      <c r="AD944">
        <v>393448.95694404287</v>
      </c>
      <c r="AE944">
        <v>1</v>
      </c>
      <c r="AF944">
        <v>6977.1637881027418</v>
      </c>
      <c r="AG944">
        <v>297151.86572576128</v>
      </c>
    </row>
    <row r="945" spans="2:33" hidden="1" x14ac:dyDescent="0.25">
      <c r="B945">
        <v>17</v>
      </c>
      <c r="C945" t="s">
        <v>47</v>
      </c>
      <c r="D945" t="s">
        <v>28</v>
      </c>
      <c r="E945" t="s">
        <v>68</v>
      </c>
      <c r="F945">
        <v>173094</v>
      </c>
      <c r="G945">
        <v>173094</v>
      </c>
      <c r="H945">
        <v>27</v>
      </c>
      <c r="I945" s="5">
        <v>0</v>
      </c>
      <c r="J945">
        <v>0</v>
      </c>
      <c r="K945">
        <v>577839</v>
      </c>
      <c r="L945">
        <v>34651</v>
      </c>
      <c r="M945">
        <v>0</v>
      </c>
      <c r="N945">
        <v>14228</v>
      </c>
      <c r="O945" s="43">
        <v>26696389.328912161</v>
      </c>
      <c r="P945" s="14">
        <f t="shared" si="44"/>
        <v>992673.47038464248</v>
      </c>
      <c r="Q945" s="14" t="str">
        <f t="shared" si="42"/>
        <v/>
      </c>
      <c r="R945" s="14" t="str">
        <f t="shared" si="42"/>
        <v/>
      </c>
      <c r="S945" s="14" t="str">
        <f t="shared" si="43"/>
        <v/>
      </c>
      <c r="T945" s="14" t="s">
        <v>72</v>
      </c>
      <c r="U945" s="14">
        <v>0</v>
      </c>
      <c r="V945">
        <v>1624</v>
      </c>
      <c r="W945">
        <v>25.217645263671901</v>
      </c>
      <c r="X945">
        <v>48.479285126828501</v>
      </c>
      <c r="Y945">
        <v>1.6532888791112901</v>
      </c>
      <c r="Z945" s="31">
        <v>0.79504483382662805</v>
      </c>
      <c r="AA945">
        <v>8.0019273881472692</v>
      </c>
      <c r="AB945">
        <v>0.05</v>
      </c>
      <c r="AC945">
        <v>343833.74722017202</v>
      </c>
      <c r="AD945">
        <v>393448.95694404287</v>
      </c>
      <c r="AE945">
        <v>1</v>
      </c>
      <c r="AF945">
        <v>6977.1637881027418</v>
      </c>
      <c r="AG945">
        <v>297151.86572576128</v>
      </c>
    </row>
    <row r="946" spans="2:33" hidden="1" x14ac:dyDescent="0.25">
      <c r="B946">
        <v>17</v>
      </c>
      <c r="C946" t="s">
        <v>47</v>
      </c>
      <c r="D946" t="s">
        <v>28</v>
      </c>
      <c r="E946" t="s">
        <v>68</v>
      </c>
      <c r="F946">
        <v>173094</v>
      </c>
      <c r="G946">
        <v>173094</v>
      </c>
      <c r="H946">
        <v>28</v>
      </c>
      <c r="I946" s="5">
        <v>0</v>
      </c>
      <c r="J946">
        <v>0</v>
      </c>
      <c r="K946">
        <v>577839</v>
      </c>
      <c r="L946">
        <v>34651</v>
      </c>
      <c r="M946">
        <v>0</v>
      </c>
      <c r="N946">
        <v>14228</v>
      </c>
      <c r="O946" s="43">
        <v>26696389.328912161</v>
      </c>
      <c r="P946" s="14">
        <f t="shared" si="44"/>
        <v>0</v>
      </c>
      <c r="Q946" s="14" t="str">
        <f t="shared" si="42"/>
        <v/>
      </c>
      <c r="R946" s="14" t="str">
        <f t="shared" si="42"/>
        <v/>
      </c>
      <c r="S946" s="14" t="str">
        <f t="shared" si="43"/>
        <v/>
      </c>
      <c r="T946" s="14" t="s">
        <v>72</v>
      </c>
      <c r="U946" s="14">
        <v>0</v>
      </c>
      <c r="V946">
        <v>1624</v>
      </c>
      <c r="W946">
        <v>23.199426269531301</v>
      </c>
      <c r="X946">
        <v>47.772124472063503</v>
      </c>
      <c r="Y946">
        <v>1.48540911726743</v>
      </c>
      <c r="Z946" s="31">
        <v>1.5170757494401601</v>
      </c>
      <c r="AA946">
        <v>10.204728274908</v>
      </c>
      <c r="AB946">
        <v>0.05</v>
      </c>
      <c r="AC946">
        <v>343833.74722017202</v>
      </c>
      <c r="AD946">
        <v>393448.95694404287</v>
      </c>
      <c r="AE946">
        <v>1</v>
      </c>
      <c r="AF946">
        <v>6977.1637881027418</v>
      </c>
      <c r="AG946">
        <v>297151.86572576128</v>
      </c>
    </row>
    <row r="947" spans="2:33" hidden="1" x14ac:dyDescent="0.25">
      <c r="B947">
        <v>17</v>
      </c>
      <c r="C947" t="s">
        <v>47</v>
      </c>
      <c r="D947" t="s">
        <v>28</v>
      </c>
      <c r="E947" t="s">
        <v>68</v>
      </c>
      <c r="F947">
        <v>173094</v>
      </c>
      <c r="G947">
        <v>173094</v>
      </c>
      <c r="H947">
        <v>29</v>
      </c>
      <c r="I947" s="5">
        <v>0</v>
      </c>
      <c r="J947">
        <v>0</v>
      </c>
      <c r="K947">
        <v>577839</v>
      </c>
      <c r="L947">
        <v>34651</v>
      </c>
      <c r="M947">
        <v>0</v>
      </c>
      <c r="N947">
        <v>14228</v>
      </c>
      <c r="O947" s="43">
        <v>28067538.212445602</v>
      </c>
      <c r="P947" s="14">
        <f t="shared" si="44"/>
        <v>1371148.8835334405</v>
      </c>
      <c r="Q947" s="14" t="str">
        <f t="shared" si="42"/>
        <v/>
      </c>
      <c r="R947" s="14" t="str">
        <f t="shared" si="42"/>
        <v/>
      </c>
      <c r="S947" s="14" t="str">
        <f t="shared" si="43"/>
        <v/>
      </c>
      <c r="T947" s="14" t="s">
        <v>72</v>
      </c>
      <c r="U947" s="14">
        <v>0</v>
      </c>
      <c r="V947">
        <v>1624</v>
      </c>
      <c r="W947">
        <v>19.288354492187501</v>
      </c>
      <c r="X947">
        <v>58.4105676413513</v>
      </c>
      <c r="Y947">
        <v>0.93094068241586703</v>
      </c>
      <c r="Z947" s="31">
        <v>1.2373849339194101</v>
      </c>
      <c r="AA947">
        <v>4.4043708277253701</v>
      </c>
      <c r="AB947">
        <v>0.05</v>
      </c>
      <c r="AC947">
        <v>343833.74722017202</v>
      </c>
      <c r="AD947">
        <v>393448.95694404287</v>
      </c>
      <c r="AE947">
        <v>1</v>
      </c>
      <c r="AF947">
        <v>6977.1637881027418</v>
      </c>
      <c r="AG947">
        <v>297151.86572576128</v>
      </c>
    </row>
    <row r="948" spans="2:33" hidden="1" x14ac:dyDescent="0.25">
      <c r="B948">
        <v>17</v>
      </c>
      <c r="C948" t="s">
        <v>47</v>
      </c>
      <c r="D948" t="s">
        <v>28</v>
      </c>
      <c r="E948" t="s">
        <v>68</v>
      </c>
      <c r="F948">
        <v>173094</v>
      </c>
      <c r="G948">
        <v>173094</v>
      </c>
      <c r="H948">
        <v>30</v>
      </c>
      <c r="I948" s="5">
        <v>0</v>
      </c>
      <c r="J948">
        <v>0</v>
      </c>
      <c r="K948">
        <v>577839</v>
      </c>
      <c r="L948">
        <v>34651</v>
      </c>
      <c r="M948">
        <v>0</v>
      </c>
      <c r="N948">
        <v>14228</v>
      </c>
      <c r="O948" s="43">
        <v>28703567.780632801</v>
      </c>
      <c r="P948" s="14">
        <f t="shared" si="44"/>
        <v>636029.56818719953</v>
      </c>
      <c r="Q948" s="14" t="str">
        <f t="shared" si="42"/>
        <v/>
      </c>
      <c r="R948" s="14" t="str">
        <f t="shared" si="42"/>
        <v/>
      </c>
      <c r="S948" s="14" t="str">
        <f t="shared" si="43"/>
        <v/>
      </c>
      <c r="T948" s="14" t="s">
        <v>72</v>
      </c>
      <c r="U948" s="14">
        <v>0</v>
      </c>
      <c r="V948">
        <v>1624</v>
      </c>
      <c r="W948">
        <v>21.947106933593702</v>
      </c>
      <c r="X948">
        <v>58.772767992172298</v>
      </c>
      <c r="Y948">
        <v>1.0867044631084299</v>
      </c>
      <c r="Z948" s="31">
        <v>1.5934283468682</v>
      </c>
      <c r="AA948">
        <v>2.62881274051708</v>
      </c>
      <c r="AB948">
        <v>0.05</v>
      </c>
      <c r="AC948">
        <v>343833.74722017202</v>
      </c>
      <c r="AD948">
        <v>393448.95694404287</v>
      </c>
      <c r="AE948">
        <v>1</v>
      </c>
      <c r="AF948">
        <v>6977.1637881027418</v>
      </c>
      <c r="AG948">
        <v>297151.86572576128</v>
      </c>
    </row>
    <row r="949" spans="2:33" hidden="1" x14ac:dyDescent="0.25">
      <c r="B949">
        <v>17</v>
      </c>
      <c r="C949" t="s">
        <v>47</v>
      </c>
      <c r="D949" t="s">
        <v>28</v>
      </c>
      <c r="E949" t="s">
        <v>68</v>
      </c>
      <c r="F949">
        <v>173094</v>
      </c>
      <c r="G949">
        <v>173094</v>
      </c>
      <c r="H949">
        <v>31</v>
      </c>
      <c r="I949" s="5">
        <v>0</v>
      </c>
      <c r="J949">
        <v>0</v>
      </c>
      <c r="K949">
        <v>577839</v>
      </c>
      <c r="L949">
        <v>34651</v>
      </c>
      <c r="M949">
        <v>0</v>
      </c>
      <c r="N949">
        <v>14228</v>
      </c>
      <c r="O949" s="43">
        <v>29511178.64068066</v>
      </c>
      <c r="P949" s="14">
        <f t="shared" si="44"/>
        <v>807610.86004785821</v>
      </c>
      <c r="Q949" s="14" t="str">
        <f t="shared" si="42"/>
        <v/>
      </c>
      <c r="R949" s="14" t="str">
        <f t="shared" si="42"/>
        <v/>
      </c>
      <c r="S949" s="14" t="str">
        <f t="shared" si="43"/>
        <v/>
      </c>
      <c r="T949" s="14" t="s">
        <v>72</v>
      </c>
      <c r="U949" s="14">
        <v>0</v>
      </c>
      <c r="V949">
        <v>1624</v>
      </c>
      <c r="W949">
        <v>23.893731689453102</v>
      </c>
      <c r="X949">
        <v>50.816537659176198</v>
      </c>
      <c r="Y949">
        <v>1.45836951771892</v>
      </c>
      <c r="Z949" s="31">
        <v>1.19104480703357</v>
      </c>
      <c r="AA949">
        <v>4.25885448373307</v>
      </c>
      <c r="AB949">
        <v>0.05</v>
      </c>
      <c r="AC949">
        <v>343833.74722017202</v>
      </c>
      <c r="AD949">
        <v>393448.95694404287</v>
      </c>
      <c r="AE949">
        <v>1</v>
      </c>
      <c r="AF949">
        <v>6977.1637881027418</v>
      </c>
      <c r="AG949">
        <v>297151.86572576128</v>
      </c>
    </row>
    <row r="950" spans="2:33" hidden="1" x14ac:dyDescent="0.25">
      <c r="B950">
        <v>17</v>
      </c>
      <c r="C950" t="s">
        <v>47</v>
      </c>
      <c r="D950" t="s">
        <v>28</v>
      </c>
      <c r="E950" t="s">
        <v>68</v>
      </c>
      <c r="F950">
        <v>173094</v>
      </c>
      <c r="G950">
        <v>173094</v>
      </c>
      <c r="H950">
        <v>32</v>
      </c>
      <c r="I950" s="5">
        <v>0</v>
      </c>
      <c r="J950">
        <v>0</v>
      </c>
      <c r="K950">
        <v>577839</v>
      </c>
      <c r="L950">
        <v>34651</v>
      </c>
      <c r="M950">
        <v>0</v>
      </c>
      <c r="N950">
        <v>14228</v>
      </c>
      <c r="O950" s="43">
        <v>30143635.029747359</v>
      </c>
      <c r="P950" s="14">
        <f t="shared" si="44"/>
        <v>632456.38906669989</v>
      </c>
      <c r="Q950" s="14" t="str">
        <f t="shared" si="42"/>
        <v/>
      </c>
      <c r="R950" s="14" t="str">
        <f t="shared" si="42"/>
        <v/>
      </c>
      <c r="S950" s="14" t="str">
        <f t="shared" si="43"/>
        <v/>
      </c>
      <c r="T950" s="14" t="s">
        <v>72</v>
      </c>
      <c r="U950" s="14">
        <v>0</v>
      </c>
      <c r="V950">
        <v>1624</v>
      </c>
      <c r="W950">
        <v>20.791253662109401</v>
      </c>
      <c r="X950">
        <v>58.493179811576098</v>
      </c>
      <c r="Y950">
        <v>1.01945074168094</v>
      </c>
      <c r="Z950" s="31">
        <v>1.4328169540395299</v>
      </c>
      <c r="AA950">
        <v>8.2381103181159396</v>
      </c>
      <c r="AB950">
        <v>0.05</v>
      </c>
      <c r="AC950">
        <v>343833.74722017202</v>
      </c>
      <c r="AD950">
        <v>393448.95694404287</v>
      </c>
      <c r="AE950">
        <v>1</v>
      </c>
      <c r="AF950">
        <v>6977.1637881027418</v>
      </c>
      <c r="AG950">
        <v>297151.86572576128</v>
      </c>
    </row>
    <row r="951" spans="2:33" hidden="1" x14ac:dyDescent="0.25">
      <c r="B951">
        <v>17</v>
      </c>
      <c r="C951" t="s">
        <v>47</v>
      </c>
      <c r="D951" t="s">
        <v>28</v>
      </c>
      <c r="E951" t="s">
        <v>68</v>
      </c>
      <c r="F951">
        <v>173094</v>
      </c>
      <c r="G951">
        <v>173094</v>
      </c>
      <c r="H951">
        <v>33</v>
      </c>
      <c r="I951" s="5">
        <v>0</v>
      </c>
      <c r="J951">
        <v>0</v>
      </c>
      <c r="K951">
        <v>577839</v>
      </c>
      <c r="L951">
        <v>34651</v>
      </c>
      <c r="M951">
        <v>0</v>
      </c>
      <c r="N951">
        <v>14228</v>
      </c>
      <c r="O951" s="43">
        <v>30606025.241594881</v>
      </c>
      <c r="P951" s="14">
        <f t="shared" si="44"/>
        <v>462390.21184752136</v>
      </c>
      <c r="Q951" s="14" t="str">
        <f t="shared" si="42"/>
        <v/>
      </c>
      <c r="R951" s="14" t="str">
        <f t="shared" si="42"/>
        <v/>
      </c>
      <c r="S951" s="14" t="str">
        <f t="shared" si="43"/>
        <v/>
      </c>
      <c r="T951" s="14" t="s">
        <v>72</v>
      </c>
      <c r="U951" s="14">
        <v>0</v>
      </c>
      <c r="V951">
        <v>1624</v>
      </c>
      <c r="W951">
        <v>17.861047363281301</v>
      </c>
      <c r="X951">
        <v>61.0920385606099</v>
      </c>
      <c r="Y951">
        <v>0.79660725557754297</v>
      </c>
      <c r="Z951" s="31">
        <v>1.3684673585789899</v>
      </c>
      <c r="AA951">
        <v>9.8122118888064893</v>
      </c>
      <c r="AB951">
        <v>0.05</v>
      </c>
      <c r="AC951">
        <v>343833.74722017202</v>
      </c>
      <c r="AD951">
        <v>393448.95694404287</v>
      </c>
      <c r="AE951">
        <v>1</v>
      </c>
      <c r="AF951">
        <v>6977.1637881027418</v>
      </c>
      <c r="AG951">
        <v>297151.86572576128</v>
      </c>
    </row>
    <row r="952" spans="2:33" hidden="1" x14ac:dyDescent="0.25">
      <c r="B952">
        <v>17</v>
      </c>
      <c r="C952" t="s">
        <v>47</v>
      </c>
      <c r="D952" t="s">
        <v>28</v>
      </c>
      <c r="E952" t="s">
        <v>68</v>
      </c>
      <c r="F952">
        <v>173094</v>
      </c>
      <c r="G952">
        <v>173094</v>
      </c>
      <c r="H952">
        <v>34</v>
      </c>
      <c r="I952" s="5">
        <v>0</v>
      </c>
      <c r="J952">
        <v>0</v>
      </c>
      <c r="K952">
        <v>577839</v>
      </c>
      <c r="L952">
        <v>34651</v>
      </c>
      <c r="M952">
        <v>0</v>
      </c>
      <c r="N952">
        <v>14228</v>
      </c>
      <c r="O952" s="43">
        <v>31034112.757658999</v>
      </c>
      <c r="P952" s="14">
        <f t="shared" si="44"/>
        <v>428087.51606411859</v>
      </c>
      <c r="Q952" s="14" t="str">
        <f t="shared" si="42"/>
        <v/>
      </c>
      <c r="R952" s="14" t="str">
        <f t="shared" si="42"/>
        <v/>
      </c>
      <c r="S952" s="14" t="str">
        <f t="shared" si="43"/>
        <v/>
      </c>
      <c r="T952" s="14" t="s">
        <v>72</v>
      </c>
      <c r="U952" s="14">
        <v>0</v>
      </c>
      <c r="V952">
        <v>1624</v>
      </c>
      <c r="W952">
        <v>18.668847656250001</v>
      </c>
      <c r="X952">
        <v>60.8776320184963</v>
      </c>
      <c r="Y952">
        <v>0.84255496878726299</v>
      </c>
      <c r="Z952" s="31">
        <v>1.9709319009894299</v>
      </c>
      <c r="AA952">
        <v>14.7400097664729</v>
      </c>
      <c r="AB952">
        <v>0.05</v>
      </c>
      <c r="AC952">
        <v>343833.74722017202</v>
      </c>
      <c r="AD952">
        <v>393448.95694404287</v>
      </c>
      <c r="AE952">
        <v>1</v>
      </c>
      <c r="AF952">
        <v>6977.1637881027418</v>
      </c>
      <c r="AG952">
        <v>297151.86572576128</v>
      </c>
    </row>
    <row r="953" spans="2:33" hidden="1" x14ac:dyDescent="0.25">
      <c r="B953">
        <v>17</v>
      </c>
      <c r="C953" t="s">
        <v>47</v>
      </c>
      <c r="D953" t="s">
        <v>28</v>
      </c>
      <c r="E953" t="s">
        <v>68</v>
      </c>
      <c r="F953">
        <v>173094</v>
      </c>
      <c r="G953">
        <v>173094</v>
      </c>
      <c r="H953">
        <v>35</v>
      </c>
      <c r="I953" s="5">
        <v>0</v>
      </c>
      <c r="J953">
        <v>0</v>
      </c>
      <c r="K953">
        <v>577839</v>
      </c>
      <c r="L953">
        <v>34651</v>
      </c>
      <c r="M953">
        <v>0</v>
      </c>
      <c r="N953">
        <v>14228</v>
      </c>
      <c r="O953" s="43">
        <v>31215195.32265668</v>
      </c>
      <c r="P953" s="14">
        <f t="shared" si="44"/>
        <v>181082.56499768049</v>
      </c>
      <c r="Q953" s="14" t="str">
        <f t="shared" si="42"/>
        <v/>
      </c>
      <c r="R953" s="14" t="str">
        <f t="shared" si="42"/>
        <v/>
      </c>
      <c r="S953" s="14" t="str">
        <f t="shared" si="43"/>
        <v/>
      </c>
      <c r="T953" s="14" t="s">
        <v>72</v>
      </c>
      <c r="U953" s="14">
        <v>0</v>
      </c>
      <c r="V953">
        <v>1624</v>
      </c>
      <c r="W953">
        <v>11.5569091796875</v>
      </c>
      <c r="X953">
        <v>79.579443802754994</v>
      </c>
      <c r="Y953">
        <v>0.278554877632464</v>
      </c>
      <c r="Z953" s="31">
        <v>2.6981748672803199</v>
      </c>
      <c r="AA953">
        <v>12.552158987261199</v>
      </c>
      <c r="AB953">
        <v>0.05</v>
      </c>
      <c r="AC953">
        <v>343833.74722017202</v>
      </c>
      <c r="AD953">
        <v>393448.95694404287</v>
      </c>
      <c r="AE953">
        <v>1</v>
      </c>
      <c r="AF953">
        <v>6977.1637881027418</v>
      </c>
      <c r="AG953">
        <v>297151.86572576128</v>
      </c>
    </row>
    <row r="954" spans="2:33" hidden="1" x14ac:dyDescent="0.25">
      <c r="B954">
        <v>17</v>
      </c>
      <c r="C954" t="s">
        <v>47</v>
      </c>
      <c r="D954" t="s">
        <v>28</v>
      </c>
      <c r="E954" t="s">
        <v>68</v>
      </c>
      <c r="F954">
        <v>173094</v>
      </c>
      <c r="G954">
        <v>173094</v>
      </c>
      <c r="H954">
        <v>36</v>
      </c>
      <c r="I954" s="5">
        <v>0</v>
      </c>
      <c r="J954">
        <v>0</v>
      </c>
      <c r="K954">
        <v>577839</v>
      </c>
      <c r="L954">
        <v>34651</v>
      </c>
      <c r="M954">
        <v>0</v>
      </c>
      <c r="N954">
        <v>14228</v>
      </c>
      <c r="O954" s="43">
        <v>31469050.800000001</v>
      </c>
      <c r="P954" s="14">
        <f t="shared" si="44"/>
        <v>253855.47734332085</v>
      </c>
      <c r="Q954" s="14" t="str">
        <f t="shared" si="42"/>
        <v/>
      </c>
      <c r="R954" s="14" t="str">
        <f t="shared" si="42"/>
        <v/>
      </c>
      <c r="S954" s="14" t="str">
        <f t="shared" si="43"/>
        <v/>
      </c>
      <c r="T954" s="14" t="s">
        <v>72</v>
      </c>
      <c r="U954" s="14">
        <v>0</v>
      </c>
      <c r="V954">
        <v>1624</v>
      </c>
      <c r="W954">
        <v>11.7412658691406</v>
      </c>
      <c r="X954">
        <v>88.063687077862696</v>
      </c>
      <c r="Y954">
        <v>0.164805690752308</v>
      </c>
      <c r="Z954" s="31">
        <v>3.7364997145442702</v>
      </c>
      <c r="AA954">
        <v>22.953485310176099</v>
      </c>
      <c r="AB954">
        <v>0.05</v>
      </c>
      <c r="AC954">
        <v>343833.74722017202</v>
      </c>
      <c r="AD954">
        <v>393448.95694404287</v>
      </c>
      <c r="AE954">
        <v>1</v>
      </c>
      <c r="AF954">
        <v>6977.1637881027418</v>
      </c>
      <c r="AG954">
        <v>297151.86572576128</v>
      </c>
    </row>
    <row r="955" spans="2:33" hidden="1" x14ac:dyDescent="0.25">
      <c r="B955">
        <v>17</v>
      </c>
      <c r="C955" t="s">
        <v>47</v>
      </c>
      <c r="D955" t="s">
        <v>28</v>
      </c>
      <c r="E955" t="s">
        <v>68</v>
      </c>
      <c r="F955">
        <v>173094</v>
      </c>
      <c r="G955">
        <v>173094</v>
      </c>
      <c r="H955">
        <v>37</v>
      </c>
      <c r="I955" s="5">
        <v>0</v>
      </c>
      <c r="J955">
        <v>0</v>
      </c>
      <c r="K955">
        <v>577839</v>
      </c>
      <c r="L955">
        <v>34651</v>
      </c>
      <c r="M955">
        <v>0</v>
      </c>
      <c r="N955">
        <v>14228</v>
      </c>
      <c r="O955" s="43">
        <v>31577762.066399999</v>
      </c>
      <c r="P955" s="14">
        <f t="shared" si="44"/>
        <v>108711.26639999822</v>
      </c>
      <c r="Q955" s="14" t="str">
        <f t="shared" si="42"/>
        <v/>
      </c>
      <c r="R955" s="14" t="str">
        <f t="shared" si="42"/>
        <v/>
      </c>
      <c r="S955" s="14" t="str">
        <f t="shared" si="43"/>
        <v/>
      </c>
      <c r="T955" s="14" t="s">
        <v>72</v>
      </c>
      <c r="U955" s="14">
        <v>0</v>
      </c>
      <c r="V955">
        <v>1624</v>
      </c>
      <c r="W955">
        <v>13.685754394531299</v>
      </c>
      <c r="X955">
        <v>71.535663201490607</v>
      </c>
      <c r="Y955">
        <v>0.44635990419581101</v>
      </c>
      <c r="Z955" s="31">
        <v>1.36353651407634</v>
      </c>
      <c r="AA955">
        <v>12.476147336403301</v>
      </c>
      <c r="AB955">
        <v>0.05</v>
      </c>
      <c r="AC955">
        <v>343833.74722017202</v>
      </c>
      <c r="AD955">
        <v>393448.95694404287</v>
      </c>
      <c r="AE955">
        <v>1</v>
      </c>
      <c r="AF955">
        <v>6977.1637881027418</v>
      </c>
      <c r="AG955">
        <v>297151.86572576128</v>
      </c>
    </row>
    <row r="956" spans="2:33" hidden="1" x14ac:dyDescent="0.25">
      <c r="B956">
        <v>17</v>
      </c>
      <c r="C956" t="s">
        <v>47</v>
      </c>
      <c r="D956" t="s">
        <v>28</v>
      </c>
      <c r="E956" t="s">
        <v>68</v>
      </c>
      <c r="F956">
        <v>173094</v>
      </c>
      <c r="G956">
        <v>173094</v>
      </c>
      <c r="H956">
        <v>38</v>
      </c>
      <c r="I956" s="5">
        <v>0</v>
      </c>
      <c r="J956">
        <v>0</v>
      </c>
      <c r="K956">
        <v>577839</v>
      </c>
      <c r="L956">
        <v>34651</v>
      </c>
      <c r="M956">
        <v>0</v>
      </c>
      <c r="N956">
        <v>14228</v>
      </c>
      <c r="O956" s="43">
        <v>31726524.852000002</v>
      </c>
      <c r="P956" s="14">
        <f t="shared" si="44"/>
        <v>148762.78560000286</v>
      </c>
      <c r="Q956" s="14" t="str">
        <f t="shared" si="42"/>
        <v/>
      </c>
      <c r="R956" s="14" t="str">
        <f t="shared" si="42"/>
        <v/>
      </c>
      <c r="S956" s="14" t="str">
        <f t="shared" si="43"/>
        <v/>
      </c>
      <c r="T956" s="14" t="s">
        <v>72</v>
      </c>
      <c r="U956" s="14">
        <v>0</v>
      </c>
      <c r="V956">
        <v>1624</v>
      </c>
      <c r="W956">
        <v>13.810266113281299</v>
      </c>
      <c r="X956">
        <v>85.124764655888001</v>
      </c>
      <c r="Y956">
        <v>0.235130836195445</v>
      </c>
      <c r="Z956" s="31">
        <v>2.7720015254524002</v>
      </c>
      <c r="AA956">
        <v>23.219890454203998</v>
      </c>
      <c r="AB956">
        <v>0.05</v>
      </c>
      <c r="AC956">
        <v>343833.74722017202</v>
      </c>
      <c r="AD956">
        <v>393448.95694404287</v>
      </c>
      <c r="AE956">
        <v>1</v>
      </c>
      <c r="AF956">
        <v>6977.1637881027418</v>
      </c>
      <c r="AG956">
        <v>297151.86572576128</v>
      </c>
    </row>
    <row r="957" spans="2:33" hidden="1" x14ac:dyDescent="0.25">
      <c r="B957">
        <v>17</v>
      </c>
      <c r="C957" t="s">
        <v>47</v>
      </c>
      <c r="D957" t="s">
        <v>28</v>
      </c>
      <c r="E957" t="s">
        <v>68</v>
      </c>
      <c r="F957">
        <v>173094</v>
      </c>
      <c r="G957">
        <v>173094</v>
      </c>
      <c r="H957">
        <v>39</v>
      </c>
      <c r="I957" s="5">
        <v>0</v>
      </c>
      <c r="J957">
        <v>0</v>
      </c>
      <c r="K957">
        <v>577839</v>
      </c>
      <c r="L957">
        <v>34651</v>
      </c>
      <c r="M957">
        <v>0</v>
      </c>
      <c r="N957">
        <v>14228</v>
      </c>
      <c r="O957" s="43">
        <v>31726524.852000002</v>
      </c>
      <c r="P957" s="14">
        <f t="shared" si="44"/>
        <v>0</v>
      </c>
      <c r="Q957" s="14" t="str">
        <f t="shared" si="42"/>
        <v/>
      </c>
      <c r="R957" s="14" t="str">
        <f t="shared" si="42"/>
        <v/>
      </c>
      <c r="S957" s="14" t="str">
        <f t="shared" si="43"/>
        <v/>
      </c>
      <c r="T957" s="14" t="s">
        <v>72</v>
      </c>
      <c r="U957" s="14">
        <v>0</v>
      </c>
      <c r="V957">
        <v>1624</v>
      </c>
      <c r="W957">
        <v>13.2903686523437</v>
      </c>
      <c r="X957">
        <v>62.170420632147398</v>
      </c>
      <c r="Y957">
        <v>0.57820009562325003</v>
      </c>
      <c r="Z957" s="31">
        <v>1.9302975563474201</v>
      </c>
      <c r="AA957">
        <v>18.464700469158601</v>
      </c>
      <c r="AB957">
        <v>0.05</v>
      </c>
      <c r="AC957">
        <v>343833.74722017202</v>
      </c>
      <c r="AD957">
        <v>393448.95694404287</v>
      </c>
      <c r="AE957">
        <v>1</v>
      </c>
      <c r="AF957">
        <v>6977.1637881027418</v>
      </c>
      <c r="AG957">
        <v>297151.86572576128</v>
      </c>
    </row>
    <row r="958" spans="2:33" hidden="1" x14ac:dyDescent="0.25">
      <c r="B958">
        <v>17</v>
      </c>
      <c r="C958" t="s">
        <v>47</v>
      </c>
      <c r="D958" t="s">
        <v>28</v>
      </c>
      <c r="E958" t="s">
        <v>68</v>
      </c>
      <c r="F958">
        <v>173094</v>
      </c>
      <c r="G958">
        <v>173094</v>
      </c>
      <c r="H958">
        <v>40</v>
      </c>
      <c r="I958" s="5">
        <v>0</v>
      </c>
      <c r="J958">
        <v>0</v>
      </c>
      <c r="K958">
        <v>577839</v>
      </c>
      <c r="L958">
        <v>34651</v>
      </c>
      <c r="M958">
        <v>0</v>
      </c>
      <c r="N958">
        <v>14228</v>
      </c>
      <c r="O958" s="43">
        <v>32041215.359999999</v>
      </c>
      <c r="P958" s="14">
        <f t="shared" si="44"/>
        <v>314690.50799999759</v>
      </c>
      <c r="Q958" s="14" t="str">
        <f t="shared" si="42"/>
        <v/>
      </c>
      <c r="R958" s="14" t="str">
        <f t="shared" si="42"/>
        <v/>
      </c>
      <c r="S958" s="14" t="str">
        <f t="shared" si="43"/>
        <v/>
      </c>
      <c r="T958" s="14" t="s">
        <v>72</v>
      </c>
      <c r="U958" s="14">
        <v>0</v>
      </c>
      <c r="V958">
        <v>1624</v>
      </c>
      <c r="W958">
        <v>16.695825195312501</v>
      </c>
      <c r="X958">
        <v>52.820611757775303</v>
      </c>
      <c r="Y958">
        <v>0.89755184813047695</v>
      </c>
      <c r="Z958" s="31">
        <v>1.92142264570071</v>
      </c>
      <c r="AA958">
        <v>14.157658766544801</v>
      </c>
      <c r="AB958">
        <v>0.05</v>
      </c>
      <c r="AC958">
        <v>343833.74722017202</v>
      </c>
      <c r="AD958">
        <v>393448.95694404287</v>
      </c>
      <c r="AE958">
        <v>1</v>
      </c>
      <c r="AF958">
        <v>6977.1637881027418</v>
      </c>
      <c r="AG958">
        <v>297151.86572576128</v>
      </c>
    </row>
    <row r="959" spans="2:33" hidden="1" x14ac:dyDescent="0.25">
      <c r="B959">
        <v>17</v>
      </c>
      <c r="C959" t="s">
        <v>47</v>
      </c>
      <c r="D959" t="s">
        <v>28</v>
      </c>
      <c r="E959" t="s">
        <v>68</v>
      </c>
      <c r="F959">
        <v>173094</v>
      </c>
      <c r="G959">
        <v>173094</v>
      </c>
      <c r="H959">
        <v>41</v>
      </c>
      <c r="I959" s="5">
        <v>0</v>
      </c>
      <c r="J959">
        <v>0</v>
      </c>
      <c r="K959">
        <v>577839</v>
      </c>
      <c r="L959">
        <v>34651</v>
      </c>
      <c r="M959">
        <v>0</v>
      </c>
      <c r="N959">
        <v>14228</v>
      </c>
      <c r="O959" s="43">
        <v>32041215.359999999</v>
      </c>
      <c r="P959" s="14">
        <f t="shared" si="44"/>
        <v>0</v>
      </c>
      <c r="Q959" s="14" t="str">
        <f t="shared" si="42"/>
        <v/>
      </c>
      <c r="R959" s="14" t="str">
        <f t="shared" si="42"/>
        <v/>
      </c>
      <c r="S959" s="14" t="str">
        <f t="shared" si="43"/>
        <v/>
      </c>
      <c r="T959" s="14" t="s">
        <v>72</v>
      </c>
      <c r="U959" s="14">
        <v>0</v>
      </c>
      <c r="V959">
        <v>1624</v>
      </c>
      <c r="W959">
        <v>19.085229492187501</v>
      </c>
      <c r="X959">
        <v>62.4288765106445</v>
      </c>
      <c r="Y959">
        <v>0.83040000475718001</v>
      </c>
      <c r="Z959" s="31">
        <v>1.72765864286699</v>
      </c>
      <c r="AA959">
        <v>19.719983229859199</v>
      </c>
      <c r="AB959">
        <v>0.05</v>
      </c>
      <c r="AC959">
        <v>343833.74722017202</v>
      </c>
      <c r="AD959">
        <v>393448.95694404287</v>
      </c>
      <c r="AE959">
        <v>1</v>
      </c>
      <c r="AF959">
        <v>6977.1637881027418</v>
      </c>
      <c r="AG959">
        <v>297151.86572576128</v>
      </c>
    </row>
    <row r="960" spans="2:33" hidden="1" x14ac:dyDescent="0.25">
      <c r="B960">
        <v>17</v>
      </c>
      <c r="C960" t="s">
        <v>47</v>
      </c>
      <c r="D960" t="s">
        <v>28</v>
      </c>
      <c r="E960" t="s">
        <v>68</v>
      </c>
      <c r="F960">
        <v>173094</v>
      </c>
      <c r="G960">
        <v>173094</v>
      </c>
      <c r="H960">
        <v>42</v>
      </c>
      <c r="I960" s="5">
        <v>0</v>
      </c>
      <c r="J960">
        <v>0</v>
      </c>
      <c r="K960">
        <v>577839</v>
      </c>
      <c r="L960">
        <v>34651</v>
      </c>
      <c r="M960">
        <v>0</v>
      </c>
      <c r="N960">
        <v>14228</v>
      </c>
      <c r="O960" s="43">
        <v>32041215.359999999</v>
      </c>
      <c r="P960" s="14">
        <f t="shared" si="44"/>
        <v>0</v>
      </c>
      <c r="Q960" s="14" t="str">
        <f t="shared" si="42"/>
        <v/>
      </c>
      <c r="R960" s="14" t="str">
        <f t="shared" si="42"/>
        <v/>
      </c>
      <c r="S960" s="14" t="str">
        <f t="shared" si="43"/>
        <v/>
      </c>
      <c r="T960" s="14" t="s">
        <v>72</v>
      </c>
      <c r="U960" s="14">
        <v>0</v>
      </c>
      <c r="V960">
        <v>1624</v>
      </c>
      <c r="W960">
        <v>16.531579589843702</v>
      </c>
      <c r="X960">
        <v>62.747828054053798</v>
      </c>
      <c r="Y960">
        <v>0.70128471633091705</v>
      </c>
      <c r="Z960" s="31">
        <v>1.41439047661573</v>
      </c>
      <c r="AA960">
        <v>14.9865983486609</v>
      </c>
      <c r="AB960">
        <v>0.05</v>
      </c>
      <c r="AC960">
        <v>343833.74722017202</v>
      </c>
      <c r="AD960">
        <v>393448.95694404287</v>
      </c>
      <c r="AE960">
        <v>1</v>
      </c>
      <c r="AF960">
        <v>6977.1637881027418</v>
      </c>
      <c r="AG960">
        <v>297151.86572576128</v>
      </c>
    </row>
    <row r="961" spans="1:33" hidden="1" x14ac:dyDescent="0.25">
      <c r="B961">
        <v>17</v>
      </c>
      <c r="C961" t="s">
        <v>47</v>
      </c>
      <c r="D961" t="s">
        <v>28</v>
      </c>
      <c r="E961" t="s">
        <v>68</v>
      </c>
      <c r="F961">
        <v>173094</v>
      </c>
      <c r="G961">
        <v>173094</v>
      </c>
      <c r="H961">
        <v>43</v>
      </c>
      <c r="I961" s="5">
        <v>0</v>
      </c>
      <c r="J961">
        <v>0</v>
      </c>
      <c r="K961">
        <v>577839</v>
      </c>
      <c r="L961">
        <v>34651</v>
      </c>
      <c r="M961">
        <v>0</v>
      </c>
      <c r="N961">
        <v>14228</v>
      </c>
      <c r="O961" s="43">
        <v>32069823.588</v>
      </c>
      <c r="P961" s="14">
        <f t="shared" si="44"/>
        <v>28608.228000000119</v>
      </c>
      <c r="Q961" s="14" t="str">
        <f t="shared" si="42"/>
        <v/>
      </c>
      <c r="R961" s="14" t="str">
        <f t="shared" si="42"/>
        <v/>
      </c>
      <c r="S961" s="14" t="str">
        <f t="shared" si="43"/>
        <v/>
      </c>
      <c r="T961" s="14" t="s">
        <v>72</v>
      </c>
      <c r="U961" s="14">
        <v>0</v>
      </c>
      <c r="V961">
        <v>1624</v>
      </c>
      <c r="W961">
        <v>16.647424316406301</v>
      </c>
      <c r="X961">
        <v>73.400698142628698</v>
      </c>
      <c r="Y961">
        <v>0.50437963309957401</v>
      </c>
      <c r="Z961" s="31">
        <v>1.85658291047667</v>
      </c>
      <c r="AA961">
        <v>18.5974050871069</v>
      </c>
      <c r="AB961">
        <v>0.05</v>
      </c>
      <c r="AC961">
        <v>343833.74722017202</v>
      </c>
      <c r="AD961">
        <v>393448.95694404287</v>
      </c>
      <c r="AE961">
        <v>1</v>
      </c>
      <c r="AF961">
        <v>6977.1637881027418</v>
      </c>
      <c r="AG961">
        <v>297151.86572576128</v>
      </c>
    </row>
    <row r="962" spans="1:33" hidden="1" x14ac:dyDescent="0.25">
      <c r="B962">
        <v>17</v>
      </c>
      <c r="C962" t="s">
        <v>47</v>
      </c>
      <c r="D962" t="s">
        <v>28</v>
      </c>
      <c r="E962" t="s">
        <v>68</v>
      </c>
      <c r="F962">
        <v>173094</v>
      </c>
      <c r="G962">
        <v>173094</v>
      </c>
      <c r="H962">
        <v>44</v>
      </c>
      <c r="I962" s="5">
        <v>0</v>
      </c>
      <c r="J962">
        <v>0</v>
      </c>
      <c r="K962">
        <v>577839</v>
      </c>
      <c r="L962">
        <v>34651</v>
      </c>
      <c r="M962">
        <v>0</v>
      </c>
      <c r="N962">
        <v>14228</v>
      </c>
      <c r="O962" s="43">
        <v>32413122.324000001</v>
      </c>
      <c r="P962" s="14">
        <f t="shared" si="44"/>
        <v>343298.73600000143</v>
      </c>
      <c r="Q962" s="14" t="str">
        <f t="shared" si="42"/>
        <v/>
      </c>
      <c r="R962" s="14" t="str">
        <f t="shared" si="42"/>
        <v/>
      </c>
      <c r="S962" s="14" t="str">
        <f t="shared" si="43"/>
        <v/>
      </c>
      <c r="T962" s="14" t="s">
        <v>72</v>
      </c>
      <c r="U962" s="14">
        <v>0</v>
      </c>
      <c r="V962">
        <v>1624</v>
      </c>
      <c r="W962">
        <v>14.2048278808594</v>
      </c>
      <c r="X962">
        <v>66.572496802996596</v>
      </c>
      <c r="Y962">
        <v>0.54213332097660005</v>
      </c>
      <c r="Z962" s="31">
        <v>1.6236006834674199</v>
      </c>
      <c r="AA962">
        <v>16.060964779270101</v>
      </c>
      <c r="AB962">
        <v>0.05</v>
      </c>
      <c r="AC962">
        <v>343833.74722017202</v>
      </c>
      <c r="AD962">
        <v>393448.95694404287</v>
      </c>
      <c r="AE962">
        <v>1</v>
      </c>
      <c r="AF962">
        <v>6977.1637881027418</v>
      </c>
      <c r="AG962">
        <v>297151.86572576128</v>
      </c>
    </row>
    <row r="963" spans="1:33" hidden="1" x14ac:dyDescent="0.25">
      <c r="B963">
        <v>17</v>
      </c>
      <c r="C963" t="s">
        <v>47</v>
      </c>
      <c r="D963" t="s">
        <v>28</v>
      </c>
      <c r="E963" t="s">
        <v>68</v>
      </c>
      <c r="F963">
        <v>173094</v>
      </c>
      <c r="G963">
        <v>173094</v>
      </c>
      <c r="H963">
        <v>45</v>
      </c>
      <c r="I963" s="5">
        <v>0</v>
      </c>
      <c r="J963">
        <v>0</v>
      </c>
      <c r="K963">
        <v>577839</v>
      </c>
      <c r="L963">
        <v>34651</v>
      </c>
      <c r="M963">
        <v>0</v>
      </c>
      <c r="N963">
        <v>14228</v>
      </c>
      <c r="O963" s="43">
        <v>32521833.590399999</v>
      </c>
      <c r="P963" s="14">
        <f t="shared" si="44"/>
        <v>108711.26639999822</v>
      </c>
      <c r="Q963" s="14" t="str">
        <f t="shared" ref="Q963:R1026" si="45">IF(P963&gt;=0,"",P963)</f>
        <v/>
      </c>
      <c r="R963" s="14" t="str">
        <f t="shared" si="45"/>
        <v/>
      </c>
      <c r="S963" s="14" t="str">
        <f t="shared" ref="S963:S1026" si="46">IFERROR(IF(ISNA(Q963),NA(),Q963^2),"")</f>
        <v/>
      </c>
      <c r="T963" s="14" t="s">
        <v>72</v>
      </c>
      <c r="U963" s="14">
        <v>0</v>
      </c>
      <c r="V963">
        <v>1624</v>
      </c>
      <c r="W963">
        <v>15.0391174316406</v>
      </c>
      <c r="X963">
        <v>67.286760204208903</v>
      </c>
      <c r="Y963">
        <v>0.55984554075260395</v>
      </c>
      <c r="Z963" s="31">
        <v>1.8437595660155499</v>
      </c>
      <c r="AA963">
        <v>19.446190278031299</v>
      </c>
      <c r="AB963">
        <v>0.05</v>
      </c>
      <c r="AC963">
        <v>343833.74722017202</v>
      </c>
      <c r="AD963">
        <v>393448.95694404287</v>
      </c>
      <c r="AE963">
        <v>1</v>
      </c>
      <c r="AF963">
        <v>6977.1637881027418</v>
      </c>
      <c r="AG963">
        <v>297151.86572576128</v>
      </c>
    </row>
    <row r="964" spans="1:33" hidden="1" x14ac:dyDescent="0.25">
      <c r="B964">
        <v>17</v>
      </c>
      <c r="C964" t="s">
        <v>47</v>
      </c>
      <c r="D964" t="s">
        <v>28</v>
      </c>
      <c r="E964" t="s">
        <v>68</v>
      </c>
      <c r="F964">
        <v>173094</v>
      </c>
      <c r="G964">
        <v>173094</v>
      </c>
      <c r="H964">
        <v>46</v>
      </c>
      <c r="I964" s="5">
        <v>0</v>
      </c>
      <c r="J964">
        <v>0</v>
      </c>
      <c r="K964">
        <v>577839</v>
      </c>
      <c r="L964">
        <v>34651</v>
      </c>
      <c r="M964">
        <v>0</v>
      </c>
      <c r="N964">
        <v>14228</v>
      </c>
      <c r="O964" s="43">
        <v>32601936.628800001</v>
      </c>
      <c r="P964" s="14">
        <f t="shared" ref="P964:P1027" si="47">O964-O963</f>
        <v>80103.038400001824</v>
      </c>
      <c r="Q964" s="14" t="str">
        <f t="shared" si="45"/>
        <v/>
      </c>
      <c r="R964" s="14" t="str">
        <f t="shared" si="45"/>
        <v/>
      </c>
      <c r="S964" s="14" t="str">
        <f t="shared" si="46"/>
        <v/>
      </c>
      <c r="T964" s="14" t="s">
        <v>72</v>
      </c>
      <c r="U964" s="14">
        <v>0</v>
      </c>
      <c r="V964">
        <v>1624</v>
      </c>
      <c r="W964">
        <v>9.7759643554687692</v>
      </c>
      <c r="X964">
        <v>64.019010367306905</v>
      </c>
      <c r="Y964">
        <v>0.43602258440742703</v>
      </c>
      <c r="Z964" s="31">
        <v>2.4192918604111302</v>
      </c>
      <c r="AA964">
        <v>15.3663290236017</v>
      </c>
      <c r="AB964">
        <v>0.05</v>
      </c>
      <c r="AC964">
        <v>343833.74722017202</v>
      </c>
      <c r="AD964">
        <v>393448.95694404287</v>
      </c>
      <c r="AE964">
        <v>1</v>
      </c>
      <c r="AF964">
        <v>6977.1637881027418</v>
      </c>
      <c r="AG964">
        <v>297151.86572576128</v>
      </c>
    </row>
    <row r="965" spans="1:33" hidden="1" x14ac:dyDescent="0.25">
      <c r="B965">
        <v>17</v>
      </c>
      <c r="C965" t="s">
        <v>47</v>
      </c>
      <c r="D965" t="s">
        <v>28</v>
      </c>
      <c r="E965" t="s">
        <v>68</v>
      </c>
      <c r="F965">
        <v>173094</v>
      </c>
      <c r="G965">
        <v>173094</v>
      </c>
      <c r="H965">
        <v>47</v>
      </c>
      <c r="I965" s="5">
        <v>0</v>
      </c>
      <c r="J965">
        <v>0</v>
      </c>
      <c r="K965">
        <v>577839</v>
      </c>
      <c r="L965">
        <v>34651</v>
      </c>
      <c r="M965">
        <v>0</v>
      </c>
      <c r="N965">
        <v>14228</v>
      </c>
      <c r="O965" s="43">
        <v>32785029.287999999</v>
      </c>
      <c r="P965" s="14">
        <f t="shared" si="47"/>
        <v>183092.65919999778</v>
      </c>
      <c r="Q965" s="14" t="str">
        <f t="shared" si="45"/>
        <v/>
      </c>
      <c r="R965" s="14" t="str">
        <f t="shared" si="45"/>
        <v/>
      </c>
      <c r="S965" s="14" t="str">
        <f t="shared" si="46"/>
        <v/>
      </c>
      <c r="T965" s="14" t="s">
        <v>72</v>
      </c>
      <c r="U965" s="14">
        <v>0</v>
      </c>
      <c r="V965">
        <v>1624</v>
      </c>
      <c r="W965">
        <v>11.009912109375</v>
      </c>
      <c r="X965">
        <v>51.213294602674502</v>
      </c>
      <c r="Y965">
        <v>0.64190097302870097</v>
      </c>
      <c r="Z965" s="31">
        <v>2.3786569388453902</v>
      </c>
      <c r="AA965">
        <v>13.1672365919844</v>
      </c>
      <c r="AB965">
        <v>0.05</v>
      </c>
      <c r="AC965">
        <v>343833.74722017202</v>
      </c>
      <c r="AD965">
        <v>393448.95694404287</v>
      </c>
      <c r="AE965">
        <v>1</v>
      </c>
      <c r="AF965">
        <v>6977.1637881027418</v>
      </c>
      <c r="AG965">
        <v>297151.86572576128</v>
      </c>
    </row>
    <row r="966" spans="1:33" hidden="1" x14ac:dyDescent="0.25">
      <c r="B966">
        <v>17</v>
      </c>
      <c r="C966" t="s">
        <v>47</v>
      </c>
      <c r="D966" t="s">
        <v>28</v>
      </c>
      <c r="E966" t="s">
        <v>68</v>
      </c>
      <c r="F966">
        <v>173094</v>
      </c>
      <c r="G966">
        <v>173094</v>
      </c>
      <c r="H966">
        <v>48</v>
      </c>
      <c r="I966" s="5">
        <v>0</v>
      </c>
      <c r="J966">
        <v>0</v>
      </c>
      <c r="K966">
        <v>577839</v>
      </c>
      <c r="L966">
        <v>34651</v>
      </c>
      <c r="M966">
        <v>0</v>
      </c>
      <c r="N966">
        <v>14228</v>
      </c>
      <c r="O966" s="43">
        <v>32899462.199999999</v>
      </c>
      <c r="P966" s="14">
        <f t="shared" si="47"/>
        <v>114432.91200000048</v>
      </c>
      <c r="Q966" s="14" t="str">
        <f t="shared" si="45"/>
        <v/>
      </c>
      <c r="R966" s="14" t="str">
        <f t="shared" si="45"/>
        <v/>
      </c>
      <c r="S966" s="14" t="str">
        <f t="shared" si="46"/>
        <v/>
      </c>
      <c r="T966" s="14" t="s">
        <v>72</v>
      </c>
      <c r="U966" s="14">
        <v>0</v>
      </c>
      <c r="V966">
        <v>1624</v>
      </c>
      <c r="W966">
        <v>10.743371582031299</v>
      </c>
      <c r="X966">
        <v>61.582673954750703</v>
      </c>
      <c r="Y966">
        <v>0.49659187882691902</v>
      </c>
      <c r="Z966" s="31">
        <v>2.1499228997951301</v>
      </c>
      <c r="AA966">
        <v>19.167172604058599</v>
      </c>
      <c r="AB966">
        <v>0.05</v>
      </c>
      <c r="AC966">
        <v>343833.74722017202</v>
      </c>
      <c r="AD966">
        <v>393448.95694404287</v>
      </c>
      <c r="AE966">
        <v>1</v>
      </c>
      <c r="AF966">
        <v>6977.1637881027418</v>
      </c>
      <c r="AG966">
        <v>297151.86572576128</v>
      </c>
    </row>
    <row r="967" spans="1:33" hidden="1" x14ac:dyDescent="0.25">
      <c r="B967">
        <v>17</v>
      </c>
      <c r="C967" t="s">
        <v>47</v>
      </c>
      <c r="D967" t="s">
        <v>28</v>
      </c>
      <c r="E967" t="s">
        <v>68</v>
      </c>
      <c r="F967">
        <v>173094</v>
      </c>
      <c r="G967">
        <v>173094</v>
      </c>
      <c r="H967">
        <v>49</v>
      </c>
      <c r="I967" s="5">
        <v>0</v>
      </c>
      <c r="J967">
        <v>0</v>
      </c>
      <c r="K967">
        <v>577839</v>
      </c>
      <c r="L967">
        <v>34651</v>
      </c>
      <c r="M967">
        <v>0</v>
      </c>
      <c r="N967">
        <v>14228</v>
      </c>
      <c r="O967" s="43">
        <v>33128328.024</v>
      </c>
      <c r="P967" s="14">
        <f t="shared" si="47"/>
        <v>228865.82400000095</v>
      </c>
      <c r="Q967" s="14" t="str">
        <f t="shared" si="45"/>
        <v/>
      </c>
      <c r="R967" s="14" t="str">
        <f t="shared" si="45"/>
        <v/>
      </c>
      <c r="S967" s="14" t="str">
        <f t="shared" si="46"/>
        <v/>
      </c>
      <c r="T967" s="14" t="s">
        <v>72</v>
      </c>
      <c r="U967" s="14">
        <v>0</v>
      </c>
      <c r="V967">
        <v>1624</v>
      </c>
      <c r="W967">
        <v>10.27578125</v>
      </c>
      <c r="X967">
        <v>67.565792888165603</v>
      </c>
      <c r="Y967">
        <v>0.40639312023889201</v>
      </c>
      <c r="Z967" s="31">
        <v>1.8439180494054099</v>
      </c>
      <c r="AA967">
        <v>17.746110600833902</v>
      </c>
      <c r="AB967">
        <v>0.05</v>
      </c>
      <c r="AC967">
        <v>343833.74722017202</v>
      </c>
      <c r="AD967">
        <v>393448.95694404287</v>
      </c>
      <c r="AE967">
        <v>1</v>
      </c>
      <c r="AF967">
        <v>6977.1637881027418</v>
      </c>
      <c r="AG967">
        <v>297151.86572576128</v>
      </c>
    </row>
    <row r="968" spans="1:33" hidden="1" x14ac:dyDescent="0.25">
      <c r="B968">
        <v>17</v>
      </c>
      <c r="C968" t="s">
        <v>47</v>
      </c>
      <c r="D968" t="s">
        <v>28</v>
      </c>
      <c r="E968" t="s">
        <v>68</v>
      </c>
      <c r="F968">
        <v>173094</v>
      </c>
      <c r="G968">
        <v>173094</v>
      </c>
      <c r="H968">
        <v>50</v>
      </c>
      <c r="I968" s="5">
        <v>0</v>
      </c>
      <c r="J968">
        <v>0</v>
      </c>
      <c r="K968">
        <v>577839</v>
      </c>
      <c r="L968">
        <v>34651</v>
      </c>
      <c r="M968">
        <v>0</v>
      </c>
      <c r="N968">
        <v>14228</v>
      </c>
      <c r="O968" s="43">
        <v>33301044.26148187</v>
      </c>
      <c r="P968" s="14">
        <f t="shared" si="47"/>
        <v>172716.23748186976</v>
      </c>
      <c r="Q968" s="14" t="str">
        <f t="shared" si="45"/>
        <v/>
      </c>
      <c r="R968" s="14" t="str">
        <f t="shared" si="45"/>
        <v/>
      </c>
      <c r="S968" s="14" t="str">
        <f t="shared" si="46"/>
        <v/>
      </c>
      <c r="T968" s="14" t="s">
        <v>72</v>
      </c>
      <c r="U968" s="14">
        <v>0</v>
      </c>
      <c r="V968">
        <v>1624</v>
      </c>
      <c r="W968">
        <v>5.9025512695312701</v>
      </c>
      <c r="X968">
        <v>35.191413178647501</v>
      </c>
      <c r="Y968">
        <v>0.60324575071616904</v>
      </c>
      <c r="Z968" s="31">
        <v>2.4915261616862501</v>
      </c>
      <c r="AA968">
        <v>16.187957363595601</v>
      </c>
      <c r="AB968">
        <v>0.05</v>
      </c>
      <c r="AC968">
        <v>343833.74722017202</v>
      </c>
      <c r="AD968">
        <v>393448.95694404287</v>
      </c>
      <c r="AE968">
        <v>1</v>
      </c>
      <c r="AF968">
        <v>6977.1637881027418</v>
      </c>
      <c r="AG968">
        <v>297151.86572576128</v>
      </c>
    </row>
    <row r="969" spans="1:33" hidden="1" x14ac:dyDescent="0.25">
      <c r="A969" t="s">
        <v>100</v>
      </c>
      <c r="B969">
        <v>18</v>
      </c>
      <c r="C969" t="s">
        <v>48</v>
      </c>
      <c r="D969" t="s">
        <v>28</v>
      </c>
      <c r="E969" t="s">
        <v>67</v>
      </c>
      <c r="F969">
        <v>127</v>
      </c>
      <c r="G969">
        <v>204427</v>
      </c>
      <c r="H969">
        <v>1</v>
      </c>
      <c r="I969" s="5">
        <v>0</v>
      </c>
      <c r="J969">
        <v>4.7214898227729223E-2</v>
      </c>
      <c r="K969">
        <v>654076</v>
      </c>
      <c r="L969">
        <v>88188</v>
      </c>
      <c r="M969">
        <v>19</v>
      </c>
      <c r="N969">
        <v>65429</v>
      </c>
      <c r="O969" s="43">
        <v>400515.19199999998</v>
      </c>
      <c r="P969" s="14">
        <v>0</v>
      </c>
      <c r="Q969" s="14" t="str">
        <f t="shared" si="45"/>
        <v/>
      </c>
      <c r="R969" s="14" t="str">
        <f t="shared" si="45"/>
        <v/>
      </c>
      <c r="S969" s="14" t="str">
        <f t="shared" si="46"/>
        <v/>
      </c>
      <c r="T969" s="14" t="s">
        <v>72</v>
      </c>
      <c r="U969" s="14">
        <v>0</v>
      </c>
      <c r="V969">
        <v>4646</v>
      </c>
      <c r="W969">
        <v>29.879205322265602</v>
      </c>
      <c r="X969">
        <v>24.924761420917399</v>
      </c>
      <c r="Y969">
        <v>3.16362771113047</v>
      </c>
      <c r="Z969" s="31">
        <v>3.3511295413045099</v>
      </c>
      <c r="AA969">
        <v>12.9751173915924</v>
      </c>
      <c r="AB969">
        <v>0.05</v>
      </c>
      <c r="AC969">
        <v>331133.89612995298</v>
      </c>
      <c r="AD969">
        <v>378916.51734150521</v>
      </c>
      <c r="AE969">
        <v>1</v>
      </c>
      <c r="AF969">
        <v>563.51613958585824</v>
      </c>
      <c r="AG969">
        <v>10535.14127633661</v>
      </c>
    </row>
    <row r="970" spans="1:33" hidden="1" x14ac:dyDescent="0.25">
      <c r="B970">
        <v>18</v>
      </c>
      <c r="C970" t="s">
        <v>48</v>
      </c>
      <c r="D970" t="s">
        <v>28</v>
      </c>
      <c r="E970" t="s">
        <v>67</v>
      </c>
      <c r="F970">
        <v>368</v>
      </c>
      <c r="G970">
        <v>204427</v>
      </c>
      <c r="H970">
        <v>2</v>
      </c>
      <c r="I970" s="5">
        <v>0</v>
      </c>
      <c r="J970">
        <v>8.9596775377029453E-2</v>
      </c>
      <c r="K970">
        <v>654076</v>
      </c>
      <c r="L970">
        <v>88188</v>
      </c>
      <c r="M970">
        <v>19</v>
      </c>
      <c r="N970">
        <v>65429</v>
      </c>
      <c r="O970" s="43">
        <v>34329.873600000014</v>
      </c>
      <c r="P970" s="14">
        <f t="shared" si="47"/>
        <v>-366185.31839999999</v>
      </c>
      <c r="Q970" s="14">
        <f t="shared" si="45"/>
        <v>-366185.31839999999</v>
      </c>
      <c r="R970" s="14">
        <f t="shared" si="45"/>
        <v>-366185.31839999999</v>
      </c>
      <c r="S970" s="14">
        <f t="shared" si="46"/>
        <v>134091687411.70937</v>
      </c>
      <c r="T970" s="14">
        <v>134091687411.70937</v>
      </c>
      <c r="U970" s="14">
        <v>0</v>
      </c>
      <c r="V970">
        <v>4646</v>
      </c>
      <c r="W970">
        <v>28.241113281250001</v>
      </c>
      <c r="X970">
        <v>33.015324675189298</v>
      </c>
      <c r="Y970">
        <v>2.5677129392938598</v>
      </c>
      <c r="Z970" s="31">
        <v>3.6271485145151998</v>
      </c>
      <c r="AA970">
        <v>12.4257942114083</v>
      </c>
      <c r="AB970">
        <v>0.05</v>
      </c>
      <c r="AC970">
        <v>331133.89612995298</v>
      </c>
      <c r="AD970">
        <v>378916.51734150521</v>
      </c>
      <c r="AE970">
        <v>1</v>
      </c>
      <c r="AF970">
        <v>563.51613958585824</v>
      </c>
      <c r="AG970">
        <v>10535.14127633661</v>
      </c>
    </row>
    <row r="971" spans="1:33" hidden="1" x14ac:dyDescent="0.25">
      <c r="B971">
        <v>18</v>
      </c>
      <c r="C971" t="s">
        <v>48</v>
      </c>
      <c r="D971" t="s">
        <v>28</v>
      </c>
      <c r="E971" t="s">
        <v>67</v>
      </c>
      <c r="F971">
        <v>820</v>
      </c>
      <c r="G971">
        <v>204427</v>
      </c>
      <c r="H971">
        <v>3</v>
      </c>
      <c r="I971" s="5">
        <v>0</v>
      </c>
      <c r="J971">
        <v>0.16804042518845361</v>
      </c>
      <c r="K971">
        <v>654076</v>
      </c>
      <c r="L971">
        <v>88188</v>
      </c>
      <c r="M971">
        <v>19</v>
      </c>
      <c r="N971">
        <v>65429</v>
      </c>
      <c r="O971" s="43">
        <v>399507.03804527997</v>
      </c>
      <c r="P971" s="14">
        <f t="shared" si="47"/>
        <v>365177.16444527998</v>
      </c>
      <c r="Q971" s="14" t="str">
        <f t="shared" si="45"/>
        <v/>
      </c>
      <c r="R971" s="14" t="str">
        <f t="shared" si="45"/>
        <v/>
      </c>
      <c r="S971" s="14" t="str">
        <f t="shared" si="46"/>
        <v/>
      </c>
      <c r="T971" s="14" t="s">
        <v>72</v>
      </c>
      <c r="U971" s="14">
        <v>0</v>
      </c>
      <c r="V971">
        <v>4646</v>
      </c>
      <c r="W971">
        <v>27.320520019531301</v>
      </c>
      <c r="X971">
        <v>24.383336347061299</v>
      </c>
      <c r="Y971">
        <v>2.7477697733684701</v>
      </c>
      <c r="Z971" s="31">
        <v>3.7998155552295199</v>
      </c>
      <c r="AA971">
        <v>5.0106651498037298</v>
      </c>
      <c r="AB971">
        <v>0.05</v>
      </c>
      <c r="AC971">
        <v>331133.89612995298</v>
      </c>
      <c r="AD971">
        <v>378916.51734150521</v>
      </c>
      <c r="AE971">
        <v>1</v>
      </c>
      <c r="AF971">
        <v>563.51613958585824</v>
      </c>
      <c r="AG971">
        <v>10535.14127633661</v>
      </c>
    </row>
    <row r="972" spans="1:33" hidden="1" x14ac:dyDescent="0.25">
      <c r="B972">
        <v>18</v>
      </c>
      <c r="C972" t="s">
        <v>48</v>
      </c>
      <c r="D972" t="s">
        <v>28</v>
      </c>
      <c r="E972" t="s">
        <v>67</v>
      </c>
      <c r="F972">
        <v>836</v>
      </c>
      <c r="G972">
        <v>204427</v>
      </c>
      <c r="H972">
        <v>4</v>
      </c>
      <c r="I972">
        <v>127</v>
      </c>
      <c r="J972">
        <v>5.9483336349895072E-3</v>
      </c>
      <c r="K972">
        <v>654076</v>
      </c>
      <c r="L972">
        <v>88188</v>
      </c>
      <c r="M972">
        <v>19</v>
      </c>
      <c r="N972">
        <v>65429</v>
      </c>
      <c r="O972" s="43">
        <v>491284.52212752012</v>
      </c>
      <c r="P972" s="14">
        <f t="shared" si="47"/>
        <v>91777.484082240146</v>
      </c>
      <c r="Q972" s="14" t="str">
        <f t="shared" si="45"/>
        <v/>
      </c>
      <c r="R972" s="14" t="str">
        <f t="shared" si="45"/>
        <v/>
      </c>
      <c r="S972" s="14" t="str">
        <f t="shared" si="46"/>
        <v/>
      </c>
      <c r="T972" s="14" t="s">
        <v>72</v>
      </c>
      <c r="U972" s="14">
        <v>722.6573549782679</v>
      </c>
      <c r="V972">
        <v>4646</v>
      </c>
      <c r="W972">
        <v>24.807061767578102</v>
      </c>
      <c r="X972">
        <v>32.112372452168799</v>
      </c>
      <c r="Y972">
        <v>2.1265930205895902</v>
      </c>
      <c r="Z972" s="31">
        <v>4.0287081126324198</v>
      </c>
      <c r="AA972">
        <v>12.670847207381099</v>
      </c>
      <c r="AB972">
        <v>0.05</v>
      </c>
      <c r="AC972">
        <v>331133.89612995298</v>
      </c>
      <c r="AD972">
        <v>378916.51734150521</v>
      </c>
      <c r="AE972">
        <v>1</v>
      </c>
      <c r="AF972">
        <v>563.51613958585824</v>
      </c>
      <c r="AG972">
        <v>10535.14127633661</v>
      </c>
    </row>
    <row r="973" spans="1:33" hidden="1" x14ac:dyDescent="0.25">
      <c r="B973">
        <v>18</v>
      </c>
      <c r="C973" t="s">
        <v>48</v>
      </c>
      <c r="D973" t="s">
        <v>28</v>
      </c>
      <c r="E973" t="s">
        <v>67</v>
      </c>
      <c r="F973">
        <v>2069</v>
      </c>
      <c r="G973">
        <v>204427</v>
      </c>
      <c r="H973">
        <v>5</v>
      </c>
      <c r="I973">
        <v>241</v>
      </c>
      <c r="J973">
        <v>0.45839346074637888</v>
      </c>
      <c r="K973">
        <v>654076</v>
      </c>
      <c r="L973">
        <v>88188</v>
      </c>
      <c r="M973">
        <v>19</v>
      </c>
      <c r="N973">
        <v>65429</v>
      </c>
      <c r="O973" s="43">
        <v>583958.01591071999</v>
      </c>
      <c r="P973" s="14">
        <f t="shared" si="47"/>
        <v>92673.493783199869</v>
      </c>
      <c r="Q973" s="14" t="str">
        <f t="shared" si="45"/>
        <v/>
      </c>
      <c r="R973" s="14" t="str">
        <f t="shared" si="45"/>
        <v/>
      </c>
      <c r="S973" s="14" t="str">
        <f t="shared" si="46"/>
        <v/>
      </c>
      <c r="T973" s="14" t="s">
        <v>72</v>
      </c>
      <c r="U973" s="14">
        <v>384.53731860248934</v>
      </c>
      <c r="V973">
        <v>4646</v>
      </c>
      <c r="W973">
        <v>20.577783203125001</v>
      </c>
      <c r="X973">
        <v>59.4547559746822</v>
      </c>
      <c r="Y973">
        <v>0.98284287512410895</v>
      </c>
      <c r="Z973" s="31">
        <v>4.8713381242998199</v>
      </c>
      <c r="AA973">
        <v>19.2371406197251</v>
      </c>
      <c r="AB973">
        <v>0.05</v>
      </c>
      <c r="AC973">
        <v>331133.89612995298</v>
      </c>
      <c r="AD973">
        <v>378916.51734150521</v>
      </c>
      <c r="AE973">
        <v>1</v>
      </c>
      <c r="AF973">
        <v>563.51613958585824</v>
      </c>
      <c r="AG973">
        <v>10535.14127633661</v>
      </c>
    </row>
    <row r="974" spans="1:33" hidden="1" x14ac:dyDescent="0.25">
      <c r="B974">
        <v>18</v>
      </c>
      <c r="C974" t="s">
        <v>48</v>
      </c>
      <c r="D974" t="s">
        <v>28</v>
      </c>
      <c r="E974" t="s">
        <v>67</v>
      </c>
      <c r="F974">
        <v>2252</v>
      </c>
      <c r="G974">
        <v>204427</v>
      </c>
      <c r="H974">
        <v>6</v>
      </c>
      <c r="I974">
        <v>452</v>
      </c>
      <c r="J974">
        <v>6.8034065950192485E-2</v>
      </c>
      <c r="K974">
        <v>654076</v>
      </c>
      <c r="L974">
        <v>88188</v>
      </c>
      <c r="M974">
        <v>19</v>
      </c>
      <c r="N974">
        <v>65429</v>
      </c>
      <c r="O974" s="43">
        <v>852126.96786624007</v>
      </c>
      <c r="P974" s="14">
        <f t="shared" si="47"/>
        <v>268168.95195552008</v>
      </c>
      <c r="Q974" s="14" t="str">
        <f t="shared" si="45"/>
        <v/>
      </c>
      <c r="R974" s="14" t="str">
        <f t="shared" si="45"/>
        <v/>
      </c>
      <c r="S974" s="14" t="str">
        <f t="shared" si="46"/>
        <v/>
      </c>
      <c r="T974" s="14" t="s">
        <v>72</v>
      </c>
      <c r="U974" s="14">
        <v>593.2941414945135</v>
      </c>
      <c r="V974">
        <v>4646</v>
      </c>
      <c r="W974">
        <v>25.535791015625001</v>
      </c>
      <c r="X974">
        <v>27.151827945198299</v>
      </c>
      <c r="Y974">
        <v>2.38313441732253</v>
      </c>
      <c r="Z974" s="31">
        <v>1.32715780228208</v>
      </c>
      <c r="AA974">
        <v>11.0413984652591</v>
      </c>
      <c r="AB974">
        <v>0.05</v>
      </c>
      <c r="AC974">
        <v>331133.89612995298</v>
      </c>
      <c r="AD974">
        <v>378916.51734150521</v>
      </c>
      <c r="AE974">
        <v>1</v>
      </c>
      <c r="AF974">
        <v>563.51613958585824</v>
      </c>
      <c r="AG974">
        <v>10535.14127633661</v>
      </c>
    </row>
    <row r="975" spans="1:33" hidden="1" x14ac:dyDescent="0.25">
      <c r="B975">
        <v>18</v>
      </c>
      <c r="C975" t="s">
        <v>48</v>
      </c>
      <c r="D975" t="s">
        <v>28</v>
      </c>
      <c r="E975" t="s">
        <v>67</v>
      </c>
      <c r="F975">
        <v>2389</v>
      </c>
      <c r="G975">
        <v>204427</v>
      </c>
      <c r="H975">
        <v>7</v>
      </c>
      <c r="I975">
        <v>16</v>
      </c>
      <c r="J975">
        <v>5.0932606749597653E-2</v>
      </c>
      <c r="K975">
        <v>654076</v>
      </c>
      <c r="L975">
        <v>88188</v>
      </c>
      <c r="M975">
        <v>19</v>
      </c>
      <c r="N975">
        <v>65429</v>
      </c>
      <c r="O975" s="43">
        <v>988219.74144960009</v>
      </c>
      <c r="P975" s="14">
        <f t="shared" si="47"/>
        <v>136092.77358336002</v>
      </c>
      <c r="Q975" s="14" t="str">
        <f t="shared" si="45"/>
        <v/>
      </c>
      <c r="R975" s="14" t="str">
        <f t="shared" si="45"/>
        <v/>
      </c>
      <c r="S975" s="14" t="str">
        <f t="shared" si="46"/>
        <v/>
      </c>
      <c r="T975" s="14" t="s">
        <v>72</v>
      </c>
      <c r="U975" s="14">
        <v>8505.798348960001</v>
      </c>
      <c r="V975">
        <v>4646</v>
      </c>
      <c r="W975">
        <v>27.363366699218801</v>
      </c>
      <c r="X975">
        <v>20.8765839626092</v>
      </c>
      <c r="Y975">
        <v>2.88258907108417</v>
      </c>
      <c r="Z975" s="31">
        <v>2.9086362602743399</v>
      </c>
      <c r="AA975">
        <v>9.1174413132830097</v>
      </c>
      <c r="AB975">
        <v>0.05</v>
      </c>
      <c r="AC975">
        <v>331133.89612995298</v>
      </c>
      <c r="AD975">
        <v>378916.51734150521</v>
      </c>
      <c r="AE975">
        <v>1</v>
      </c>
      <c r="AF975">
        <v>563.51613958585824</v>
      </c>
      <c r="AG975">
        <v>10535.14127633661</v>
      </c>
    </row>
    <row r="976" spans="1:33" hidden="1" x14ac:dyDescent="0.25">
      <c r="B976">
        <v>18</v>
      </c>
      <c r="C976" t="s">
        <v>48</v>
      </c>
      <c r="D976" t="s">
        <v>28</v>
      </c>
      <c r="E976" t="s">
        <v>67</v>
      </c>
      <c r="F976">
        <v>2800</v>
      </c>
      <c r="G976">
        <v>204427</v>
      </c>
      <c r="H976">
        <v>8</v>
      </c>
      <c r="I976">
        <v>1233</v>
      </c>
      <c r="J976">
        <v>0.15279782024879299</v>
      </c>
      <c r="K976">
        <v>654076</v>
      </c>
      <c r="L976">
        <v>88188</v>
      </c>
      <c r="M976">
        <v>19</v>
      </c>
      <c r="N976">
        <v>65429</v>
      </c>
      <c r="O976" s="43">
        <v>1124629.4941992001</v>
      </c>
      <c r="P976" s="14">
        <f t="shared" si="47"/>
        <v>136409.75274959998</v>
      </c>
      <c r="Q976" s="14" t="str">
        <f t="shared" si="45"/>
        <v/>
      </c>
      <c r="R976" s="14" t="str">
        <f t="shared" si="45"/>
        <v/>
      </c>
      <c r="S976" s="14" t="str">
        <f t="shared" si="46"/>
        <v/>
      </c>
      <c r="T976" s="14" t="s">
        <v>72</v>
      </c>
      <c r="U976" s="14">
        <v>110.6324028788321</v>
      </c>
      <c r="V976">
        <v>4646</v>
      </c>
      <c r="W976">
        <v>24.211328125000001</v>
      </c>
      <c r="X976">
        <v>24.554354495212401</v>
      </c>
      <c r="Y976">
        <v>2.2810214678941301</v>
      </c>
      <c r="Z976" s="31">
        <v>3.3909366005844701</v>
      </c>
      <c r="AA976">
        <v>11.805439360879401</v>
      </c>
      <c r="AB976">
        <v>0.05</v>
      </c>
      <c r="AC976">
        <v>331133.89612995298</v>
      </c>
      <c r="AD976">
        <v>378916.51734150521</v>
      </c>
      <c r="AE976">
        <v>1</v>
      </c>
      <c r="AF976">
        <v>563.51613958585824</v>
      </c>
      <c r="AG976">
        <v>10535.14127633661</v>
      </c>
    </row>
    <row r="977" spans="2:33" hidden="1" x14ac:dyDescent="0.25">
      <c r="B977">
        <v>18</v>
      </c>
      <c r="C977" t="s">
        <v>48</v>
      </c>
      <c r="D977" t="s">
        <v>28</v>
      </c>
      <c r="E977" t="s">
        <v>67</v>
      </c>
      <c r="F977">
        <v>4006</v>
      </c>
      <c r="G977">
        <v>204427</v>
      </c>
      <c r="H977">
        <v>9</v>
      </c>
      <c r="I977">
        <v>183</v>
      </c>
      <c r="J977">
        <v>0.44835564773733411</v>
      </c>
      <c r="K977">
        <v>654076</v>
      </c>
      <c r="L977">
        <v>88188</v>
      </c>
      <c r="M977">
        <v>19</v>
      </c>
      <c r="N977">
        <v>65429</v>
      </c>
      <c r="O977" s="43">
        <v>1866921.4644696</v>
      </c>
      <c r="P977" s="14">
        <f t="shared" si="47"/>
        <v>742291.97027039994</v>
      </c>
      <c r="Q977" s="14" t="str">
        <f t="shared" si="45"/>
        <v/>
      </c>
      <c r="R977" s="14" t="str">
        <f t="shared" si="45"/>
        <v/>
      </c>
      <c r="S977" s="14" t="str">
        <f t="shared" si="46"/>
        <v/>
      </c>
      <c r="T977" s="14" t="s">
        <v>72</v>
      </c>
      <c r="U977" s="14">
        <v>4056.2402747016404</v>
      </c>
      <c r="V977">
        <v>4646</v>
      </c>
      <c r="W977">
        <v>23.942712402343702</v>
      </c>
      <c r="X977">
        <v>28.636906502423901</v>
      </c>
      <c r="Y977">
        <v>2.1230292603126499</v>
      </c>
      <c r="Z977" s="31">
        <v>3.96856982177541</v>
      </c>
      <c r="AA977">
        <v>11.316886394432499</v>
      </c>
      <c r="AB977">
        <v>0.05</v>
      </c>
      <c r="AC977">
        <v>331133.89612995298</v>
      </c>
      <c r="AD977">
        <v>378916.51734150521</v>
      </c>
      <c r="AE977">
        <v>1</v>
      </c>
      <c r="AF977">
        <v>563.51613958585824</v>
      </c>
      <c r="AG977">
        <v>10535.14127633661</v>
      </c>
    </row>
    <row r="978" spans="2:33" hidden="1" x14ac:dyDescent="0.25">
      <c r="B978">
        <v>18</v>
      </c>
      <c r="C978" t="s">
        <v>48</v>
      </c>
      <c r="D978" t="s">
        <v>28</v>
      </c>
      <c r="E978" t="s">
        <v>67</v>
      </c>
      <c r="F978">
        <v>4485</v>
      </c>
      <c r="G978">
        <v>204427</v>
      </c>
      <c r="H978">
        <v>10</v>
      </c>
      <c r="I978">
        <v>137</v>
      </c>
      <c r="J978">
        <v>0.17807823819749841</v>
      </c>
      <c r="K978">
        <v>654076</v>
      </c>
      <c r="L978">
        <v>88188</v>
      </c>
      <c r="M978">
        <v>19</v>
      </c>
      <c r="N978">
        <v>65429</v>
      </c>
      <c r="O978" s="43">
        <v>2389570.9034472001</v>
      </c>
      <c r="P978" s="14">
        <f t="shared" si="47"/>
        <v>522649.43897760008</v>
      </c>
      <c r="Q978" s="14" t="str">
        <f t="shared" si="45"/>
        <v/>
      </c>
      <c r="R978" s="14" t="str">
        <f t="shared" si="45"/>
        <v/>
      </c>
      <c r="S978" s="14" t="str">
        <f t="shared" si="46"/>
        <v/>
      </c>
      <c r="T978" s="14" t="s">
        <v>72</v>
      </c>
      <c r="U978" s="14">
        <v>3814.9594085956192</v>
      </c>
      <c r="V978">
        <v>4646</v>
      </c>
      <c r="W978">
        <v>24.780725097656301</v>
      </c>
      <c r="X978">
        <v>22.778437489260501</v>
      </c>
      <c r="Y978">
        <v>2.4155285242705502</v>
      </c>
      <c r="Z978" s="31">
        <v>3.1657289270620801</v>
      </c>
      <c r="AA978">
        <v>5.0368571850864603</v>
      </c>
      <c r="AB978">
        <v>0.05</v>
      </c>
      <c r="AC978">
        <v>331133.89612995298</v>
      </c>
      <c r="AD978">
        <v>378916.51734150521</v>
      </c>
      <c r="AE978">
        <v>1</v>
      </c>
      <c r="AF978">
        <v>563.51613958585824</v>
      </c>
      <c r="AG978">
        <v>10535.14127633661</v>
      </c>
    </row>
    <row r="979" spans="2:33" hidden="1" x14ac:dyDescent="0.25">
      <c r="B979">
        <v>18</v>
      </c>
      <c r="C979" t="s">
        <v>48</v>
      </c>
      <c r="D979" t="s">
        <v>28</v>
      </c>
      <c r="E979" t="s">
        <v>67</v>
      </c>
      <c r="F979">
        <v>5378</v>
      </c>
      <c r="G979">
        <v>204427</v>
      </c>
      <c r="H979">
        <v>11</v>
      </c>
      <c r="I979">
        <v>411</v>
      </c>
      <c r="J979">
        <v>0.33199137100285192</v>
      </c>
      <c r="K979">
        <v>654076</v>
      </c>
      <c r="L979">
        <v>88188</v>
      </c>
      <c r="M979">
        <v>19</v>
      </c>
      <c r="N979">
        <v>65429</v>
      </c>
      <c r="O979" s="43">
        <v>3129127.9271208001</v>
      </c>
      <c r="P979" s="14">
        <f t="shared" si="47"/>
        <v>739557.02367360005</v>
      </c>
      <c r="Q979" s="14" t="str">
        <f t="shared" si="45"/>
        <v/>
      </c>
      <c r="R979" s="14" t="str">
        <f t="shared" si="45"/>
        <v/>
      </c>
      <c r="S979" s="14" t="str">
        <f t="shared" si="46"/>
        <v/>
      </c>
      <c r="T979" s="14" t="s">
        <v>72</v>
      </c>
      <c r="U979" s="14">
        <v>1799.4088167240877</v>
      </c>
      <c r="V979">
        <v>4646</v>
      </c>
      <c r="W979">
        <v>24.033837890625001</v>
      </c>
      <c r="X979">
        <v>22.6907460812197</v>
      </c>
      <c r="Y979">
        <v>2.3127033234774101</v>
      </c>
      <c r="Z979" s="31">
        <v>3.3317532939121501</v>
      </c>
      <c r="AA979">
        <v>5.1339480657963596</v>
      </c>
      <c r="AB979">
        <v>0.05</v>
      </c>
      <c r="AC979">
        <v>331133.89612995298</v>
      </c>
      <c r="AD979">
        <v>378916.51734150521</v>
      </c>
      <c r="AE979">
        <v>1</v>
      </c>
      <c r="AF979">
        <v>563.51613958585824</v>
      </c>
      <c r="AG979">
        <v>10535.14127633661</v>
      </c>
    </row>
    <row r="980" spans="2:33" hidden="1" x14ac:dyDescent="0.25">
      <c r="B980">
        <v>18</v>
      </c>
      <c r="C980" t="s">
        <v>48</v>
      </c>
      <c r="D980" t="s">
        <v>28</v>
      </c>
      <c r="E980" t="s">
        <v>67</v>
      </c>
      <c r="F980">
        <v>6463</v>
      </c>
      <c r="G980">
        <v>204427</v>
      </c>
      <c r="H980">
        <v>12</v>
      </c>
      <c r="I980">
        <v>1206</v>
      </c>
      <c r="J980">
        <v>0.40337137462272599</v>
      </c>
      <c r="K980">
        <v>654076</v>
      </c>
      <c r="L980">
        <v>88188</v>
      </c>
      <c r="M980">
        <v>19</v>
      </c>
      <c r="N980">
        <v>65429</v>
      </c>
      <c r="O980" s="43">
        <v>3608208.1791835199</v>
      </c>
      <c r="P980" s="14">
        <f t="shared" si="47"/>
        <v>479080.25206271978</v>
      </c>
      <c r="Q980" s="14" t="str">
        <f t="shared" si="45"/>
        <v/>
      </c>
      <c r="R980" s="14" t="str">
        <f t="shared" si="45"/>
        <v/>
      </c>
      <c r="S980" s="14" t="str">
        <f t="shared" si="46"/>
        <v/>
      </c>
      <c r="T980" s="14" t="s">
        <v>72</v>
      </c>
      <c r="U980" s="14">
        <v>397.24730685134347</v>
      </c>
      <c r="V980">
        <v>4646</v>
      </c>
      <c r="W980">
        <v>27.693994140625001</v>
      </c>
      <c r="X980">
        <v>17.832495615010298</v>
      </c>
      <c r="Y980">
        <v>3.0519747184239798</v>
      </c>
      <c r="Z980" s="31">
        <v>2.58466312986533</v>
      </c>
      <c r="AA980">
        <v>1.80556666059666</v>
      </c>
      <c r="AB980">
        <v>0.05</v>
      </c>
      <c r="AC980">
        <v>331133.89612995298</v>
      </c>
      <c r="AD980">
        <v>378916.51734150521</v>
      </c>
      <c r="AE980">
        <v>1</v>
      </c>
      <c r="AF980">
        <v>563.51613958585824</v>
      </c>
      <c r="AG980">
        <v>10535.14127633661</v>
      </c>
    </row>
    <row r="981" spans="2:33" hidden="1" x14ac:dyDescent="0.25">
      <c r="B981">
        <v>18</v>
      </c>
      <c r="C981" t="s">
        <v>48</v>
      </c>
      <c r="D981" t="s">
        <v>28</v>
      </c>
      <c r="E981" t="s">
        <v>67</v>
      </c>
      <c r="F981">
        <v>7206</v>
      </c>
      <c r="G981">
        <v>204427</v>
      </c>
      <c r="H981">
        <v>13</v>
      </c>
      <c r="I981">
        <v>479</v>
      </c>
      <c r="J981">
        <v>0.27622574317482518</v>
      </c>
      <c r="K981">
        <v>654076</v>
      </c>
      <c r="L981">
        <v>88188</v>
      </c>
      <c r="M981">
        <v>19</v>
      </c>
      <c r="N981">
        <v>65429</v>
      </c>
      <c r="O981" s="43">
        <v>4705276.5065275207</v>
      </c>
      <c r="P981" s="14">
        <f t="shared" si="47"/>
        <v>1097068.3273440008</v>
      </c>
      <c r="Q981" s="14" t="str">
        <f t="shared" si="45"/>
        <v/>
      </c>
      <c r="R981" s="14" t="str">
        <f t="shared" si="45"/>
        <v/>
      </c>
      <c r="S981" s="14" t="str">
        <f t="shared" si="46"/>
        <v/>
      </c>
      <c r="T981" s="14" t="s">
        <v>72</v>
      </c>
      <c r="U981" s="14">
        <v>2290.3305372526102</v>
      </c>
      <c r="V981">
        <v>4646</v>
      </c>
      <c r="W981">
        <v>21.400659179687501</v>
      </c>
      <c r="X981">
        <v>21.110014845742999</v>
      </c>
      <c r="Y981">
        <v>2.0122247651329501</v>
      </c>
      <c r="Z981" s="31">
        <v>4.8682193267520599</v>
      </c>
      <c r="AA981">
        <v>13.7672707668487</v>
      </c>
      <c r="AB981">
        <v>0.05</v>
      </c>
      <c r="AC981">
        <v>331133.89612995298</v>
      </c>
      <c r="AD981">
        <v>378916.51734150521</v>
      </c>
      <c r="AE981">
        <v>1</v>
      </c>
      <c r="AF981">
        <v>563.51613958585824</v>
      </c>
      <c r="AG981">
        <v>10535.14127633661</v>
      </c>
    </row>
    <row r="982" spans="2:33" hidden="1" x14ac:dyDescent="0.25">
      <c r="B982">
        <v>18</v>
      </c>
      <c r="C982" t="s">
        <v>48</v>
      </c>
      <c r="D982" t="s">
        <v>28</v>
      </c>
      <c r="E982" t="s">
        <v>67</v>
      </c>
      <c r="F982">
        <v>7763</v>
      </c>
      <c r="G982">
        <v>204427</v>
      </c>
      <c r="H982">
        <v>14</v>
      </c>
      <c r="I982">
        <v>893</v>
      </c>
      <c r="J982">
        <v>0.20707636466807219</v>
      </c>
      <c r="K982">
        <v>654076</v>
      </c>
      <c r="L982">
        <v>88188</v>
      </c>
      <c r="M982">
        <v>19</v>
      </c>
      <c r="N982">
        <v>65429</v>
      </c>
      <c r="O982" s="43">
        <v>5428272.7991764806</v>
      </c>
      <c r="P982" s="14">
        <f t="shared" si="47"/>
        <v>722996.2926489599</v>
      </c>
      <c r="Q982" s="14" t="str">
        <f t="shared" si="45"/>
        <v/>
      </c>
      <c r="R982" s="14" t="str">
        <f t="shared" si="45"/>
        <v/>
      </c>
      <c r="S982" s="14" t="str">
        <f t="shared" si="46"/>
        <v/>
      </c>
      <c r="T982" s="14" t="s">
        <v>72</v>
      </c>
      <c r="U982" s="14">
        <v>809.62630755762586</v>
      </c>
      <c r="V982">
        <v>4646</v>
      </c>
      <c r="W982">
        <v>21.457543945312501</v>
      </c>
      <c r="X982">
        <v>21.579945401968999</v>
      </c>
      <c r="Y982">
        <v>2.0072033014471802</v>
      </c>
      <c r="Z982" s="31">
        <v>2.6748416275009799</v>
      </c>
      <c r="AA982">
        <v>8.6329352416778296</v>
      </c>
      <c r="AB982">
        <v>0.05</v>
      </c>
      <c r="AC982">
        <v>331133.89612995298</v>
      </c>
      <c r="AD982">
        <v>378916.51734150521</v>
      </c>
      <c r="AE982">
        <v>1</v>
      </c>
      <c r="AF982">
        <v>563.51613958585824</v>
      </c>
      <c r="AG982">
        <v>10535.14127633661</v>
      </c>
    </row>
    <row r="983" spans="2:33" hidden="1" x14ac:dyDescent="0.25">
      <c r="B983">
        <v>18</v>
      </c>
      <c r="C983" t="s">
        <v>48</v>
      </c>
      <c r="D983" t="s">
        <v>28</v>
      </c>
      <c r="E983" t="s">
        <v>67</v>
      </c>
      <c r="F983">
        <v>8308</v>
      </c>
      <c r="G983">
        <v>204427</v>
      </c>
      <c r="H983">
        <v>15</v>
      </c>
      <c r="I983">
        <v>1085</v>
      </c>
      <c r="J983">
        <v>0.20261511444183011</v>
      </c>
      <c r="K983">
        <v>654076</v>
      </c>
      <c r="L983">
        <v>88188</v>
      </c>
      <c r="M983">
        <v>19</v>
      </c>
      <c r="N983">
        <v>65429</v>
      </c>
      <c r="O983" s="43">
        <v>6330305.1042950395</v>
      </c>
      <c r="P983" s="14">
        <f t="shared" si="47"/>
        <v>902032.30511855893</v>
      </c>
      <c r="Q983" s="14" t="str">
        <f t="shared" si="45"/>
        <v/>
      </c>
      <c r="R983" s="14" t="str">
        <f t="shared" si="45"/>
        <v/>
      </c>
      <c r="S983" s="14" t="str">
        <f t="shared" si="46"/>
        <v/>
      </c>
      <c r="T983" s="14" t="s">
        <v>72</v>
      </c>
      <c r="U983" s="14">
        <v>831.36617983277404</v>
      </c>
      <c r="V983">
        <v>4646</v>
      </c>
      <c r="W983">
        <v>20.530480957031301</v>
      </c>
      <c r="X983">
        <v>38.634406829085101</v>
      </c>
      <c r="Y983">
        <v>1.48362293983027</v>
      </c>
      <c r="Z983" s="31">
        <v>2.4765477207303901</v>
      </c>
      <c r="AA983">
        <v>13.5419838827699</v>
      </c>
      <c r="AB983">
        <v>0.05</v>
      </c>
      <c r="AC983">
        <v>331133.89612995298</v>
      </c>
      <c r="AD983">
        <v>378916.51734150521</v>
      </c>
      <c r="AE983">
        <v>1</v>
      </c>
      <c r="AF983">
        <v>563.51613958585824</v>
      </c>
      <c r="AG983">
        <v>10535.14127633661</v>
      </c>
    </row>
    <row r="984" spans="2:33" hidden="1" x14ac:dyDescent="0.25">
      <c r="B984">
        <v>18</v>
      </c>
      <c r="C984" t="s">
        <v>48</v>
      </c>
      <c r="D984" t="s">
        <v>28</v>
      </c>
      <c r="E984" t="s">
        <v>67</v>
      </c>
      <c r="F984">
        <v>8541</v>
      </c>
      <c r="G984">
        <v>204427</v>
      </c>
      <c r="H984">
        <v>16</v>
      </c>
      <c r="I984">
        <v>743</v>
      </c>
      <c r="J984">
        <v>8.66226085595347E-2</v>
      </c>
      <c r="K984">
        <v>654076</v>
      </c>
      <c r="L984">
        <v>88188</v>
      </c>
      <c r="M984">
        <v>19</v>
      </c>
      <c r="N984">
        <v>65429</v>
      </c>
      <c r="O984" s="43">
        <v>9543704.8607999999</v>
      </c>
      <c r="P984" s="14">
        <f t="shared" si="47"/>
        <v>3213399.7565049604</v>
      </c>
      <c r="Q984" s="14" t="str">
        <f t="shared" si="45"/>
        <v/>
      </c>
      <c r="R984" s="14" t="str">
        <f t="shared" si="45"/>
        <v/>
      </c>
      <c r="S984" s="14" t="str">
        <f t="shared" si="46"/>
        <v/>
      </c>
      <c r="T984" s="14" t="s">
        <v>72</v>
      </c>
      <c r="U984" s="14">
        <v>4324.8987301547231</v>
      </c>
      <c r="V984">
        <v>4646</v>
      </c>
      <c r="W984">
        <v>29.153955078125001</v>
      </c>
      <c r="X984">
        <v>24.783206958812102</v>
      </c>
      <c r="Y984">
        <v>3.0401577649448299</v>
      </c>
      <c r="Z984" s="31">
        <v>2.50793454974897</v>
      </c>
      <c r="AA984">
        <v>2.10462806654649</v>
      </c>
      <c r="AB984">
        <v>0.05</v>
      </c>
      <c r="AC984">
        <v>331133.89612995298</v>
      </c>
      <c r="AD984">
        <v>378916.51734150521</v>
      </c>
      <c r="AE984">
        <v>1</v>
      </c>
      <c r="AF984">
        <v>563.51613958585824</v>
      </c>
      <c r="AG984">
        <v>10535.14127633661</v>
      </c>
    </row>
    <row r="985" spans="2:33" hidden="1" x14ac:dyDescent="0.25">
      <c r="B985">
        <v>18</v>
      </c>
      <c r="C985" t="s">
        <v>48</v>
      </c>
      <c r="D985" t="s">
        <v>28</v>
      </c>
      <c r="E985" t="s">
        <v>67</v>
      </c>
      <c r="F985">
        <v>9945</v>
      </c>
      <c r="G985">
        <v>204427</v>
      </c>
      <c r="H985">
        <v>17</v>
      </c>
      <c r="I985">
        <v>557</v>
      </c>
      <c r="J985">
        <v>0.52196627647032923</v>
      </c>
      <c r="K985">
        <v>654076</v>
      </c>
      <c r="L985">
        <v>88188</v>
      </c>
      <c r="M985">
        <v>19</v>
      </c>
      <c r="N985">
        <v>65429</v>
      </c>
      <c r="O985" s="43">
        <v>7769994.7248000009</v>
      </c>
      <c r="P985" s="14">
        <f t="shared" si="47"/>
        <v>-1773710.135999999</v>
      </c>
      <c r="Q985" s="14">
        <f t="shared" si="45"/>
        <v>-1773710.135999999</v>
      </c>
      <c r="R985" s="14">
        <f t="shared" si="45"/>
        <v>-1773710.135999999</v>
      </c>
      <c r="S985" s="14">
        <f t="shared" si="46"/>
        <v>3146047646549.1348</v>
      </c>
      <c r="T985" s="14">
        <v>3146047646549.1348</v>
      </c>
      <c r="U985" s="14">
        <v>-3184.3988078994598</v>
      </c>
      <c r="V985">
        <v>4646</v>
      </c>
      <c r="W985">
        <v>28.869775390625001</v>
      </c>
      <c r="X985">
        <v>22.667848254982999</v>
      </c>
      <c r="Y985">
        <v>3.0749520106130501</v>
      </c>
      <c r="Z985" s="31">
        <v>3.7804508178699101</v>
      </c>
      <c r="AA985">
        <v>6.3640605576712099</v>
      </c>
      <c r="AB985">
        <v>0.05</v>
      </c>
      <c r="AC985">
        <v>331133.89612995298</v>
      </c>
      <c r="AD985">
        <v>378916.51734150521</v>
      </c>
      <c r="AE985">
        <v>1</v>
      </c>
      <c r="AF985">
        <v>563.51613958585824</v>
      </c>
      <c r="AG985">
        <v>10535.14127633661</v>
      </c>
    </row>
    <row r="986" spans="2:33" hidden="1" x14ac:dyDescent="0.25">
      <c r="B986">
        <v>18</v>
      </c>
      <c r="C986" t="s">
        <v>48</v>
      </c>
      <c r="D986" t="s">
        <v>28</v>
      </c>
      <c r="E986" t="s">
        <v>67</v>
      </c>
      <c r="F986">
        <v>11711</v>
      </c>
      <c r="G986">
        <v>204427</v>
      </c>
      <c r="H986">
        <v>18</v>
      </c>
      <c r="I986">
        <v>545</v>
      </c>
      <c r="J986">
        <v>0.65654732496196688</v>
      </c>
      <c r="K986">
        <v>654076</v>
      </c>
      <c r="L986">
        <v>88188</v>
      </c>
      <c r="M986">
        <v>19</v>
      </c>
      <c r="N986">
        <v>65429</v>
      </c>
      <c r="O986" s="43">
        <v>8353602.5760000004</v>
      </c>
      <c r="P986" s="14">
        <f t="shared" si="47"/>
        <v>583607.85119999945</v>
      </c>
      <c r="Q986" s="14" t="str">
        <f t="shared" si="45"/>
        <v/>
      </c>
      <c r="R986" s="14" t="str">
        <f t="shared" si="45"/>
        <v/>
      </c>
      <c r="S986" s="14" t="str">
        <f t="shared" si="46"/>
        <v/>
      </c>
      <c r="T986" s="14" t="s">
        <v>72</v>
      </c>
      <c r="U986" s="14">
        <v>1070.8400939449532</v>
      </c>
      <c r="V986">
        <v>4646</v>
      </c>
      <c r="W986">
        <v>33.414147949218801</v>
      </c>
      <c r="X986">
        <v>15.660982259131201</v>
      </c>
      <c r="Y986">
        <v>4.34216682122804</v>
      </c>
      <c r="Z986" s="31">
        <v>2.0401823252367701</v>
      </c>
      <c r="AA986">
        <v>1.88495819313736</v>
      </c>
      <c r="AB986">
        <v>0.05</v>
      </c>
      <c r="AC986">
        <v>331133.89612995298</v>
      </c>
      <c r="AD986">
        <v>378916.51734150521</v>
      </c>
      <c r="AE986">
        <v>1</v>
      </c>
      <c r="AF986">
        <v>563.51613958585824</v>
      </c>
      <c r="AG986">
        <v>10535.14127633661</v>
      </c>
    </row>
    <row r="987" spans="2:33" hidden="1" x14ac:dyDescent="0.25">
      <c r="B987">
        <v>18</v>
      </c>
      <c r="C987" t="s">
        <v>48</v>
      </c>
      <c r="D987" t="s">
        <v>28</v>
      </c>
      <c r="E987" t="s">
        <v>67</v>
      </c>
      <c r="F987">
        <v>15855</v>
      </c>
      <c r="G987">
        <v>204427</v>
      </c>
      <c r="H987">
        <v>19</v>
      </c>
      <c r="I987">
        <v>233</v>
      </c>
      <c r="J987">
        <v>1.5406184114622821</v>
      </c>
      <c r="K987">
        <v>654076</v>
      </c>
      <c r="L987">
        <v>88188</v>
      </c>
      <c r="M987">
        <v>19</v>
      </c>
      <c r="N987">
        <v>65429</v>
      </c>
      <c r="O987" s="43">
        <v>8353602.5760000004</v>
      </c>
      <c r="P987" s="14">
        <f t="shared" si="47"/>
        <v>0</v>
      </c>
      <c r="Q987" s="14" t="str">
        <f t="shared" si="45"/>
        <v/>
      </c>
      <c r="R987" s="14" t="str">
        <f t="shared" si="45"/>
        <v/>
      </c>
      <c r="S987" s="14" t="str">
        <f t="shared" si="46"/>
        <v/>
      </c>
      <c r="T987" s="14" t="s">
        <v>72</v>
      </c>
      <c r="U987" s="14">
        <v>0</v>
      </c>
      <c r="V987">
        <v>4646</v>
      </c>
      <c r="W987">
        <v>29.482019042968801</v>
      </c>
      <c r="X987">
        <v>28.0368587788547</v>
      </c>
      <c r="Y987">
        <v>2.9638918857486001</v>
      </c>
      <c r="Z987" s="31">
        <v>3.9388982942879101</v>
      </c>
      <c r="AA987">
        <v>12.7260226105687</v>
      </c>
      <c r="AB987">
        <v>0.05</v>
      </c>
      <c r="AC987">
        <v>331133.89612995298</v>
      </c>
      <c r="AD987">
        <v>378916.51734150521</v>
      </c>
      <c r="AE987">
        <v>1</v>
      </c>
      <c r="AF987">
        <v>563.51613958585824</v>
      </c>
      <c r="AG987">
        <v>10535.14127633661</v>
      </c>
    </row>
    <row r="988" spans="2:33" hidden="1" x14ac:dyDescent="0.25">
      <c r="B988">
        <v>18</v>
      </c>
      <c r="C988" t="s">
        <v>48</v>
      </c>
      <c r="D988" t="s">
        <v>28</v>
      </c>
      <c r="E988" t="s">
        <v>67</v>
      </c>
      <c r="F988">
        <v>18516</v>
      </c>
      <c r="G988">
        <v>204427</v>
      </c>
      <c r="H988">
        <v>20</v>
      </c>
      <c r="I988">
        <v>1404</v>
      </c>
      <c r="J988">
        <v>0.98928223766919243</v>
      </c>
      <c r="K988">
        <v>654076</v>
      </c>
      <c r="L988">
        <v>88188</v>
      </c>
      <c r="M988">
        <v>19</v>
      </c>
      <c r="N988">
        <v>65429</v>
      </c>
      <c r="O988" s="43">
        <v>9383498.784</v>
      </c>
      <c r="P988" s="14">
        <f t="shared" si="47"/>
        <v>1029896.2079999996</v>
      </c>
      <c r="Q988" s="14" t="str">
        <f t="shared" si="45"/>
        <v/>
      </c>
      <c r="R988" s="14" t="str">
        <f t="shared" si="45"/>
        <v/>
      </c>
      <c r="S988" s="14" t="str">
        <f t="shared" si="46"/>
        <v/>
      </c>
      <c r="T988" s="14" t="s">
        <v>72</v>
      </c>
      <c r="U988" s="14">
        <v>733.54430769230748</v>
      </c>
      <c r="V988">
        <v>4646</v>
      </c>
      <c r="W988">
        <v>25.999780273437501</v>
      </c>
      <c r="X988">
        <v>18.360585668883999</v>
      </c>
      <c r="Y988">
        <v>2.74539651727462</v>
      </c>
      <c r="Z988" s="31">
        <v>2.72752137610345</v>
      </c>
      <c r="AA988">
        <v>7.95800470169136</v>
      </c>
      <c r="AB988">
        <v>0.05</v>
      </c>
      <c r="AC988">
        <v>331133.89612995298</v>
      </c>
      <c r="AD988">
        <v>378916.51734150521</v>
      </c>
      <c r="AE988">
        <v>1</v>
      </c>
      <c r="AF988">
        <v>563.51613958585824</v>
      </c>
      <c r="AG988">
        <v>10535.14127633661</v>
      </c>
    </row>
    <row r="989" spans="2:33" hidden="1" x14ac:dyDescent="0.25">
      <c r="B989">
        <v>18</v>
      </c>
      <c r="C989" t="s">
        <v>48</v>
      </c>
      <c r="D989" t="s">
        <v>28</v>
      </c>
      <c r="E989" t="s">
        <v>67</v>
      </c>
      <c r="F989">
        <v>20510</v>
      </c>
      <c r="G989">
        <v>204427</v>
      </c>
      <c r="H989">
        <v>21</v>
      </c>
      <c r="I989">
        <v>1766</v>
      </c>
      <c r="J989">
        <v>0.74131107926056738</v>
      </c>
      <c r="K989">
        <v>654076</v>
      </c>
      <c r="L989">
        <v>88188</v>
      </c>
      <c r="M989">
        <v>19</v>
      </c>
      <c r="N989">
        <v>65429</v>
      </c>
      <c r="O989" s="43">
        <v>12316077.885798721</v>
      </c>
      <c r="P989" s="14">
        <f t="shared" si="47"/>
        <v>2932579.1017987207</v>
      </c>
      <c r="Q989" s="14" t="str">
        <f t="shared" si="45"/>
        <v/>
      </c>
      <c r="R989" s="14" t="str">
        <f t="shared" si="45"/>
        <v/>
      </c>
      <c r="S989" s="14" t="str">
        <f t="shared" si="46"/>
        <v/>
      </c>
      <c r="T989" s="14" t="s">
        <v>72</v>
      </c>
      <c r="U989" s="14">
        <v>1660.5770678361951</v>
      </c>
      <c r="V989">
        <v>4646</v>
      </c>
      <c r="W989">
        <v>30.079858398437501</v>
      </c>
      <c r="X989">
        <v>18.070917861068999</v>
      </c>
      <c r="Y989">
        <v>3.4929050725192599</v>
      </c>
      <c r="Z989" s="31">
        <v>2.4102019960341199</v>
      </c>
      <c r="AA989">
        <v>4.1003283491365599</v>
      </c>
      <c r="AB989">
        <v>0.05</v>
      </c>
      <c r="AC989">
        <v>331133.89612995298</v>
      </c>
      <c r="AD989">
        <v>378916.51734150521</v>
      </c>
      <c r="AE989">
        <v>1</v>
      </c>
      <c r="AF989">
        <v>563.51613958585824</v>
      </c>
      <c r="AG989">
        <v>10535.14127633661</v>
      </c>
    </row>
    <row r="990" spans="2:33" hidden="1" x14ac:dyDescent="0.25">
      <c r="B990">
        <v>18</v>
      </c>
      <c r="C990" t="s">
        <v>48</v>
      </c>
      <c r="D990" t="s">
        <v>28</v>
      </c>
      <c r="E990" t="s">
        <v>67</v>
      </c>
      <c r="F990">
        <v>108284</v>
      </c>
      <c r="G990">
        <v>204427</v>
      </c>
      <c r="H990">
        <v>22</v>
      </c>
      <c r="I990">
        <v>4144</v>
      </c>
      <c r="J990">
        <v>32.631814779848057</v>
      </c>
      <c r="K990">
        <v>654076</v>
      </c>
      <c r="L990">
        <v>88188</v>
      </c>
      <c r="M990">
        <v>19</v>
      </c>
      <c r="N990">
        <v>65429</v>
      </c>
      <c r="O990" s="43">
        <v>12644860.806911521</v>
      </c>
      <c r="P990" s="14">
        <f t="shared" si="47"/>
        <v>328782.92111280002</v>
      </c>
      <c r="Q990" s="14" t="str">
        <f t="shared" si="45"/>
        <v/>
      </c>
      <c r="R990" s="14" t="str">
        <f t="shared" si="45"/>
        <v/>
      </c>
      <c r="S990" s="14" t="str">
        <f t="shared" si="46"/>
        <v/>
      </c>
      <c r="T990" s="14" t="s">
        <v>72</v>
      </c>
      <c r="U990" s="14">
        <v>79.33950799054054</v>
      </c>
      <c r="V990">
        <v>4646</v>
      </c>
      <c r="W990">
        <v>21.837854003906301</v>
      </c>
      <c r="X990">
        <v>23.412278173412201</v>
      </c>
      <c r="Y990">
        <v>2.0063220063108602</v>
      </c>
      <c r="Z990" s="31">
        <v>6.7104485066516304</v>
      </c>
      <c r="AA990">
        <v>9.4313666984778202</v>
      </c>
      <c r="AB990">
        <v>0.05</v>
      </c>
      <c r="AC990">
        <v>331133.89612995298</v>
      </c>
      <c r="AD990">
        <v>378916.51734150521</v>
      </c>
      <c r="AE990">
        <v>1</v>
      </c>
      <c r="AF990">
        <v>563.51613958585824</v>
      </c>
      <c r="AG990">
        <v>10535.14127633661</v>
      </c>
    </row>
    <row r="991" spans="2:33" hidden="1" x14ac:dyDescent="0.25">
      <c r="B991">
        <v>18</v>
      </c>
      <c r="C991" t="s">
        <v>48</v>
      </c>
      <c r="D991" t="s">
        <v>28</v>
      </c>
      <c r="E991" t="s">
        <v>67</v>
      </c>
      <c r="F991">
        <v>127376</v>
      </c>
      <c r="G991">
        <v>204427</v>
      </c>
      <c r="H991">
        <v>23</v>
      </c>
      <c r="I991">
        <v>2661</v>
      </c>
      <c r="J991">
        <v>7.0978491099512304</v>
      </c>
      <c r="K991">
        <v>654076</v>
      </c>
      <c r="L991">
        <v>88188</v>
      </c>
      <c r="M991">
        <v>19</v>
      </c>
      <c r="N991">
        <v>65429</v>
      </c>
      <c r="O991" s="43">
        <v>14565620.66781888</v>
      </c>
      <c r="P991" s="14">
        <f t="shared" si="47"/>
        <v>1920759.860907359</v>
      </c>
      <c r="Q991" s="14" t="str">
        <f t="shared" si="45"/>
        <v/>
      </c>
      <c r="R991" s="14" t="str">
        <f t="shared" si="45"/>
        <v/>
      </c>
      <c r="S991" s="14" t="str">
        <f t="shared" si="46"/>
        <v/>
      </c>
      <c r="T991" s="14" t="s">
        <v>72</v>
      </c>
      <c r="U991" s="14">
        <v>721.81881281749747</v>
      </c>
      <c r="V991">
        <v>4646</v>
      </c>
      <c r="W991">
        <v>16.393365478515602</v>
      </c>
      <c r="X991">
        <v>16.209737497658701</v>
      </c>
      <c r="Y991">
        <v>1.5638452119506601</v>
      </c>
      <c r="Z991" s="31">
        <v>6.2295249135876603</v>
      </c>
      <c r="AA991">
        <v>13.156327172613199</v>
      </c>
      <c r="AB991">
        <v>0.05</v>
      </c>
      <c r="AC991">
        <v>331133.89612995298</v>
      </c>
      <c r="AD991">
        <v>378916.51734150521</v>
      </c>
      <c r="AE991">
        <v>1</v>
      </c>
      <c r="AF991">
        <v>563.51613958585824</v>
      </c>
      <c r="AG991">
        <v>10535.14127633661</v>
      </c>
    </row>
    <row r="992" spans="2:33" hidden="1" x14ac:dyDescent="0.25">
      <c r="B992">
        <v>18</v>
      </c>
      <c r="C992" t="s">
        <v>48</v>
      </c>
      <c r="D992" t="s">
        <v>28</v>
      </c>
      <c r="E992" t="s">
        <v>67</v>
      </c>
      <c r="F992">
        <v>135069</v>
      </c>
      <c r="G992">
        <v>204427</v>
      </c>
      <c r="H992">
        <v>24</v>
      </c>
      <c r="I992">
        <v>1994</v>
      </c>
      <c r="J992">
        <v>2.860033165873392</v>
      </c>
      <c r="K992">
        <v>654076</v>
      </c>
      <c r="L992">
        <v>88188</v>
      </c>
      <c r="M992">
        <v>19</v>
      </c>
      <c r="N992">
        <v>65429</v>
      </c>
      <c r="O992" s="43">
        <v>16327535.059249921</v>
      </c>
      <c r="P992" s="14">
        <f t="shared" si="47"/>
        <v>1761914.3914310411</v>
      </c>
      <c r="Q992" s="14" t="str">
        <f t="shared" si="45"/>
        <v/>
      </c>
      <c r="R992" s="14" t="str">
        <f t="shared" si="45"/>
        <v/>
      </c>
      <c r="S992" s="14" t="str">
        <f t="shared" si="46"/>
        <v/>
      </c>
      <c r="T992" s="14" t="s">
        <v>72</v>
      </c>
      <c r="U992" s="14">
        <v>883.60801977484414</v>
      </c>
      <c r="V992">
        <v>4646</v>
      </c>
      <c r="W992">
        <v>23.110498046875001</v>
      </c>
      <c r="X992">
        <v>12.053509050563701</v>
      </c>
      <c r="Y992">
        <v>2.4889091982054401</v>
      </c>
      <c r="Z992" s="31">
        <v>3.9220032792382198</v>
      </c>
      <c r="AA992">
        <v>3.26807998995378</v>
      </c>
      <c r="AB992">
        <v>0.05</v>
      </c>
      <c r="AC992">
        <v>331133.89612995298</v>
      </c>
      <c r="AD992">
        <v>378916.51734150521</v>
      </c>
      <c r="AE992">
        <v>1</v>
      </c>
      <c r="AF992">
        <v>563.51613958585824</v>
      </c>
      <c r="AG992">
        <v>10535.14127633661</v>
      </c>
    </row>
    <row r="993" spans="2:33" hidden="1" x14ac:dyDescent="0.25">
      <c r="B993">
        <v>18</v>
      </c>
      <c r="C993" t="s">
        <v>48</v>
      </c>
      <c r="D993" t="s">
        <v>28</v>
      </c>
      <c r="E993" t="s">
        <v>67</v>
      </c>
      <c r="F993">
        <v>136450</v>
      </c>
      <c r="G993">
        <v>204427</v>
      </c>
      <c r="H993">
        <v>25</v>
      </c>
      <c r="I993">
        <v>87774</v>
      </c>
      <c r="J993">
        <v>0.51341554687003188</v>
      </c>
      <c r="K993">
        <v>654076</v>
      </c>
      <c r="L993">
        <v>88188</v>
      </c>
      <c r="M993">
        <v>19</v>
      </c>
      <c r="N993">
        <v>65429</v>
      </c>
      <c r="O993" s="43">
        <v>19857467.693638079</v>
      </c>
      <c r="P993" s="14">
        <f t="shared" si="47"/>
        <v>3529932.6343881581</v>
      </c>
      <c r="Q993" s="14" t="str">
        <f t="shared" si="45"/>
        <v/>
      </c>
      <c r="R993" s="14" t="str">
        <f t="shared" si="45"/>
        <v/>
      </c>
      <c r="S993" s="14" t="str">
        <f t="shared" si="46"/>
        <v/>
      </c>
      <c r="T993" s="14" t="s">
        <v>72</v>
      </c>
      <c r="U993" s="14">
        <v>40.216153238865289</v>
      </c>
      <c r="V993">
        <v>4646</v>
      </c>
      <c r="W993">
        <v>25.933618164062501</v>
      </c>
      <c r="X993">
        <v>15.508214082780899</v>
      </c>
      <c r="Y993">
        <v>2.8303240467318398</v>
      </c>
      <c r="Z993" s="31">
        <v>0.73281324436504802</v>
      </c>
      <c r="AA993">
        <v>2.23800412455742</v>
      </c>
      <c r="AB993">
        <v>0.05</v>
      </c>
      <c r="AC993">
        <v>331133.89612995298</v>
      </c>
      <c r="AD993">
        <v>378916.51734150521</v>
      </c>
      <c r="AE993">
        <v>1</v>
      </c>
      <c r="AF993">
        <v>563.51613958585824</v>
      </c>
      <c r="AG993">
        <v>10535.14127633661</v>
      </c>
    </row>
    <row r="994" spans="2:33" hidden="1" x14ac:dyDescent="0.25">
      <c r="B994">
        <v>18</v>
      </c>
      <c r="C994" t="s">
        <v>48</v>
      </c>
      <c r="D994" t="s">
        <v>28</v>
      </c>
      <c r="E994" t="s">
        <v>67</v>
      </c>
      <c r="F994">
        <v>145391</v>
      </c>
      <c r="G994">
        <v>204427</v>
      </c>
      <c r="H994">
        <v>26</v>
      </c>
      <c r="I994">
        <v>19092</v>
      </c>
      <c r="J994">
        <v>3.3240031894025739</v>
      </c>
      <c r="K994">
        <v>654076</v>
      </c>
      <c r="L994">
        <v>88188</v>
      </c>
      <c r="M994">
        <v>19</v>
      </c>
      <c r="N994">
        <v>65429</v>
      </c>
      <c r="O994" s="43">
        <v>21765411.068401441</v>
      </c>
      <c r="P994" s="14">
        <f t="shared" si="47"/>
        <v>1907943.3747633621</v>
      </c>
      <c r="Q994" s="14" t="str">
        <f t="shared" si="45"/>
        <v/>
      </c>
      <c r="R994" s="14" t="str">
        <f t="shared" si="45"/>
        <v/>
      </c>
      <c r="S994" s="14" t="str">
        <f t="shared" si="46"/>
        <v/>
      </c>
      <c r="T994" s="14" t="s">
        <v>72</v>
      </c>
      <c r="U994" s="14">
        <v>99.934180534431093</v>
      </c>
      <c r="V994">
        <v>4646</v>
      </c>
      <c r="W994">
        <v>22.767724609375001</v>
      </c>
      <c r="X994">
        <v>26.8555271222234</v>
      </c>
      <c r="Y994">
        <v>2.02737768303935</v>
      </c>
      <c r="Z994" s="31">
        <v>1.9411300689640001</v>
      </c>
      <c r="AA994">
        <v>4.2905601959516302</v>
      </c>
      <c r="AB994">
        <v>0.05</v>
      </c>
      <c r="AC994">
        <v>331133.89612995298</v>
      </c>
      <c r="AD994">
        <v>378916.51734150521</v>
      </c>
      <c r="AE994">
        <v>1</v>
      </c>
      <c r="AF994">
        <v>563.51613958585824</v>
      </c>
      <c r="AG994">
        <v>10535.14127633661</v>
      </c>
    </row>
    <row r="995" spans="2:33" hidden="1" x14ac:dyDescent="0.25">
      <c r="B995">
        <v>18</v>
      </c>
      <c r="C995" t="s">
        <v>48</v>
      </c>
      <c r="D995" t="s">
        <v>28</v>
      </c>
      <c r="E995" t="s">
        <v>67</v>
      </c>
      <c r="F995">
        <v>166981</v>
      </c>
      <c r="G995">
        <v>204427</v>
      </c>
      <c r="H995">
        <v>27</v>
      </c>
      <c r="I995">
        <v>7693</v>
      </c>
      <c r="J995">
        <v>8.0265326987139662</v>
      </c>
      <c r="K995">
        <v>654076</v>
      </c>
      <c r="L995">
        <v>88188</v>
      </c>
      <c r="M995">
        <v>19</v>
      </c>
      <c r="N995">
        <v>65429</v>
      </c>
      <c r="O995" s="43">
        <v>24448374.2262672</v>
      </c>
      <c r="P995" s="14">
        <f t="shared" si="47"/>
        <v>2682963.157865759</v>
      </c>
      <c r="Q995" s="14" t="str">
        <f t="shared" si="45"/>
        <v/>
      </c>
      <c r="R995" s="14" t="str">
        <f t="shared" si="45"/>
        <v/>
      </c>
      <c r="S995" s="14" t="str">
        <f t="shared" si="46"/>
        <v/>
      </c>
      <c r="T995" s="14" t="s">
        <v>72</v>
      </c>
      <c r="U995" s="14">
        <v>348.75382267850807</v>
      </c>
      <c r="V995">
        <v>4646</v>
      </c>
      <c r="W995">
        <v>21.253930664062501</v>
      </c>
      <c r="X995">
        <v>30.389541581974498</v>
      </c>
      <c r="Y995">
        <v>1.7595338275446499</v>
      </c>
      <c r="Z995" s="31">
        <v>2.7523811402929401</v>
      </c>
      <c r="AA995">
        <v>11.8336607934766</v>
      </c>
      <c r="AB995">
        <v>0.05</v>
      </c>
      <c r="AC995">
        <v>331133.89612995298</v>
      </c>
      <c r="AD995">
        <v>378916.51734150521</v>
      </c>
      <c r="AE995">
        <v>1</v>
      </c>
      <c r="AF995">
        <v>563.51613958585824</v>
      </c>
      <c r="AG995">
        <v>10535.14127633661</v>
      </c>
    </row>
    <row r="996" spans="2:33" hidden="1" x14ac:dyDescent="0.25">
      <c r="B996">
        <v>18</v>
      </c>
      <c r="C996" t="s">
        <v>48</v>
      </c>
      <c r="D996" t="s">
        <v>28</v>
      </c>
      <c r="E996" t="s">
        <v>67</v>
      </c>
      <c r="F996">
        <v>182506</v>
      </c>
      <c r="G996">
        <v>204427</v>
      </c>
      <c r="H996">
        <v>28</v>
      </c>
      <c r="I996">
        <v>1381</v>
      </c>
      <c r="J996">
        <v>5.7717424802007562</v>
      </c>
      <c r="K996">
        <v>654076</v>
      </c>
      <c r="L996">
        <v>88188</v>
      </c>
      <c r="M996">
        <v>19</v>
      </c>
      <c r="N996">
        <v>65429</v>
      </c>
      <c r="O996" s="43">
        <v>24626451.290934239</v>
      </c>
      <c r="P996" s="14">
        <f t="shared" si="47"/>
        <v>178077.06466703862</v>
      </c>
      <c r="Q996" s="14" t="str">
        <f t="shared" si="45"/>
        <v/>
      </c>
      <c r="R996" s="14" t="str">
        <f t="shared" si="45"/>
        <v/>
      </c>
      <c r="S996" s="14" t="str">
        <f t="shared" si="46"/>
        <v/>
      </c>
      <c r="T996" s="14" t="s">
        <v>72</v>
      </c>
      <c r="U996" s="14">
        <v>128.94791069300408</v>
      </c>
      <c r="V996">
        <v>4646</v>
      </c>
      <c r="W996">
        <v>21.820703125000001</v>
      </c>
      <c r="X996">
        <v>31.862796152734202</v>
      </c>
      <c r="Y996">
        <v>1.78293448038972</v>
      </c>
      <c r="Z996" s="31">
        <v>3.09249424442089</v>
      </c>
      <c r="AA996">
        <v>14.840268839758799</v>
      </c>
      <c r="AB996">
        <v>0.05</v>
      </c>
      <c r="AC996">
        <v>331133.89612995298</v>
      </c>
      <c r="AD996">
        <v>378916.51734150521</v>
      </c>
      <c r="AE996">
        <v>1</v>
      </c>
      <c r="AF996">
        <v>563.51613958585824</v>
      </c>
      <c r="AG996">
        <v>10535.14127633661</v>
      </c>
    </row>
    <row r="997" spans="2:33" hidden="1" x14ac:dyDescent="0.25">
      <c r="B997">
        <v>18</v>
      </c>
      <c r="C997" t="s">
        <v>48</v>
      </c>
      <c r="D997" t="s">
        <v>28</v>
      </c>
      <c r="E997" t="s">
        <v>67</v>
      </c>
      <c r="F997">
        <v>187947</v>
      </c>
      <c r="G997">
        <v>204427</v>
      </c>
      <c r="H997">
        <v>29</v>
      </c>
      <c r="I997">
        <v>8941</v>
      </c>
      <c r="J997">
        <v>2.02280520674862</v>
      </c>
      <c r="K997">
        <v>654076</v>
      </c>
      <c r="L997">
        <v>88188</v>
      </c>
      <c r="M997">
        <v>19</v>
      </c>
      <c r="N997">
        <v>65429</v>
      </c>
      <c r="O997" s="43">
        <v>26497141.031195998</v>
      </c>
      <c r="P997" s="14">
        <f t="shared" si="47"/>
        <v>1870689.7402617596</v>
      </c>
      <c r="Q997" s="14" t="str">
        <f t="shared" si="45"/>
        <v/>
      </c>
      <c r="R997" s="14" t="str">
        <f t="shared" si="45"/>
        <v/>
      </c>
      <c r="S997" s="14" t="str">
        <f t="shared" si="46"/>
        <v/>
      </c>
      <c r="T997" s="14" t="s">
        <v>72</v>
      </c>
      <c r="U997" s="14">
        <v>209.22600830575547</v>
      </c>
      <c r="V997">
        <v>4646</v>
      </c>
      <c r="W997">
        <v>22.023767089843702</v>
      </c>
      <c r="X997">
        <v>30.753161287696798</v>
      </c>
      <c r="Y997">
        <v>1.8345407256400099</v>
      </c>
      <c r="Z997">
        <v>2.92728868128202</v>
      </c>
      <c r="AA997">
        <v>14.727783812852101</v>
      </c>
      <c r="AB997">
        <v>0.05</v>
      </c>
      <c r="AC997">
        <v>331133.89612995298</v>
      </c>
      <c r="AD997">
        <v>378916.51734150521</v>
      </c>
      <c r="AE997">
        <v>1</v>
      </c>
      <c r="AF997">
        <v>563.51613958585824</v>
      </c>
      <c r="AG997">
        <v>10535.14127633661</v>
      </c>
    </row>
    <row r="998" spans="2:33" hidden="1" x14ac:dyDescent="0.25">
      <c r="B998">
        <v>18</v>
      </c>
      <c r="C998" t="s">
        <v>48</v>
      </c>
      <c r="D998" t="s">
        <v>28</v>
      </c>
      <c r="E998" t="s">
        <v>67</v>
      </c>
      <c r="F998">
        <v>191558</v>
      </c>
      <c r="G998">
        <v>204427</v>
      </c>
      <c r="H998">
        <v>30</v>
      </c>
      <c r="I998">
        <v>21590</v>
      </c>
      <c r="J998">
        <v>1.342464547246695</v>
      </c>
      <c r="K998">
        <v>654076</v>
      </c>
      <c r="L998">
        <v>88188</v>
      </c>
      <c r="M998">
        <v>19</v>
      </c>
      <c r="N998">
        <v>65429</v>
      </c>
      <c r="O998" s="43">
        <v>28590728.919096962</v>
      </c>
      <c r="P998" s="14">
        <f t="shared" si="47"/>
        <v>2093587.8879009634</v>
      </c>
      <c r="Q998" s="14" t="str">
        <f t="shared" si="45"/>
        <v/>
      </c>
      <c r="R998" s="14" t="str">
        <f t="shared" si="45"/>
        <v/>
      </c>
      <c r="S998" s="14" t="str">
        <f t="shared" si="46"/>
        <v/>
      </c>
      <c r="T998" s="14" t="s">
        <v>72</v>
      </c>
      <c r="U998" s="14">
        <v>96.970258818942085</v>
      </c>
      <c r="V998">
        <v>4646</v>
      </c>
      <c r="W998">
        <v>22.384973144531301</v>
      </c>
      <c r="X998">
        <v>29.047455689869999</v>
      </c>
      <c r="Y998">
        <v>1.9214847045455901</v>
      </c>
      <c r="Z998" s="31">
        <v>1.2940503176782101</v>
      </c>
      <c r="AA998">
        <v>7.4581258611363701</v>
      </c>
      <c r="AB998">
        <v>0.05</v>
      </c>
      <c r="AC998">
        <v>331133.89612995298</v>
      </c>
      <c r="AD998">
        <v>378916.51734150521</v>
      </c>
      <c r="AE998">
        <v>1</v>
      </c>
      <c r="AF998">
        <v>563.51613958585824</v>
      </c>
      <c r="AG998">
        <v>10535.14127633661</v>
      </c>
    </row>
    <row r="999" spans="2:33" hidden="1" x14ac:dyDescent="0.25">
      <c r="B999">
        <v>18</v>
      </c>
      <c r="C999" t="s">
        <v>48</v>
      </c>
      <c r="D999" t="s">
        <v>28</v>
      </c>
      <c r="E999" t="s">
        <v>67</v>
      </c>
      <c r="F999">
        <v>196831</v>
      </c>
      <c r="G999">
        <v>204427</v>
      </c>
      <c r="H999">
        <v>31</v>
      </c>
      <c r="I999">
        <v>15525</v>
      </c>
      <c r="J999">
        <v>1.96034770358123</v>
      </c>
      <c r="K999">
        <v>654076</v>
      </c>
      <c r="L999">
        <v>88188</v>
      </c>
      <c r="M999">
        <v>19</v>
      </c>
      <c r="N999">
        <v>65429</v>
      </c>
      <c r="O999" s="43">
        <v>29409258.384</v>
      </c>
      <c r="P999" s="14">
        <f t="shared" si="47"/>
        <v>818529.464903038</v>
      </c>
      <c r="Q999" s="14" t="str">
        <f t="shared" si="45"/>
        <v/>
      </c>
      <c r="R999" s="14" t="str">
        <f t="shared" si="45"/>
        <v/>
      </c>
      <c r="S999" s="14" t="str">
        <f t="shared" si="46"/>
        <v/>
      </c>
      <c r="T999" s="14" t="s">
        <v>72</v>
      </c>
      <c r="U999" s="14">
        <v>52.723314969600111</v>
      </c>
      <c r="V999">
        <v>4646</v>
      </c>
      <c r="W999">
        <v>22.259912109375001</v>
      </c>
      <c r="X999">
        <v>34.061042720754699</v>
      </c>
      <c r="Y999">
        <v>1.7720935439111101</v>
      </c>
      <c r="Z999" s="31">
        <v>1.83013035573491</v>
      </c>
      <c r="AA999">
        <v>8.3575928542518891</v>
      </c>
      <c r="AB999">
        <v>0.05</v>
      </c>
      <c r="AC999">
        <v>331133.89612995298</v>
      </c>
      <c r="AD999">
        <v>378916.51734150521</v>
      </c>
      <c r="AE999">
        <v>1</v>
      </c>
      <c r="AF999">
        <v>563.51613958585824</v>
      </c>
      <c r="AG999">
        <v>10535.14127633661</v>
      </c>
    </row>
    <row r="1000" spans="2:33" hidden="1" x14ac:dyDescent="0.25">
      <c r="B1000">
        <v>18</v>
      </c>
      <c r="C1000" t="s">
        <v>48</v>
      </c>
      <c r="D1000" t="s">
        <v>28</v>
      </c>
      <c r="E1000" t="s">
        <v>67</v>
      </c>
      <c r="F1000">
        <v>196831</v>
      </c>
      <c r="G1000">
        <v>204427</v>
      </c>
      <c r="H1000">
        <v>32</v>
      </c>
      <c r="I1000">
        <v>5441</v>
      </c>
      <c r="J1000">
        <v>0</v>
      </c>
      <c r="K1000">
        <v>654076</v>
      </c>
      <c r="L1000">
        <v>88188</v>
      </c>
      <c r="M1000">
        <v>19</v>
      </c>
      <c r="N1000">
        <v>65429</v>
      </c>
      <c r="O1000" s="43">
        <v>30896886.239999998</v>
      </c>
      <c r="P1000" s="14">
        <f t="shared" si="47"/>
        <v>1487627.8559999987</v>
      </c>
      <c r="Q1000" s="14" t="str">
        <f t="shared" si="45"/>
        <v/>
      </c>
      <c r="R1000" s="14" t="str">
        <f t="shared" si="45"/>
        <v/>
      </c>
      <c r="S1000" s="14" t="str">
        <f t="shared" si="46"/>
        <v/>
      </c>
      <c r="T1000" s="14" t="s">
        <v>72</v>
      </c>
      <c r="U1000" s="14">
        <v>273.41074361330612</v>
      </c>
      <c r="V1000">
        <v>4646</v>
      </c>
      <c r="W1000">
        <v>21.210717773437501</v>
      </c>
      <c r="X1000">
        <v>35.650491911470802</v>
      </c>
      <c r="Y1000">
        <v>1.62216188227157</v>
      </c>
      <c r="Z1000" s="31">
        <v>2.0492302207511202</v>
      </c>
      <c r="AA1000">
        <v>7.9924373556481898</v>
      </c>
      <c r="AB1000">
        <v>0.05</v>
      </c>
      <c r="AC1000">
        <v>331133.89612995298</v>
      </c>
      <c r="AD1000">
        <v>378916.51734150521</v>
      </c>
      <c r="AE1000">
        <v>1</v>
      </c>
      <c r="AF1000">
        <v>563.51613958585824</v>
      </c>
      <c r="AG1000">
        <v>10535.14127633661</v>
      </c>
    </row>
    <row r="1001" spans="2:33" hidden="1" x14ac:dyDescent="0.25">
      <c r="B1001">
        <v>18</v>
      </c>
      <c r="C1001" t="s">
        <v>48</v>
      </c>
      <c r="D1001" t="s">
        <v>28</v>
      </c>
      <c r="E1001" t="s">
        <v>67</v>
      </c>
      <c r="F1001">
        <v>197775</v>
      </c>
      <c r="G1001">
        <v>204427</v>
      </c>
      <c r="H1001">
        <v>33</v>
      </c>
      <c r="I1001">
        <v>3611</v>
      </c>
      <c r="J1001">
        <v>0.35095168446438091</v>
      </c>
      <c r="K1001">
        <v>654076</v>
      </c>
      <c r="L1001">
        <v>88188</v>
      </c>
      <c r="M1001">
        <v>19</v>
      </c>
      <c r="N1001">
        <v>65429</v>
      </c>
      <c r="O1001" s="43">
        <v>32727812.831999999</v>
      </c>
      <c r="P1001" s="14">
        <f t="shared" si="47"/>
        <v>1830926.5920000002</v>
      </c>
      <c r="Q1001" s="14" t="str">
        <f t="shared" si="45"/>
        <v/>
      </c>
      <c r="R1001" s="14" t="str">
        <f t="shared" si="45"/>
        <v/>
      </c>
      <c r="S1001" s="14" t="str">
        <f t="shared" si="46"/>
        <v/>
      </c>
      <c r="T1001" s="14" t="s">
        <v>72</v>
      </c>
      <c r="U1001" s="14">
        <v>507.04142675159238</v>
      </c>
      <c r="V1001">
        <v>4646</v>
      </c>
      <c r="W1001">
        <v>13.26064453125</v>
      </c>
      <c r="X1001">
        <v>66.869767196260398</v>
      </c>
      <c r="Y1001">
        <v>0.50538015025387695</v>
      </c>
      <c r="Z1001" s="31">
        <v>3.4424178959025902</v>
      </c>
      <c r="AA1001">
        <v>9.3884259401254493</v>
      </c>
      <c r="AB1001">
        <v>0.05</v>
      </c>
      <c r="AC1001">
        <v>331133.89612995298</v>
      </c>
      <c r="AD1001">
        <v>378916.51734150521</v>
      </c>
      <c r="AE1001">
        <v>1</v>
      </c>
      <c r="AF1001">
        <v>563.51613958585824</v>
      </c>
      <c r="AG1001">
        <v>10535.14127633661</v>
      </c>
    </row>
    <row r="1002" spans="2:33" hidden="1" x14ac:dyDescent="0.25">
      <c r="B1002">
        <v>18</v>
      </c>
      <c r="C1002" t="s">
        <v>48</v>
      </c>
      <c r="D1002" t="s">
        <v>28</v>
      </c>
      <c r="E1002" t="s">
        <v>67</v>
      </c>
      <c r="F1002">
        <v>198125</v>
      </c>
      <c r="G1002">
        <v>204427</v>
      </c>
      <c r="H1002">
        <v>34</v>
      </c>
      <c r="I1002">
        <v>5273</v>
      </c>
      <c r="J1002">
        <v>0.13011979826539549</v>
      </c>
      <c r="K1002">
        <v>654076</v>
      </c>
      <c r="L1002">
        <v>88188</v>
      </c>
      <c r="M1002">
        <v>19</v>
      </c>
      <c r="N1002">
        <v>65429</v>
      </c>
      <c r="O1002" s="43">
        <v>35245336.896000013</v>
      </c>
      <c r="P1002" s="14">
        <f t="shared" si="47"/>
        <v>2517524.0640000142</v>
      </c>
      <c r="Q1002" s="14" t="str">
        <f t="shared" si="45"/>
        <v/>
      </c>
      <c r="R1002" s="14" t="str">
        <f t="shared" si="45"/>
        <v/>
      </c>
      <c r="S1002" s="14" t="str">
        <f t="shared" si="46"/>
        <v/>
      </c>
      <c r="T1002" s="14" t="s">
        <v>72</v>
      </c>
      <c r="U1002" s="14">
        <v>477.43676540868631</v>
      </c>
      <c r="V1002">
        <v>4646</v>
      </c>
      <c r="W1002">
        <v>15.807275390625</v>
      </c>
      <c r="X1002">
        <v>59.1871077283175</v>
      </c>
      <c r="Y1002">
        <v>0.73372161167257199</v>
      </c>
      <c r="Z1002" s="31">
        <v>4.0006209274600097</v>
      </c>
      <c r="AA1002">
        <v>6.8546111816419204</v>
      </c>
      <c r="AB1002">
        <v>0.05</v>
      </c>
      <c r="AC1002">
        <v>331133.89612995298</v>
      </c>
      <c r="AD1002">
        <v>378916.51734150521</v>
      </c>
      <c r="AE1002">
        <v>1</v>
      </c>
      <c r="AF1002">
        <v>563.51613958585824</v>
      </c>
      <c r="AG1002">
        <v>10535.14127633661</v>
      </c>
    </row>
    <row r="1003" spans="2:33" hidden="1" x14ac:dyDescent="0.25">
      <c r="B1003">
        <v>18</v>
      </c>
      <c r="C1003" t="s">
        <v>48</v>
      </c>
      <c r="D1003" t="s">
        <v>28</v>
      </c>
      <c r="E1003" t="s">
        <v>67</v>
      </c>
      <c r="F1003">
        <v>198916</v>
      </c>
      <c r="G1003">
        <v>204427</v>
      </c>
      <c r="H1003">
        <v>35</v>
      </c>
      <c r="I1003">
        <v>0</v>
      </c>
      <c r="J1003">
        <v>0.29407074407979378</v>
      </c>
      <c r="K1003">
        <v>654076</v>
      </c>
      <c r="L1003">
        <v>88188</v>
      </c>
      <c r="M1003">
        <v>19</v>
      </c>
      <c r="N1003">
        <v>65429</v>
      </c>
      <c r="O1003" s="43">
        <v>38220592.608000003</v>
      </c>
      <c r="P1003" s="14">
        <f t="shared" si="47"/>
        <v>2975255.71199999</v>
      </c>
      <c r="Q1003" s="14" t="str">
        <f t="shared" si="45"/>
        <v/>
      </c>
      <c r="R1003" s="14" t="str">
        <f t="shared" si="45"/>
        <v/>
      </c>
      <c r="S1003" s="14" t="str">
        <f t="shared" si="46"/>
        <v/>
      </c>
      <c r="T1003" s="14" t="s">
        <v>72</v>
      </c>
      <c r="U1003" s="14">
        <v>0</v>
      </c>
      <c r="V1003">
        <v>4646</v>
      </c>
      <c r="W1003">
        <v>20.861627197265602</v>
      </c>
      <c r="X1003">
        <v>36.309346876774399</v>
      </c>
      <c r="Y1003">
        <v>1.57154261868852</v>
      </c>
      <c r="Z1003" s="31">
        <v>1.37317000546831</v>
      </c>
      <c r="AA1003">
        <v>8.4967946300584796</v>
      </c>
      <c r="AB1003">
        <v>0.05</v>
      </c>
      <c r="AC1003">
        <v>331133.89612995298</v>
      </c>
      <c r="AD1003">
        <v>378916.51734150521</v>
      </c>
      <c r="AE1003">
        <v>1</v>
      </c>
      <c r="AF1003">
        <v>563.51613958585824</v>
      </c>
      <c r="AG1003">
        <v>10535.14127633661</v>
      </c>
    </row>
    <row r="1004" spans="2:33" hidden="1" x14ac:dyDescent="0.25">
      <c r="B1004">
        <v>18</v>
      </c>
      <c r="C1004" t="s">
        <v>48</v>
      </c>
      <c r="D1004" t="s">
        <v>28</v>
      </c>
      <c r="E1004" t="s">
        <v>67</v>
      </c>
      <c r="F1004">
        <v>202864</v>
      </c>
      <c r="G1004">
        <v>204427</v>
      </c>
      <c r="H1004">
        <v>36</v>
      </c>
      <c r="I1004">
        <v>944</v>
      </c>
      <c r="J1004">
        <v>1.4677513244336611</v>
      </c>
      <c r="K1004">
        <v>654076</v>
      </c>
      <c r="L1004">
        <v>88188</v>
      </c>
      <c r="M1004">
        <v>19</v>
      </c>
      <c r="N1004">
        <v>65429</v>
      </c>
      <c r="O1004" s="43">
        <v>39364921.728</v>
      </c>
      <c r="P1004" s="14">
        <f t="shared" si="47"/>
        <v>1144329.1199999973</v>
      </c>
      <c r="Q1004" s="14" t="str">
        <f t="shared" si="45"/>
        <v/>
      </c>
      <c r="R1004" s="14" t="str">
        <f t="shared" si="45"/>
        <v/>
      </c>
      <c r="S1004" s="14" t="str">
        <f t="shared" si="46"/>
        <v/>
      </c>
      <c r="T1004" s="14" t="s">
        <v>72</v>
      </c>
      <c r="U1004" s="14">
        <v>1212.2130508474547</v>
      </c>
      <c r="V1004">
        <v>4646</v>
      </c>
      <c r="W1004">
        <v>18.776330566406301</v>
      </c>
      <c r="X1004">
        <v>44.348110006243402</v>
      </c>
      <c r="Y1004">
        <v>1.2068299586153399</v>
      </c>
      <c r="Z1004" s="31">
        <v>3.3519778498976498</v>
      </c>
      <c r="AA1004">
        <v>11.669861870974501</v>
      </c>
      <c r="AB1004">
        <v>0.05</v>
      </c>
      <c r="AC1004">
        <v>331133.89612995298</v>
      </c>
      <c r="AD1004">
        <v>378916.51734150521</v>
      </c>
      <c r="AE1004">
        <v>1</v>
      </c>
      <c r="AF1004">
        <v>563.51613958585824</v>
      </c>
      <c r="AG1004">
        <v>10535.14127633661</v>
      </c>
    </row>
    <row r="1005" spans="2:33" hidden="1" x14ac:dyDescent="0.25">
      <c r="B1005">
        <v>18</v>
      </c>
      <c r="C1005" t="s">
        <v>48</v>
      </c>
      <c r="D1005" t="s">
        <v>28</v>
      </c>
      <c r="E1005" t="s">
        <v>67</v>
      </c>
      <c r="F1005">
        <v>203566</v>
      </c>
      <c r="G1005">
        <v>204427</v>
      </c>
      <c r="H1005">
        <v>37</v>
      </c>
      <c r="I1005">
        <v>350</v>
      </c>
      <c r="J1005">
        <v>0.26098313823516461</v>
      </c>
      <c r="K1005">
        <v>654076</v>
      </c>
      <c r="L1005">
        <v>88188</v>
      </c>
      <c r="M1005">
        <v>19</v>
      </c>
      <c r="N1005">
        <v>65429</v>
      </c>
      <c r="O1005" s="43">
        <v>40394817.935999997</v>
      </c>
      <c r="P1005" s="14">
        <f t="shared" si="47"/>
        <v>1029896.2079999968</v>
      </c>
      <c r="Q1005" s="14" t="str">
        <f t="shared" si="45"/>
        <v/>
      </c>
      <c r="R1005" s="14" t="str">
        <f t="shared" si="45"/>
        <v/>
      </c>
      <c r="S1005" s="14" t="str">
        <f t="shared" si="46"/>
        <v/>
      </c>
      <c r="T1005" s="14" t="s">
        <v>72</v>
      </c>
      <c r="U1005" s="14">
        <v>2942.5605942857264</v>
      </c>
      <c r="V1005">
        <v>4646</v>
      </c>
      <c r="W1005">
        <v>18.837213134765602</v>
      </c>
      <c r="X1005">
        <v>38.706987474962901</v>
      </c>
      <c r="Y1005">
        <v>1.3342882948649899</v>
      </c>
      <c r="Z1005" s="31">
        <v>3.63131455310441</v>
      </c>
      <c r="AA1005">
        <v>12.544675807658701</v>
      </c>
      <c r="AB1005">
        <v>0.05</v>
      </c>
      <c r="AC1005">
        <v>331133.89612995298</v>
      </c>
      <c r="AD1005">
        <v>378916.51734150521</v>
      </c>
      <c r="AE1005">
        <v>1</v>
      </c>
      <c r="AF1005">
        <v>563.51613958585824</v>
      </c>
      <c r="AG1005">
        <v>10535.14127633661</v>
      </c>
    </row>
    <row r="1006" spans="2:33" hidden="1" x14ac:dyDescent="0.25">
      <c r="B1006">
        <v>18</v>
      </c>
      <c r="C1006" t="s">
        <v>48</v>
      </c>
      <c r="D1006" t="s">
        <v>28</v>
      </c>
      <c r="E1006" t="s">
        <v>67</v>
      </c>
      <c r="F1006">
        <v>204250</v>
      </c>
      <c r="G1006">
        <v>204427</v>
      </c>
      <c r="H1006">
        <v>38</v>
      </c>
      <c r="I1006">
        <v>791</v>
      </c>
      <c r="J1006">
        <v>0.25429126289580151</v>
      </c>
      <c r="K1006">
        <v>654076</v>
      </c>
      <c r="L1006">
        <v>88188</v>
      </c>
      <c r="M1006">
        <v>19</v>
      </c>
      <c r="N1006">
        <v>65429</v>
      </c>
      <c r="O1006" s="43">
        <v>42225744.527999997</v>
      </c>
      <c r="P1006" s="14">
        <f t="shared" si="47"/>
        <v>1830926.5920000002</v>
      </c>
      <c r="Q1006" s="14" t="str">
        <f t="shared" si="45"/>
        <v/>
      </c>
      <c r="R1006" s="14" t="str">
        <f t="shared" si="45"/>
        <v/>
      </c>
      <c r="S1006" s="14" t="str">
        <f t="shared" si="46"/>
        <v/>
      </c>
      <c r="T1006" s="14" t="s">
        <v>72</v>
      </c>
      <c r="U1006" s="14">
        <v>2314.6985992414666</v>
      </c>
      <c r="V1006">
        <v>4646</v>
      </c>
      <c r="W1006">
        <v>19.400109863281301</v>
      </c>
      <c r="X1006">
        <v>47.236356544187998</v>
      </c>
      <c r="Y1006">
        <v>1.1894498670665401</v>
      </c>
      <c r="Z1006" s="31">
        <v>5.0374949307194701</v>
      </c>
      <c r="AA1006">
        <v>32.799110308767801</v>
      </c>
      <c r="AB1006">
        <v>0.05</v>
      </c>
      <c r="AC1006">
        <v>331133.89612995298</v>
      </c>
      <c r="AD1006">
        <v>378916.51734150521</v>
      </c>
      <c r="AE1006">
        <v>1</v>
      </c>
      <c r="AF1006">
        <v>563.51613958585824</v>
      </c>
      <c r="AG1006">
        <v>10535.14127633661</v>
      </c>
    </row>
    <row r="1007" spans="2:33" hidden="1" x14ac:dyDescent="0.25">
      <c r="B1007">
        <v>18</v>
      </c>
      <c r="C1007" t="s">
        <v>48</v>
      </c>
      <c r="D1007" t="s">
        <v>28</v>
      </c>
      <c r="E1007" t="s">
        <v>67</v>
      </c>
      <c r="F1007">
        <v>204340</v>
      </c>
      <c r="G1007">
        <v>204427</v>
      </c>
      <c r="H1007">
        <v>39</v>
      </c>
      <c r="I1007">
        <v>3948</v>
      </c>
      <c r="J1007">
        <v>3.3459376696815979E-2</v>
      </c>
      <c r="K1007">
        <v>654076</v>
      </c>
      <c r="L1007">
        <v>88188</v>
      </c>
      <c r="M1007">
        <v>19</v>
      </c>
      <c r="N1007">
        <v>65429</v>
      </c>
      <c r="O1007" s="43">
        <v>43713372.384000003</v>
      </c>
      <c r="P1007" s="14">
        <f t="shared" si="47"/>
        <v>1487627.8560000062</v>
      </c>
      <c r="Q1007" s="14" t="str">
        <f t="shared" si="45"/>
        <v/>
      </c>
      <c r="R1007" s="14" t="str">
        <f t="shared" si="45"/>
        <v/>
      </c>
      <c r="S1007" s="14" t="str">
        <f t="shared" si="46"/>
        <v/>
      </c>
      <c r="T1007" s="14" t="s">
        <v>72</v>
      </c>
      <c r="U1007" s="14">
        <v>376.8054346504556</v>
      </c>
      <c r="V1007">
        <v>4646</v>
      </c>
      <c r="W1007">
        <v>14.485498046875</v>
      </c>
      <c r="X1007">
        <v>45.4198639879138</v>
      </c>
      <c r="Y1007">
        <v>0.90149715519087903</v>
      </c>
      <c r="Z1007" s="31">
        <v>3.9061863313492999</v>
      </c>
      <c r="AA1007">
        <v>12.8610608571501</v>
      </c>
      <c r="AB1007">
        <v>0.05</v>
      </c>
      <c r="AC1007">
        <v>331133.89612995298</v>
      </c>
      <c r="AD1007">
        <v>378916.51734150521</v>
      </c>
      <c r="AE1007">
        <v>1</v>
      </c>
      <c r="AF1007">
        <v>563.51613958585824</v>
      </c>
      <c r="AG1007">
        <v>10535.14127633661</v>
      </c>
    </row>
    <row r="1008" spans="2:33" hidden="1" x14ac:dyDescent="0.25">
      <c r="B1008">
        <v>18</v>
      </c>
      <c r="C1008" t="s">
        <v>48</v>
      </c>
      <c r="D1008" t="s">
        <v>28</v>
      </c>
      <c r="E1008" t="s">
        <v>67</v>
      </c>
      <c r="F1008">
        <v>204340</v>
      </c>
      <c r="G1008">
        <v>204427</v>
      </c>
      <c r="H1008">
        <v>40</v>
      </c>
      <c r="I1008">
        <v>702</v>
      </c>
      <c r="J1008">
        <v>0</v>
      </c>
      <c r="K1008">
        <v>654076</v>
      </c>
      <c r="L1008">
        <v>88188</v>
      </c>
      <c r="M1008">
        <v>19</v>
      </c>
      <c r="N1008">
        <v>65429</v>
      </c>
      <c r="O1008" s="43">
        <v>45429866.064000003</v>
      </c>
      <c r="P1008" s="14">
        <f t="shared" si="47"/>
        <v>1716493.6799999997</v>
      </c>
      <c r="Q1008" s="14" t="str">
        <f t="shared" si="45"/>
        <v/>
      </c>
      <c r="R1008" s="14" t="str">
        <f t="shared" si="45"/>
        <v/>
      </c>
      <c r="S1008" s="14" t="str">
        <f t="shared" si="46"/>
        <v/>
      </c>
      <c r="T1008" s="14" t="s">
        <v>72</v>
      </c>
      <c r="U1008" s="14">
        <v>2445.1476923076921</v>
      </c>
      <c r="V1008">
        <v>4646</v>
      </c>
      <c r="W1008">
        <v>11.2419677734375</v>
      </c>
      <c r="X1008">
        <v>89.814418990552497</v>
      </c>
      <c r="Y1008">
        <v>0.136070232844586</v>
      </c>
      <c r="Z1008" s="31">
        <v>3.7835702087824701</v>
      </c>
      <c r="AA1008">
        <v>28.052320204534599</v>
      </c>
      <c r="AB1008">
        <v>0.05</v>
      </c>
      <c r="AC1008">
        <v>331133.89612995298</v>
      </c>
      <c r="AD1008">
        <v>378916.51734150521</v>
      </c>
      <c r="AE1008">
        <v>1</v>
      </c>
      <c r="AF1008">
        <v>563.51613958585824</v>
      </c>
      <c r="AG1008">
        <v>10535.14127633661</v>
      </c>
    </row>
    <row r="1009" spans="2:33" hidden="1" x14ac:dyDescent="0.25">
      <c r="B1009">
        <v>18</v>
      </c>
      <c r="C1009" t="s">
        <v>48</v>
      </c>
      <c r="D1009" t="s">
        <v>28</v>
      </c>
      <c r="E1009" t="s">
        <v>67</v>
      </c>
      <c r="F1009">
        <v>204355</v>
      </c>
      <c r="G1009">
        <v>204427</v>
      </c>
      <c r="H1009">
        <v>41</v>
      </c>
      <c r="I1009">
        <v>684</v>
      </c>
      <c r="J1009">
        <v>5.5765627828026632E-3</v>
      </c>
      <c r="K1009">
        <v>654076</v>
      </c>
      <c r="L1009">
        <v>88188</v>
      </c>
      <c r="M1009">
        <v>19</v>
      </c>
      <c r="N1009">
        <v>65429</v>
      </c>
      <c r="O1009" s="43">
        <v>46948816.496672653</v>
      </c>
      <c r="P1009" s="14">
        <f t="shared" si="47"/>
        <v>1518950.4326726496</v>
      </c>
      <c r="Q1009" s="14" t="str">
        <f t="shared" si="45"/>
        <v/>
      </c>
      <c r="R1009" s="14" t="str">
        <f t="shared" si="45"/>
        <v/>
      </c>
      <c r="S1009" s="14" t="str">
        <f t="shared" si="46"/>
        <v/>
      </c>
      <c r="T1009" s="14" t="s">
        <v>72</v>
      </c>
      <c r="U1009" s="14">
        <v>2220.6877670652661</v>
      </c>
      <c r="V1009">
        <v>4646</v>
      </c>
      <c r="W1009">
        <v>12.6795288085937</v>
      </c>
      <c r="X1009">
        <v>67.289927936006507</v>
      </c>
      <c r="Y1009">
        <v>0.48039462063813598</v>
      </c>
      <c r="Z1009" s="31">
        <v>3.58652690062589</v>
      </c>
      <c r="AA1009">
        <v>13.965419010038101</v>
      </c>
      <c r="AB1009">
        <v>0.05</v>
      </c>
      <c r="AC1009">
        <v>331133.89612995298</v>
      </c>
      <c r="AD1009">
        <v>378916.51734150521</v>
      </c>
      <c r="AE1009">
        <v>1</v>
      </c>
      <c r="AF1009">
        <v>563.51613958585824</v>
      </c>
      <c r="AG1009">
        <v>10535.14127633661</v>
      </c>
    </row>
    <row r="1010" spans="2:33" hidden="1" x14ac:dyDescent="0.25">
      <c r="B1010">
        <v>18</v>
      </c>
      <c r="C1010" t="s">
        <v>48</v>
      </c>
      <c r="D1010" t="s">
        <v>28</v>
      </c>
      <c r="E1010" t="s">
        <v>67</v>
      </c>
      <c r="F1010">
        <v>204355</v>
      </c>
      <c r="G1010">
        <v>204427</v>
      </c>
      <c r="H1010">
        <v>42</v>
      </c>
      <c r="I1010">
        <v>90</v>
      </c>
      <c r="J1010">
        <v>0</v>
      </c>
      <c r="K1010">
        <v>654076</v>
      </c>
      <c r="L1010">
        <v>88188</v>
      </c>
      <c r="M1010">
        <v>19</v>
      </c>
      <c r="N1010">
        <v>65429</v>
      </c>
      <c r="O1010" s="43">
        <v>48470429.783207521</v>
      </c>
      <c r="P1010" s="14">
        <f t="shared" si="47"/>
        <v>1521613.2865348682</v>
      </c>
      <c r="Q1010" s="14" t="str">
        <f t="shared" si="45"/>
        <v/>
      </c>
      <c r="R1010" s="14" t="str">
        <f t="shared" si="45"/>
        <v/>
      </c>
      <c r="S1010" s="14" t="str">
        <f t="shared" si="46"/>
        <v/>
      </c>
      <c r="T1010" s="14" t="s">
        <v>72</v>
      </c>
      <c r="U1010" s="14">
        <v>16906.814294831951</v>
      </c>
      <c r="V1010">
        <v>4646</v>
      </c>
      <c r="W1010">
        <v>18.798181152343702</v>
      </c>
      <c r="X1010">
        <v>31.241152718486699</v>
      </c>
      <c r="Y1010">
        <v>1.4932579583032599</v>
      </c>
      <c r="Z1010" s="31">
        <v>2.9708106276145601</v>
      </c>
      <c r="AA1010">
        <v>8.7115489127314092</v>
      </c>
      <c r="AB1010">
        <v>0.05</v>
      </c>
      <c r="AC1010">
        <v>331133.89612995298</v>
      </c>
      <c r="AD1010">
        <v>378916.51734150521</v>
      </c>
      <c r="AE1010">
        <v>1</v>
      </c>
      <c r="AF1010">
        <v>563.51613958585824</v>
      </c>
      <c r="AG1010">
        <v>10535.14127633661</v>
      </c>
    </row>
    <row r="1011" spans="2:33" hidden="1" x14ac:dyDescent="0.25">
      <c r="B1011">
        <v>18</v>
      </c>
      <c r="C1011" t="s">
        <v>48</v>
      </c>
      <c r="D1011" t="s">
        <v>28</v>
      </c>
      <c r="E1011" t="s">
        <v>67</v>
      </c>
      <c r="F1011">
        <v>204361</v>
      </c>
      <c r="G1011">
        <v>204427</v>
      </c>
      <c r="H1011">
        <v>43</v>
      </c>
      <c r="I1011">
        <v>0</v>
      </c>
      <c r="J1011">
        <v>2.230625113121065E-3</v>
      </c>
      <c r="K1011">
        <v>654076</v>
      </c>
      <c r="L1011">
        <v>88188</v>
      </c>
      <c r="M1011">
        <v>19</v>
      </c>
      <c r="N1011">
        <v>65429</v>
      </c>
      <c r="O1011" s="43">
        <v>49296339.026605442</v>
      </c>
      <c r="P1011" s="14">
        <f t="shared" si="47"/>
        <v>825909.24339792132</v>
      </c>
      <c r="Q1011" s="14" t="str">
        <f t="shared" si="45"/>
        <v/>
      </c>
      <c r="R1011" s="14" t="str">
        <f t="shared" si="45"/>
        <v/>
      </c>
      <c r="S1011" s="14" t="str">
        <f t="shared" si="46"/>
        <v/>
      </c>
      <c r="T1011" s="14" t="s">
        <v>72</v>
      </c>
      <c r="U1011" s="14">
        <v>0</v>
      </c>
      <c r="V1011">
        <v>4646</v>
      </c>
      <c r="W1011">
        <v>22.310662841796901</v>
      </c>
      <c r="X1011">
        <v>26.196559913179801</v>
      </c>
      <c r="Y1011">
        <v>1.98975663063371</v>
      </c>
      <c r="Z1011" s="31">
        <v>3.30200946807006</v>
      </c>
      <c r="AA1011">
        <v>6.4944281946415696</v>
      </c>
      <c r="AB1011">
        <v>0.05</v>
      </c>
      <c r="AC1011">
        <v>331133.89612995298</v>
      </c>
      <c r="AD1011">
        <v>378916.51734150521</v>
      </c>
      <c r="AE1011">
        <v>1</v>
      </c>
      <c r="AF1011">
        <v>563.51613958585824</v>
      </c>
      <c r="AG1011">
        <v>10535.14127633661</v>
      </c>
    </row>
    <row r="1012" spans="2:33" hidden="1" x14ac:dyDescent="0.25">
      <c r="B1012">
        <v>18</v>
      </c>
      <c r="C1012" t="s">
        <v>48</v>
      </c>
      <c r="D1012" t="s">
        <v>28</v>
      </c>
      <c r="E1012" t="s">
        <v>67</v>
      </c>
      <c r="F1012">
        <v>204361</v>
      </c>
      <c r="G1012">
        <v>204427</v>
      </c>
      <c r="H1012">
        <v>44</v>
      </c>
      <c r="I1012">
        <v>15</v>
      </c>
      <c r="J1012">
        <v>0</v>
      </c>
      <c r="K1012">
        <v>654076</v>
      </c>
      <c r="L1012">
        <v>88188</v>
      </c>
      <c r="M1012">
        <v>19</v>
      </c>
      <c r="N1012">
        <v>65429</v>
      </c>
      <c r="O1012" s="43">
        <v>50444721.360348493</v>
      </c>
      <c r="P1012" s="14">
        <f t="shared" si="47"/>
        <v>1148382.3337430507</v>
      </c>
      <c r="Q1012" s="14" t="str">
        <f t="shared" si="45"/>
        <v/>
      </c>
      <c r="R1012" s="14" t="str">
        <f t="shared" si="45"/>
        <v/>
      </c>
      <c r="S1012" s="14" t="str">
        <f t="shared" si="46"/>
        <v/>
      </c>
      <c r="T1012" s="14" t="s">
        <v>72</v>
      </c>
      <c r="U1012" s="14">
        <v>76558.822249536213</v>
      </c>
      <c r="V1012">
        <v>4646</v>
      </c>
      <c r="W1012">
        <v>28.533715820312501</v>
      </c>
      <c r="X1012">
        <v>10.3123554627737</v>
      </c>
      <c r="Y1012">
        <v>3.4982561721079599</v>
      </c>
      <c r="Z1012" s="31">
        <v>1.0898763259083399</v>
      </c>
      <c r="AA1012">
        <v>3.7402023773779298</v>
      </c>
      <c r="AB1012">
        <v>0.05</v>
      </c>
      <c r="AC1012">
        <v>331133.89612995298</v>
      </c>
      <c r="AD1012">
        <v>378916.51734150521</v>
      </c>
      <c r="AE1012">
        <v>1</v>
      </c>
      <c r="AF1012">
        <v>563.51613958585824</v>
      </c>
      <c r="AG1012">
        <v>10535.14127633661</v>
      </c>
    </row>
    <row r="1013" spans="2:33" hidden="1" x14ac:dyDescent="0.25">
      <c r="B1013">
        <v>18</v>
      </c>
      <c r="C1013" t="s">
        <v>48</v>
      </c>
      <c r="D1013" t="s">
        <v>28</v>
      </c>
      <c r="E1013" t="s">
        <v>67</v>
      </c>
      <c r="F1013">
        <v>204378</v>
      </c>
      <c r="G1013">
        <v>204427</v>
      </c>
      <c r="H1013">
        <v>45</v>
      </c>
      <c r="I1013">
        <v>0</v>
      </c>
      <c r="J1013">
        <v>6.3201044871763513E-3</v>
      </c>
      <c r="K1013">
        <v>654076</v>
      </c>
      <c r="L1013">
        <v>88188</v>
      </c>
      <c r="M1013">
        <v>19</v>
      </c>
      <c r="N1013">
        <v>65429</v>
      </c>
      <c r="O1013" s="43">
        <v>52828764.009816967</v>
      </c>
      <c r="P1013" s="14">
        <f t="shared" si="47"/>
        <v>2384042.6494684741</v>
      </c>
      <c r="Q1013" s="14" t="str">
        <f t="shared" si="45"/>
        <v/>
      </c>
      <c r="R1013" s="14" t="str">
        <f t="shared" si="45"/>
        <v/>
      </c>
      <c r="S1013" s="14" t="str">
        <f t="shared" si="46"/>
        <v/>
      </c>
      <c r="T1013" s="14" t="s">
        <v>72</v>
      </c>
      <c r="U1013" s="14">
        <v>0</v>
      </c>
      <c r="V1013">
        <v>4646</v>
      </c>
      <c r="W1013">
        <v>25.980218505859401</v>
      </c>
      <c r="X1013">
        <v>22.196232182735301</v>
      </c>
      <c r="Y1013">
        <v>2.61325001300471</v>
      </c>
      <c r="Z1013" s="31">
        <v>1.4756967217686501</v>
      </c>
      <c r="AA1013">
        <v>2.8188626259069798</v>
      </c>
      <c r="AB1013">
        <v>0.05</v>
      </c>
      <c r="AC1013">
        <v>331133.89612995298</v>
      </c>
      <c r="AD1013">
        <v>378916.51734150521</v>
      </c>
      <c r="AE1013">
        <v>1</v>
      </c>
      <c r="AF1013">
        <v>563.51613958585824</v>
      </c>
      <c r="AG1013">
        <v>10535.14127633661</v>
      </c>
    </row>
    <row r="1014" spans="2:33" hidden="1" x14ac:dyDescent="0.25">
      <c r="B1014">
        <v>18</v>
      </c>
      <c r="C1014" t="s">
        <v>48</v>
      </c>
      <c r="D1014" t="s">
        <v>28</v>
      </c>
      <c r="E1014" t="s">
        <v>67</v>
      </c>
      <c r="F1014">
        <v>204385</v>
      </c>
      <c r="G1014">
        <v>204427</v>
      </c>
      <c r="H1014">
        <v>46</v>
      </c>
      <c r="I1014">
        <v>6</v>
      </c>
      <c r="J1014">
        <v>2.60239596530791E-3</v>
      </c>
      <c r="K1014">
        <v>654076</v>
      </c>
      <c r="L1014">
        <v>88188</v>
      </c>
      <c r="M1014">
        <v>19</v>
      </c>
      <c r="N1014">
        <v>65429</v>
      </c>
      <c r="O1014" s="43">
        <v>54557244.537348963</v>
      </c>
      <c r="P1014" s="14">
        <f t="shared" si="47"/>
        <v>1728480.5275319964</v>
      </c>
      <c r="Q1014" s="14" t="str">
        <f t="shared" si="45"/>
        <v/>
      </c>
      <c r="R1014" s="14" t="str">
        <f t="shared" si="45"/>
        <v/>
      </c>
      <c r="S1014" s="14" t="str">
        <f t="shared" si="46"/>
        <v/>
      </c>
      <c r="T1014" s="14" t="s">
        <v>72</v>
      </c>
      <c r="U1014" s="14">
        <v>288080.08792199939</v>
      </c>
      <c r="V1014">
        <v>4646</v>
      </c>
      <c r="W1014">
        <v>25.877099609375001</v>
      </c>
      <c r="X1014">
        <v>26.3239535607437</v>
      </c>
      <c r="Y1014">
        <v>2.4594187558976399</v>
      </c>
      <c r="Z1014" s="31">
        <v>1.45037421285409</v>
      </c>
      <c r="AA1014">
        <v>5.20300021280128</v>
      </c>
      <c r="AB1014">
        <v>0.05</v>
      </c>
      <c r="AC1014">
        <v>331133.89612995298</v>
      </c>
      <c r="AD1014">
        <v>378916.51734150521</v>
      </c>
      <c r="AE1014">
        <v>1</v>
      </c>
      <c r="AF1014">
        <v>563.51613958585824</v>
      </c>
      <c r="AG1014">
        <v>10535.14127633661</v>
      </c>
    </row>
    <row r="1015" spans="2:33" hidden="1" x14ac:dyDescent="0.25">
      <c r="B1015">
        <v>18</v>
      </c>
      <c r="C1015" t="s">
        <v>48</v>
      </c>
      <c r="D1015" t="s">
        <v>28</v>
      </c>
      <c r="E1015" t="s">
        <v>67</v>
      </c>
      <c r="F1015">
        <v>204412</v>
      </c>
      <c r="G1015">
        <v>204427</v>
      </c>
      <c r="H1015">
        <v>47</v>
      </c>
      <c r="I1015">
        <v>0</v>
      </c>
      <c r="J1015">
        <v>1.0037813009044791E-2</v>
      </c>
      <c r="K1015">
        <v>654076</v>
      </c>
      <c r="L1015">
        <v>88188</v>
      </c>
      <c r="M1015">
        <v>19</v>
      </c>
      <c r="N1015">
        <v>65429</v>
      </c>
      <c r="O1015" s="43">
        <v>54332286.597293757</v>
      </c>
      <c r="P1015" s="14">
        <f t="shared" si="47"/>
        <v>-224957.94005520642</v>
      </c>
      <c r="Q1015" s="14">
        <f t="shared" si="45"/>
        <v>-224957.94005520642</v>
      </c>
      <c r="R1015" s="14">
        <f t="shared" si="45"/>
        <v>-224957.94005520642</v>
      </c>
      <c r="S1015" s="14">
        <f t="shared" si="46"/>
        <v>50606074793.881844</v>
      </c>
      <c r="T1015" s="14">
        <v>50606074793.881844</v>
      </c>
      <c r="U1015" s="14">
        <v>0</v>
      </c>
      <c r="V1015">
        <v>4646</v>
      </c>
      <c r="W1015">
        <v>26.069177246093702</v>
      </c>
      <c r="X1015">
        <v>25.996535300131001</v>
      </c>
      <c r="Y1015">
        <v>2.4985403408672702</v>
      </c>
      <c r="Z1015" s="31">
        <v>1.4701657868242299</v>
      </c>
      <c r="AA1015">
        <v>8.0750720884535596</v>
      </c>
      <c r="AB1015">
        <v>0.05</v>
      </c>
      <c r="AC1015">
        <v>331133.89612995298</v>
      </c>
      <c r="AD1015">
        <v>378916.51734150521</v>
      </c>
      <c r="AE1015">
        <v>1</v>
      </c>
      <c r="AF1015">
        <v>563.51613958585824</v>
      </c>
      <c r="AG1015">
        <v>10535.14127633661</v>
      </c>
    </row>
    <row r="1016" spans="2:33" hidden="1" x14ac:dyDescent="0.25">
      <c r="B1016">
        <v>18</v>
      </c>
      <c r="C1016" t="s">
        <v>48</v>
      </c>
      <c r="D1016" t="s">
        <v>28</v>
      </c>
      <c r="E1016" t="s">
        <v>67</v>
      </c>
      <c r="F1016">
        <v>204427</v>
      </c>
      <c r="G1016">
        <v>204427</v>
      </c>
      <c r="H1016">
        <v>48</v>
      </c>
      <c r="I1016">
        <v>17</v>
      </c>
      <c r="J1016">
        <v>5.5765627828026632E-3</v>
      </c>
      <c r="K1016">
        <v>654076</v>
      </c>
      <c r="L1016">
        <v>88188</v>
      </c>
      <c r="M1016">
        <v>19</v>
      </c>
      <c r="N1016">
        <v>65429</v>
      </c>
      <c r="O1016" s="43">
        <v>56987590.176000006</v>
      </c>
      <c r="P1016" s="14">
        <f t="shared" si="47"/>
        <v>2655303.5787062496</v>
      </c>
      <c r="Q1016" s="14" t="str">
        <f t="shared" si="45"/>
        <v/>
      </c>
      <c r="R1016" s="14" t="str">
        <f t="shared" si="45"/>
        <v/>
      </c>
      <c r="S1016" s="14" t="str">
        <f t="shared" si="46"/>
        <v/>
      </c>
      <c r="T1016" s="14" t="s">
        <v>72</v>
      </c>
      <c r="U1016" s="14">
        <v>156194.32815919071</v>
      </c>
      <c r="V1016">
        <v>4646</v>
      </c>
      <c r="W1016">
        <v>23.197473144531301</v>
      </c>
      <c r="X1016">
        <v>22.6922805869144</v>
      </c>
      <c r="Y1016">
        <v>2.199233302208</v>
      </c>
      <c r="Z1016" s="31">
        <v>2.0874761061992699</v>
      </c>
      <c r="AA1016">
        <v>9.1704689307162699</v>
      </c>
      <c r="AB1016">
        <v>0.05</v>
      </c>
      <c r="AC1016">
        <v>331133.89612995298</v>
      </c>
      <c r="AD1016">
        <v>378916.51734150521</v>
      </c>
      <c r="AE1016">
        <v>1</v>
      </c>
      <c r="AF1016">
        <v>563.51613958585824</v>
      </c>
      <c r="AG1016">
        <v>10535.14127633661</v>
      </c>
    </row>
    <row r="1017" spans="2:33" hidden="1" x14ac:dyDescent="0.25">
      <c r="B1017">
        <v>18</v>
      </c>
      <c r="C1017" t="s">
        <v>48</v>
      </c>
      <c r="D1017" t="s">
        <v>28</v>
      </c>
      <c r="E1017" t="s">
        <v>67</v>
      </c>
      <c r="F1017">
        <v>204427</v>
      </c>
      <c r="G1017">
        <v>204427</v>
      </c>
      <c r="H1017">
        <v>49</v>
      </c>
      <c r="I1017">
        <v>7</v>
      </c>
      <c r="J1017">
        <v>0</v>
      </c>
      <c r="K1017">
        <v>654076</v>
      </c>
      <c r="L1017">
        <v>88188</v>
      </c>
      <c r="M1017">
        <v>19</v>
      </c>
      <c r="N1017">
        <v>65429</v>
      </c>
      <c r="O1017" s="43">
        <v>58098788.679317757</v>
      </c>
      <c r="P1017" s="14">
        <f t="shared" si="47"/>
        <v>1111198.503317751</v>
      </c>
      <c r="Q1017" s="14" t="str">
        <f t="shared" si="45"/>
        <v/>
      </c>
      <c r="R1017" s="14" t="str">
        <f t="shared" si="45"/>
        <v/>
      </c>
      <c r="S1017" s="14" t="str">
        <f t="shared" si="46"/>
        <v/>
      </c>
      <c r="T1017" s="14" t="s">
        <v>72</v>
      </c>
      <c r="U1017" s="14">
        <v>158742.64333110835</v>
      </c>
      <c r="V1017">
        <v>4646</v>
      </c>
      <c r="W1017">
        <v>18.542260742187501</v>
      </c>
      <c r="X1017">
        <v>40.666484030415702</v>
      </c>
      <c r="Y1017">
        <v>1.2680420287391501</v>
      </c>
      <c r="Z1017" s="31">
        <v>2.8902827983390198</v>
      </c>
      <c r="AA1017">
        <v>5.1858881611998804</v>
      </c>
      <c r="AB1017">
        <v>0.05</v>
      </c>
      <c r="AC1017">
        <v>331133.89612995298</v>
      </c>
      <c r="AD1017">
        <v>378916.51734150521</v>
      </c>
      <c r="AE1017">
        <v>1</v>
      </c>
      <c r="AF1017">
        <v>563.51613958585824</v>
      </c>
      <c r="AG1017">
        <v>10535.14127633661</v>
      </c>
    </row>
    <row r="1018" spans="2:33" hidden="1" x14ac:dyDescent="0.25">
      <c r="B1018">
        <v>18</v>
      </c>
      <c r="C1018" t="s">
        <v>48</v>
      </c>
      <c r="D1018" t="s">
        <v>28</v>
      </c>
      <c r="E1018" t="s">
        <v>67</v>
      </c>
      <c r="F1018">
        <v>204427</v>
      </c>
      <c r="G1018">
        <v>204427</v>
      </c>
      <c r="H1018">
        <v>50</v>
      </c>
      <c r="I1018">
        <v>27</v>
      </c>
      <c r="J1018">
        <v>0</v>
      </c>
      <c r="K1018">
        <v>654076</v>
      </c>
      <c r="L1018">
        <v>88188</v>
      </c>
      <c r="M1018">
        <v>19</v>
      </c>
      <c r="N1018">
        <v>65429</v>
      </c>
      <c r="O1018" s="43">
        <v>59803179.934544653</v>
      </c>
      <c r="P1018" s="14">
        <f t="shared" si="47"/>
        <v>1704391.2552268952</v>
      </c>
      <c r="Q1018" s="14" t="str">
        <f t="shared" si="45"/>
        <v/>
      </c>
      <c r="R1018" s="14" t="str">
        <f t="shared" si="45"/>
        <v/>
      </c>
      <c r="S1018" s="14" t="str">
        <f t="shared" si="46"/>
        <v/>
      </c>
      <c r="T1018" s="14" t="s">
        <v>72</v>
      </c>
      <c r="U1018" s="14">
        <v>63125.602045440013</v>
      </c>
      <c r="V1018">
        <v>4646</v>
      </c>
      <c r="W1018">
        <v>24.118981933593702</v>
      </c>
      <c r="X1018">
        <v>28.019854345009001</v>
      </c>
      <c r="Y1018">
        <v>2.1641449579685101</v>
      </c>
      <c r="Z1018" s="31">
        <v>1.9416043135668899</v>
      </c>
      <c r="AA1018">
        <v>1.4660818038599801</v>
      </c>
      <c r="AB1018">
        <v>0.05</v>
      </c>
      <c r="AC1018">
        <v>331133.89612995298</v>
      </c>
      <c r="AD1018">
        <v>378916.51734150521</v>
      </c>
      <c r="AE1018">
        <v>1</v>
      </c>
      <c r="AF1018">
        <v>563.51613958585824</v>
      </c>
      <c r="AG1018">
        <v>10535.14127633661</v>
      </c>
    </row>
    <row r="1019" spans="2:33" hidden="1" x14ac:dyDescent="0.25">
      <c r="B1019">
        <v>18</v>
      </c>
      <c r="C1019" t="s">
        <v>48</v>
      </c>
      <c r="D1019" t="s">
        <v>28</v>
      </c>
      <c r="E1019" t="s">
        <v>67</v>
      </c>
      <c r="F1019">
        <v>204427</v>
      </c>
      <c r="G1019">
        <v>204427</v>
      </c>
      <c r="H1019">
        <v>51</v>
      </c>
      <c r="I1019">
        <v>15</v>
      </c>
      <c r="J1019">
        <v>0</v>
      </c>
      <c r="K1019">
        <v>654076</v>
      </c>
      <c r="L1019">
        <v>88188</v>
      </c>
      <c r="M1019">
        <v>19</v>
      </c>
      <c r="N1019">
        <v>65429</v>
      </c>
      <c r="O1019" s="43">
        <v>60665523.472794242</v>
      </c>
      <c r="P1019" s="14">
        <f t="shared" si="47"/>
        <v>862343.5382495895</v>
      </c>
      <c r="Q1019" s="14" t="str">
        <f t="shared" si="45"/>
        <v/>
      </c>
      <c r="R1019" s="14" t="str">
        <f t="shared" si="45"/>
        <v/>
      </c>
      <c r="S1019" s="14" t="str">
        <f t="shared" si="46"/>
        <v/>
      </c>
      <c r="T1019" s="14" t="s">
        <v>72</v>
      </c>
      <c r="U1019" s="14">
        <v>57489.5692166398</v>
      </c>
      <c r="V1019">
        <v>4646</v>
      </c>
      <c r="W1019">
        <v>26.145715332031301</v>
      </c>
      <c r="X1019">
        <v>18.814273697072199</v>
      </c>
      <c r="Y1019">
        <v>2.7537396883705099</v>
      </c>
      <c r="Z1019" s="31">
        <v>1.06243964474807</v>
      </c>
      <c r="AA1019">
        <v>3.3877289515862499</v>
      </c>
      <c r="AB1019">
        <v>0.05</v>
      </c>
      <c r="AC1019">
        <v>331133.89612995298</v>
      </c>
      <c r="AD1019">
        <v>378916.51734150521</v>
      </c>
      <c r="AE1019">
        <v>1</v>
      </c>
      <c r="AF1019">
        <v>563.51613958585824</v>
      </c>
      <c r="AG1019">
        <v>10535.14127633661</v>
      </c>
    </row>
    <row r="1020" spans="2:33" hidden="1" x14ac:dyDescent="0.25">
      <c r="B1020">
        <v>18</v>
      </c>
      <c r="C1020" t="s">
        <v>48</v>
      </c>
      <c r="D1020" t="s">
        <v>28</v>
      </c>
      <c r="E1020" t="s">
        <v>67</v>
      </c>
      <c r="F1020">
        <v>204427</v>
      </c>
      <c r="G1020">
        <v>204427</v>
      </c>
      <c r="H1020">
        <v>52</v>
      </c>
      <c r="I1020" s="7">
        <v>0</v>
      </c>
      <c r="J1020">
        <v>0</v>
      </c>
      <c r="K1020">
        <v>654076</v>
      </c>
      <c r="L1020">
        <v>88188</v>
      </c>
      <c r="M1020">
        <v>19</v>
      </c>
      <c r="N1020">
        <v>65429</v>
      </c>
      <c r="O1020" s="43">
        <v>62121720.040855207</v>
      </c>
      <c r="P1020" s="14">
        <f t="shared" si="47"/>
        <v>1456196.5680609643</v>
      </c>
      <c r="Q1020" s="14" t="str">
        <f t="shared" si="45"/>
        <v/>
      </c>
      <c r="R1020" s="14" t="str">
        <f t="shared" si="45"/>
        <v/>
      </c>
      <c r="S1020" s="14" t="str">
        <f t="shared" si="46"/>
        <v/>
      </c>
      <c r="T1020" s="14" t="s">
        <v>72</v>
      </c>
      <c r="U1020" s="14">
        <v>0</v>
      </c>
      <c r="V1020">
        <v>4646</v>
      </c>
      <c r="W1020">
        <v>21.295129394531301</v>
      </c>
      <c r="X1020">
        <v>34.211369208881301</v>
      </c>
      <c r="Y1020">
        <v>1.6670591086975399</v>
      </c>
      <c r="Z1020" s="31">
        <v>2.2488783130293402</v>
      </c>
      <c r="AA1020">
        <v>8.7227165525687393</v>
      </c>
      <c r="AB1020">
        <v>0.05</v>
      </c>
      <c r="AC1020">
        <v>331133.89612995298</v>
      </c>
      <c r="AD1020">
        <v>378916.51734150521</v>
      </c>
      <c r="AE1020">
        <v>1</v>
      </c>
      <c r="AF1020">
        <v>563.51613958585824</v>
      </c>
      <c r="AG1020">
        <v>10535.14127633661</v>
      </c>
    </row>
    <row r="1021" spans="2:33" hidden="1" x14ac:dyDescent="0.25">
      <c r="B1021">
        <v>18</v>
      </c>
      <c r="C1021" t="s">
        <v>48</v>
      </c>
      <c r="D1021" t="s">
        <v>28</v>
      </c>
      <c r="E1021" t="s">
        <v>67</v>
      </c>
      <c r="F1021">
        <v>204427</v>
      </c>
      <c r="G1021">
        <v>204427</v>
      </c>
      <c r="H1021">
        <v>53</v>
      </c>
      <c r="I1021" s="7">
        <v>0</v>
      </c>
      <c r="J1021">
        <v>0</v>
      </c>
      <c r="K1021">
        <v>654076</v>
      </c>
      <c r="L1021">
        <v>88188</v>
      </c>
      <c r="M1021">
        <v>19</v>
      </c>
      <c r="N1021">
        <v>65429</v>
      </c>
      <c r="O1021" s="43">
        <v>63139045.793472007</v>
      </c>
      <c r="P1021" s="14">
        <f t="shared" si="47"/>
        <v>1017325.7526168004</v>
      </c>
      <c r="Q1021" s="14" t="str">
        <f t="shared" si="45"/>
        <v/>
      </c>
      <c r="R1021" s="14" t="str">
        <f t="shared" si="45"/>
        <v/>
      </c>
      <c r="S1021" s="14" t="str">
        <f t="shared" si="46"/>
        <v/>
      </c>
      <c r="T1021" s="14" t="s">
        <v>72</v>
      </c>
      <c r="U1021" s="14">
        <v>0</v>
      </c>
      <c r="V1021">
        <v>4646</v>
      </c>
      <c r="W1021">
        <v>17.739953613281301</v>
      </c>
      <c r="X1021">
        <v>48.202545792217997</v>
      </c>
      <c r="Y1021">
        <v>1.0526075135162301</v>
      </c>
      <c r="Z1021" s="31">
        <v>2.8956647216069902</v>
      </c>
      <c r="AA1021">
        <v>9.9028524263096802</v>
      </c>
      <c r="AB1021">
        <v>0.05</v>
      </c>
      <c r="AC1021">
        <v>331133.89612995298</v>
      </c>
      <c r="AD1021">
        <v>378916.51734150521</v>
      </c>
      <c r="AE1021">
        <v>1</v>
      </c>
      <c r="AF1021">
        <v>563.51613958585824</v>
      </c>
      <c r="AG1021">
        <v>10535.14127633661</v>
      </c>
    </row>
    <row r="1022" spans="2:33" hidden="1" x14ac:dyDescent="0.25">
      <c r="B1022">
        <v>18</v>
      </c>
      <c r="C1022" t="s">
        <v>48</v>
      </c>
      <c r="D1022" t="s">
        <v>28</v>
      </c>
      <c r="E1022" t="s">
        <v>67</v>
      </c>
      <c r="F1022">
        <v>204427</v>
      </c>
      <c r="G1022">
        <v>204427</v>
      </c>
      <c r="H1022">
        <v>54</v>
      </c>
      <c r="I1022" s="7">
        <v>0</v>
      </c>
      <c r="J1022">
        <v>0</v>
      </c>
      <c r="K1022">
        <v>654076</v>
      </c>
      <c r="L1022">
        <v>88188</v>
      </c>
      <c r="M1022">
        <v>19</v>
      </c>
      <c r="N1022">
        <v>65429</v>
      </c>
      <c r="O1022" s="43">
        <v>64267738.800376333</v>
      </c>
      <c r="P1022" s="14">
        <f t="shared" si="47"/>
        <v>1128693.0069043264</v>
      </c>
      <c r="Q1022" s="14" t="str">
        <f t="shared" si="45"/>
        <v/>
      </c>
      <c r="R1022" s="14" t="str">
        <f t="shared" si="45"/>
        <v/>
      </c>
      <c r="S1022" s="14" t="str">
        <f t="shared" si="46"/>
        <v/>
      </c>
      <c r="T1022" s="14" t="s">
        <v>72</v>
      </c>
      <c r="U1022" s="14">
        <v>0</v>
      </c>
      <c r="V1022">
        <v>4646</v>
      </c>
      <c r="W1022">
        <v>19.166894531250001</v>
      </c>
      <c r="X1022">
        <v>38.0845927933334</v>
      </c>
      <c r="Y1022">
        <v>1.37580734606636</v>
      </c>
      <c r="Z1022" s="31">
        <v>3.67971046407306</v>
      </c>
      <c r="AA1022">
        <v>13.8928998910703</v>
      </c>
      <c r="AB1022">
        <v>0.05</v>
      </c>
      <c r="AC1022">
        <v>331133.89612995298</v>
      </c>
      <c r="AD1022">
        <v>378916.51734150521</v>
      </c>
      <c r="AE1022">
        <v>1</v>
      </c>
      <c r="AF1022">
        <v>563.51613958585824</v>
      </c>
      <c r="AG1022">
        <v>10535.14127633661</v>
      </c>
    </row>
    <row r="1023" spans="2:33" hidden="1" x14ac:dyDescent="0.25">
      <c r="B1023">
        <v>18</v>
      </c>
      <c r="C1023" t="s">
        <v>48</v>
      </c>
      <c r="D1023" t="s">
        <v>28</v>
      </c>
      <c r="E1023" t="s">
        <v>67</v>
      </c>
      <c r="F1023">
        <v>204427</v>
      </c>
      <c r="G1023">
        <v>204427</v>
      </c>
      <c r="H1023">
        <v>55</v>
      </c>
      <c r="I1023" s="7">
        <v>0</v>
      </c>
      <c r="J1023">
        <v>0</v>
      </c>
      <c r="K1023">
        <v>654076</v>
      </c>
      <c r="L1023">
        <v>88188</v>
      </c>
      <c r="M1023">
        <v>19</v>
      </c>
      <c r="N1023">
        <v>65429</v>
      </c>
      <c r="O1023" s="43">
        <v>64267727.357085124</v>
      </c>
      <c r="P1023" s="14">
        <f t="shared" si="47"/>
        <v>-11.443291209638119</v>
      </c>
      <c r="Q1023" s="14">
        <f t="shared" si="45"/>
        <v>-11.443291209638119</v>
      </c>
      <c r="R1023" s="14">
        <f t="shared" si="45"/>
        <v>-11.443291209638119</v>
      </c>
      <c r="S1023" s="14">
        <f t="shared" si="46"/>
        <v>130.94891370858105</v>
      </c>
      <c r="T1023" s="14">
        <v>130.94891370858105</v>
      </c>
      <c r="U1023" s="14">
        <v>0</v>
      </c>
      <c r="V1023">
        <v>4646</v>
      </c>
      <c r="W1023">
        <v>7.9905029296875201</v>
      </c>
      <c r="X1023">
        <v>77.284567559503202</v>
      </c>
      <c r="Y1023">
        <v>0.24402441951720499</v>
      </c>
      <c r="Z1023" s="31">
        <v>4.5482459150742098</v>
      </c>
      <c r="AA1023">
        <v>16.778358331651301</v>
      </c>
      <c r="AB1023">
        <v>0.05</v>
      </c>
      <c r="AC1023">
        <v>331133.89612995298</v>
      </c>
      <c r="AD1023">
        <v>378916.51734150521</v>
      </c>
      <c r="AE1023">
        <v>1</v>
      </c>
      <c r="AF1023">
        <v>563.51613958585824</v>
      </c>
      <c r="AG1023">
        <v>10535.14127633661</v>
      </c>
    </row>
    <row r="1024" spans="2:33" hidden="1" x14ac:dyDescent="0.25">
      <c r="B1024">
        <v>18</v>
      </c>
      <c r="C1024" t="s">
        <v>48</v>
      </c>
      <c r="D1024" t="s">
        <v>28</v>
      </c>
      <c r="E1024" t="s">
        <v>67</v>
      </c>
      <c r="F1024">
        <v>204427</v>
      </c>
      <c r="G1024">
        <v>204427</v>
      </c>
      <c r="H1024">
        <v>56</v>
      </c>
      <c r="I1024" s="7">
        <v>0</v>
      </c>
      <c r="J1024">
        <v>0</v>
      </c>
      <c r="K1024">
        <v>654076</v>
      </c>
      <c r="L1024">
        <v>88188</v>
      </c>
      <c r="M1024">
        <v>19</v>
      </c>
      <c r="N1024">
        <v>65429</v>
      </c>
      <c r="O1024" s="43">
        <v>67985586.296876162</v>
      </c>
      <c r="P1024" s="14">
        <f t="shared" si="47"/>
        <v>3717858.9397910386</v>
      </c>
      <c r="Q1024" s="14" t="str">
        <f t="shared" si="45"/>
        <v/>
      </c>
      <c r="R1024" s="14" t="str">
        <f t="shared" si="45"/>
        <v/>
      </c>
      <c r="S1024" s="14" t="str">
        <f t="shared" si="46"/>
        <v/>
      </c>
      <c r="T1024" s="14" t="s">
        <v>72</v>
      </c>
      <c r="U1024" s="14">
        <v>0</v>
      </c>
      <c r="V1024">
        <v>4646</v>
      </c>
      <c r="W1024">
        <v>9.1943908691406495</v>
      </c>
      <c r="X1024">
        <v>85.026605287250007</v>
      </c>
      <c r="Y1024">
        <v>0.17449171628526799</v>
      </c>
      <c r="Z1024" s="31">
        <v>5.8351447844371904</v>
      </c>
      <c r="AA1024">
        <v>28.931229594344799</v>
      </c>
      <c r="AB1024">
        <v>0.05</v>
      </c>
      <c r="AC1024">
        <v>331133.89612995298</v>
      </c>
      <c r="AD1024">
        <v>378916.51734150521</v>
      </c>
      <c r="AE1024">
        <v>1</v>
      </c>
      <c r="AF1024">
        <v>563.51613958585824</v>
      </c>
      <c r="AG1024">
        <v>10535.14127633661</v>
      </c>
    </row>
    <row r="1025" spans="2:33" hidden="1" x14ac:dyDescent="0.25">
      <c r="B1025">
        <v>18</v>
      </c>
      <c r="C1025" t="s">
        <v>48</v>
      </c>
      <c r="D1025" t="s">
        <v>28</v>
      </c>
      <c r="E1025" t="s">
        <v>67</v>
      </c>
      <c r="F1025">
        <v>204427</v>
      </c>
      <c r="G1025">
        <v>204427</v>
      </c>
      <c r="H1025">
        <v>57</v>
      </c>
      <c r="I1025" s="7">
        <v>0</v>
      </c>
      <c r="J1025">
        <v>0</v>
      </c>
      <c r="K1025">
        <v>654076</v>
      </c>
      <c r="L1025">
        <v>88188</v>
      </c>
      <c r="M1025">
        <v>19</v>
      </c>
      <c r="N1025">
        <v>65429</v>
      </c>
      <c r="O1025" s="43">
        <v>67464736.887604326</v>
      </c>
      <c r="P1025" s="14">
        <f t="shared" si="47"/>
        <v>-520849.40927183628</v>
      </c>
      <c r="Q1025" s="14">
        <f t="shared" si="45"/>
        <v>-520849.40927183628</v>
      </c>
      <c r="R1025" s="14">
        <f t="shared" si="45"/>
        <v>-520849.40927183628</v>
      </c>
      <c r="S1025" s="14">
        <f t="shared" si="46"/>
        <v>271284107138.8208</v>
      </c>
      <c r="T1025" s="14">
        <v>271284107138.8208</v>
      </c>
      <c r="U1025" s="14">
        <v>0</v>
      </c>
      <c r="V1025">
        <v>4646</v>
      </c>
      <c r="W1025">
        <v>10.529504394531299</v>
      </c>
      <c r="X1025">
        <v>65.021680438702305</v>
      </c>
      <c r="Y1025">
        <v>0.44574733054439403</v>
      </c>
      <c r="Z1025" s="31">
        <v>3.3873492244810199</v>
      </c>
      <c r="AA1025">
        <v>13.030355073209501</v>
      </c>
      <c r="AB1025">
        <v>0.05</v>
      </c>
      <c r="AC1025">
        <v>331133.89612995298</v>
      </c>
      <c r="AD1025">
        <v>378916.51734150521</v>
      </c>
      <c r="AE1025">
        <v>1</v>
      </c>
      <c r="AF1025">
        <v>563.51613958585824</v>
      </c>
      <c r="AG1025">
        <v>10535.14127633661</v>
      </c>
    </row>
    <row r="1026" spans="2:33" hidden="1" x14ac:dyDescent="0.25">
      <c r="B1026">
        <v>18</v>
      </c>
      <c r="C1026" t="s">
        <v>48</v>
      </c>
      <c r="D1026" t="s">
        <v>28</v>
      </c>
      <c r="E1026" t="s">
        <v>67</v>
      </c>
      <c r="F1026">
        <v>204427</v>
      </c>
      <c r="G1026">
        <v>204427</v>
      </c>
      <c r="H1026">
        <v>58</v>
      </c>
      <c r="I1026" s="7">
        <v>0</v>
      </c>
      <c r="J1026">
        <v>0</v>
      </c>
      <c r="K1026">
        <v>654076</v>
      </c>
      <c r="L1026">
        <v>88188</v>
      </c>
      <c r="M1026">
        <v>19</v>
      </c>
      <c r="N1026">
        <v>65429</v>
      </c>
      <c r="O1026" s="43">
        <v>68293648.850613132</v>
      </c>
      <c r="P1026" s="14">
        <f t="shared" si="47"/>
        <v>828911.96300880611</v>
      </c>
      <c r="Q1026" s="14" t="str">
        <f t="shared" si="45"/>
        <v/>
      </c>
      <c r="R1026" s="14" t="str">
        <f t="shared" si="45"/>
        <v/>
      </c>
      <c r="S1026" s="14" t="str">
        <f t="shared" si="46"/>
        <v/>
      </c>
      <c r="T1026" s="14" t="s">
        <v>72</v>
      </c>
      <c r="U1026" s="14">
        <v>0</v>
      </c>
      <c r="V1026">
        <v>4646</v>
      </c>
      <c r="W1026">
        <v>10.405969238281299</v>
      </c>
      <c r="X1026">
        <v>81.087942125550498</v>
      </c>
      <c r="Y1026">
        <v>0.239017243933243</v>
      </c>
      <c r="Z1026" s="31">
        <v>5.4849731015679497</v>
      </c>
      <c r="AA1026">
        <v>28.775247128569699</v>
      </c>
      <c r="AB1026">
        <v>0.05</v>
      </c>
      <c r="AC1026">
        <v>331133.89612995298</v>
      </c>
      <c r="AD1026">
        <v>378916.51734150521</v>
      </c>
      <c r="AE1026">
        <v>1</v>
      </c>
      <c r="AF1026">
        <v>563.51613958585824</v>
      </c>
      <c r="AG1026">
        <v>10535.14127633661</v>
      </c>
    </row>
    <row r="1027" spans="2:33" hidden="1" x14ac:dyDescent="0.25">
      <c r="B1027">
        <v>18</v>
      </c>
      <c r="C1027" t="s">
        <v>48</v>
      </c>
      <c r="D1027" t="s">
        <v>28</v>
      </c>
      <c r="E1027" t="s">
        <v>67</v>
      </c>
      <c r="F1027">
        <v>204427</v>
      </c>
      <c r="G1027">
        <v>204427</v>
      </c>
      <c r="H1027">
        <v>59</v>
      </c>
      <c r="I1027" s="7">
        <v>0</v>
      </c>
      <c r="J1027">
        <v>0</v>
      </c>
      <c r="K1027">
        <v>654076</v>
      </c>
      <c r="L1027">
        <v>88188</v>
      </c>
      <c r="M1027">
        <v>19</v>
      </c>
      <c r="N1027">
        <v>65429</v>
      </c>
      <c r="O1027" s="43">
        <v>68810172.695811361</v>
      </c>
      <c r="P1027" s="14">
        <f t="shared" si="47"/>
        <v>516523.84519822896</v>
      </c>
      <c r="Q1027" s="14" t="str">
        <f t="shared" ref="Q1027:R1090" si="48">IF(P1027&gt;=0,"",P1027)</f>
        <v/>
      </c>
      <c r="R1027" s="14" t="str">
        <f t="shared" si="48"/>
        <v/>
      </c>
      <c r="S1027" s="14" t="str">
        <f t="shared" ref="S1027:S1090" si="49">IFERROR(IF(ISNA(Q1027),NA(),Q1027^2),"")</f>
        <v/>
      </c>
      <c r="T1027" s="14" t="s">
        <v>72</v>
      </c>
      <c r="U1027" s="14">
        <v>0</v>
      </c>
      <c r="V1027">
        <v>4646</v>
      </c>
      <c r="W1027">
        <v>9.8138061523437194</v>
      </c>
      <c r="X1027">
        <v>61.926013379024099</v>
      </c>
      <c r="Y1027">
        <v>0.46255818941513699</v>
      </c>
      <c r="Z1027" s="31">
        <v>3.3039109521942498</v>
      </c>
      <c r="AA1027">
        <v>14.7945419228113</v>
      </c>
      <c r="AB1027">
        <v>0.05</v>
      </c>
      <c r="AC1027">
        <v>331133.89612995298</v>
      </c>
      <c r="AD1027">
        <v>378916.51734150521</v>
      </c>
      <c r="AE1027">
        <v>1</v>
      </c>
      <c r="AF1027">
        <v>563.51613958585824</v>
      </c>
      <c r="AG1027">
        <v>10535.14127633661</v>
      </c>
    </row>
    <row r="1028" spans="2:33" hidden="1" x14ac:dyDescent="0.25">
      <c r="B1028">
        <v>18</v>
      </c>
      <c r="C1028" t="s">
        <v>48</v>
      </c>
      <c r="D1028" t="s">
        <v>28</v>
      </c>
      <c r="E1028" t="s">
        <v>67</v>
      </c>
      <c r="F1028">
        <v>204427</v>
      </c>
      <c r="G1028">
        <v>204427</v>
      </c>
      <c r="H1028">
        <v>60</v>
      </c>
      <c r="I1028" s="7">
        <v>0</v>
      </c>
      <c r="J1028">
        <v>0</v>
      </c>
      <c r="K1028">
        <v>654076</v>
      </c>
      <c r="L1028">
        <v>88188</v>
      </c>
      <c r="M1028">
        <v>19</v>
      </c>
      <c r="N1028">
        <v>65429</v>
      </c>
      <c r="O1028" s="43">
        <v>68810172.695811361</v>
      </c>
      <c r="P1028" s="14">
        <f t="shared" ref="P1028:P1091" si="50">O1028-O1027</f>
        <v>0</v>
      </c>
      <c r="Q1028" s="14" t="str">
        <f t="shared" si="48"/>
        <v/>
      </c>
      <c r="R1028" s="14" t="str">
        <f t="shared" si="48"/>
        <v/>
      </c>
      <c r="S1028" s="14" t="str">
        <f t="shared" si="49"/>
        <v/>
      </c>
      <c r="T1028" s="14" t="s">
        <v>72</v>
      </c>
      <c r="U1028" s="14">
        <v>0</v>
      </c>
      <c r="V1028">
        <v>4646</v>
      </c>
      <c r="W1028">
        <v>14.3305908203125</v>
      </c>
      <c r="X1028">
        <v>36.927563351432497</v>
      </c>
      <c r="Y1028">
        <v>1.03141947501651</v>
      </c>
      <c r="Z1028" s="31">
        <v>1.3929992995392899</v>
      </c>
      <c r="AA1028">
        <v>13.8249685323929</v>
      </c>
      <c r="AB1028">
        <v>0.05</v>
      </c>
      <c r="AC1028">
        <v>331133.89612995298</v>
      </c>
      <c r="AD1028">
        <v>378916.51734150521</v>
      </c>
      <c r="AE1028">
        <v>1</v>
      </c>
      <c r="AF1028">
        <v>563.51613958585824</v>
      </c>
      <c r="AG1028">
        <v>10535.14127633661</v>
      </c>
    </row>
    <row r="1029" spans="2:33" hidden="1" x14ac:dyDescent="0.25">
      <c r="B1029">
        <v>18</v>
      </c>
      <c r="C1029" t="s">
        <v>48</v>
      </c>
      <c r="D1029" t="s">
        <v>28</v>
      </c>
      <c r="E1029" t="s">
        <v>67</v>
      </c>
      <c r="F1029">
        <v>204427</v>
      </c>
      <c r="G1029">
        <v>204427</v>
      </c>
      <c r="H1029">
        <v>61</v>
      </c>
      <c r="I1029" s="7">
        <v>0</v>
      </c>
      <c r="J1029">
        <v>0</v>
      </c>
      <c r="K1029">
        <v>654076</v>
      </c>
      <c r="L1029">
        <v>88188</v>
      </c>
      <c r="M1029">
        <v>19</v>
      </c>
      <c r="N1029">
        <v>65429</v>
      </c>
      <c r="O1029" s="43">
        <v>69396577.287380651</v>
      </c>
      <c r="P1029" s="14">
        <f t="shared" si="50"/>
        <v>586404.59156928957</v>
      </c>
      <c r="Q1029" s="14" t="str">
        <f t="shared" si="48"/>
        <v/>
      </c>
      <c r="R1029" s="14" t="str">
        <f t="shared" si="48"/>
        <v/>
      </c>
      <c r="S1029" s="14" t="str">
        <f t="shared" si="49"/>
        <v/>
      </c>
      <c r="T1029" s="14" t="s">
        <v>72</v>
      </c>
      <c r="U1029" s="14">
        <v>0</v>
      </c>
      <c r="V1029">
        <v>4646</v>
      </c>
      <c r="W1029">
        <v>16.952416992187501</v>
      </c>
      <c r="X1029">
        <v>56.100425659580203</v>
      </c>
      <c r="Y1029">
        <v>0.84881354609151605</v>
      </c>
      <c r="Z1029" s="31">
        <v>3.8766614667309498</v>
      </c>
      <c r="AA1029">
        <v>23.4713949763199</v>
      </c>
      <c r="AB1029">
        <v>0.05</v>
      </c>
      <c r="AC1029">
        <v>331133.89612995298</v>
      </c>
      <c r="AD1029">
        <v>378916.51734150521</v>
      </c>
      <c r="AE1029">
        <v>1</v>
      </c>
      <c r="AF1029">
        <v>563.51613958585824</v>
      </c>
      <c r="AG1029">
        <v>10535.14127633661</v>
      </c>
    </row>
    <row r="1030" spans="2:33" hidden="1" x14ac:dyDescent="0.25">
      <c r="B1030">
        <v>18</v>
      </c>
      <c r="C1030" t="s">
        <v>48</v>
      </c>
      <c r="D1030" t="s">
        <v>28</v>
      </c>
      <c r="E1030" t="s">
        <v>67</v>
      </c>
      <c r="F1030">
        <v>204427</v>
      </c>
      <c r="G1030">
        <v>204427</v>
      </c>
      <c r="H1030">
        <v>62</v>
      </c>
      <c r="I1030" s="7">
        <v>0</v>
      </c>
      <c r="J1030">
        <v>0</v>
      </c>
      <c r="K1030">
        <v>654076</v>
      </c>
      <c r="L1030">
        <v>88188</v>
      </c>
      <c r="M1030">
        <v>19</v>
      </c>
      <c r="N1030">
        <v>65429</v>
      </c>
      <c r="O1030" s="43">
        <v>69603940.400515333</v>
      </c>
      <c r="P1030" s="14">
        <f t="shared" si="50"/>
        <v>207363.11313468218</v>
      </c>
      <c r="Q1030" s="14" t="str">
        <f t="shared" si="48"/>
        <v/>
      </c>
      <c r="R1030" s="14" t="str">
        <f t="shared" si="48"/>
        <v/>
      </c>
      <c r="S1030" s="14" t="str">
        <f t="shared" si="49"/>
        <v/>
      </c>
      <c r="T1030" s="14" t="s">
        <v>72</v>
      </c>
      <c r="U1030" s="14">
        <v>0</v>
      </c>
      <c r="V1030">
        <v>4646</v>
      </c>
      <c r="W1030">
        <v>14.7561889648437</v>
      </c>
      <c r="X1030">
        <v>43.685734254632997</v>
      </c>
      <c r="Y1030">
        <v>0.94651857910872494</v>
      </c>
      <c r="Z1030" s="31">
        <v>2.59217931873942</v>
      </c>
      <c r="AA1030">
        <v>16.368278833538501</v>
      </c>
      <c r="AB1030">
        <v>0.05</v>
      </c>
      <c r="AC1030">
        <v>331133.89612995298</v>
      </c>
      <c r="AD1030">
        <v>378916.51734150521</v>
      </c>
      <c r="AE1030">
        <v>1</v>
      </c>
      <c r="AF1030">
        <v>563.51613958585824</v>
      </c>
      <c r="AG1030">
        <v>10535.14127633661</v>
      </c>
    </row>
    <row r="1031" spans="2:33" hidden="1" x14ac:dyDescent="0.25">
      <c r="B1031">
        <v>18</v>
      </c>
      <c r="C1031" t="s">
        <v>48</v>
      </c>
      <c r="D1031" t="s">
        <v>28</v>
      </c>
      <c r="E1031" t="s">
        <v>67</v>
      </c>
      <c r="F1031">
        <v>204427</v>
      </c>
      <c r="G1031">
        <v>204427</v>
      </c>
      <c r="H1031">
        <v>63</v>
      </c>
      <c r="I1031" s="7">
        <v>0</v>
      </c>
      <c r="J1031">
        <v>0</v>
      </c>
      <c r="K1031">
        <v>654076</v>
      </c>
      <c r="L1031">
        <v>88188</v>
      </c>
      <c r="M1031">
        <v>19</v>
      </c>
      <c r="N1031">
        <v>65429</v>
      </c>
      <c r="O1031" s="43">
        <v>69717614.244680166</v>
      </c>
      <c r="P1031" s="14">
        <f t="shared" si="50"/>
        <v>113673.84416483343</v>
      </c>
      <c r="Q1031" s="14" t="str">
        <f t="shared" si="48"/>
        <v/>
      </c>
      <c r="R1031" s="14" t="str">
        <f t="shared" si="48"/>
        <v/>
      </c>
      <c r="S1031" s="14" t="str">
        <f t="shared" si="49"/>
        <v/>
      </c>
      <c r="T1031" s="14" t="s">
        <v>72</v>
      </c>
      <c r="U1031" s="14">
        <v>0</v>
      </c>
      <c r="V1031">
        <v>4646</v>
      </c>
      <c r="W1031">
        <v>13.569299316406299</v>
      </c>
      <c r="X1031">
        <v>77.198548005582794</v>
      </c>
      <c r="Y1031">
        <v>0.35484963307518402</v>
      </c>
      <c r="Z1031" s="31">
        <v>2.8493625888692899</v>
      </c>
      <c r="AA1031">
        <v>21.263381281767501</v>
      </c>
      <c r="AB1031">
        <v>0.05</v>
      </c>
      <c r="AC1031">
        <v>331133.89612995298</v>
      </c>
      <c r="AD1031">
        <v>378916.51734150521</v>
      </c>
      <c r="AE1031">
        <v>1</v>
      </c>
      <c r="AF1031">
        <v>563.51613958585824</v>
      </c>
      <c r="AG1031">
        <v>10535.14127633661</v>
      </c>
    </row>
    <row r="1032" spans="2:33" hidden="1" x14ac:dyDescent="0.25">
      <c r="B1032">
        <v>18</v>
      </c>
      <c r="C1032" t="s">
        <v>48</v>
      </c>
      <c r="D1032" t="s">
        <v>28</v>
      </c>
      <c r="E1032" t="s">
        <v>67</v>
      </c>
      <c r="F1032">
        <v>204427</v>
      </c>
      <c r="G1032">
        <v>204427</v>
      </c>
      <c r="H1032">
        <v>64</v>
      </c>
      <c r="I1032" s="7">
        <v>0</v>
      </c>
      <c r="J1032">
        <v>0</v>
      </c>
      <c r="K1032">
        <v>654076</v>
      </c>
      <c r="L1032">
        <v>88188</v>
      </c>
      <c r="M1032">
        <v>19</v>
      </c>
      <c r="N1032">
        <v>65429</v>
      </c>
      <c r="O1032" s="43">
        <v>69717614.244680166</v>
      </c>
      <c r="P1032" s="14">
        <f t="shared" si="50"/>
        <v>0</v>
      </c>
      <c r="Q1032" s="14" t="str">
        <f t="shared" si="48"/>
        <v/>
      </c>
      <c r="R1032" s="14" t="str">
        <f t="shared" si="48"/>
        <v/>
      </c>
      <c r="S1032" s="14" t="str">
        <f t="shared" si="49"/>
        <v/>
      </c>
      <c r="T1032" s="14" t="s">
        <v>72</v>
      </c>
      <c r="U1032" s="14">
        <v>0</v>
      </c>
      <c r="V1032">
        <v>4646</v>
      </c>
      <c r="W1032">
        <v>11.7809997558594</v>
      </c>
      <c r="X1032">
        <v>63.5899724367776</v>
      </c>
      <c r="Y1032">
        <v>0.50410149995379405</v>
      </c>
      <c r="Z1032" s="31">
        <v>3.3749645927581402</v>
      </c>
      <c r="AA1032">
        <v>20.4327864965624</v>
      </c>
      <c r="AB1032">
        <v>0.05</v>
      </c>
      <c r="AC1032">
        <v>331133.89612995298</v>
      </c>
      <c r="AD1032">
        <v>378916.51734150521</v>
      </c>
      <c r="AE1032">
        <v>1</v>
      </c>
      <c r="AF1032">
        <v>563.51613958585824</v>
      </c>
      <c r="AG1032">
        <v>10535.14127633661</v>
      </c>
    </row>
    <row r="1033" spans="2:33" hidden="1" x14ac:dyDescent="0.25">
      <c r="B1033">
        <v>18</v>
      </c>
      <c r="C1033" t="s">
        <v>48</v>
      </c>
      <c r="D1033" t="s">
        <v>28</v>
      </c>
      <c r="E1033" t="s">
        <v>67</v>
      </c>
      <c r="F1033">
        <v>204427</v>
      </c>
      <c r="G1033">
        <v>204427</v>
      </c>
      <c r="H1033">
        <v>65</v>
      </c>
      <c r="I1033" s="7">
        <v>0</v>
      </c>
      <c r="J1033">
        <v>0</v>
      </c>
      <c r="K1033">
        <v>654076</v>
      </c>
      <c r="L1033">
        <v>88188</v>
      </c>
      <c r="M1033">
        <v>19</v>
      </c>
      <c r="N1033">
        <v>65429</v>
      </c>
      <c r="O1033" s="43">
        <v>69717615.045710549</v>
      </c>
      <c r="P1033" s="14">
        <f t="shared" si="50"/>
        <v>0.80103038251399994</v>
      </c>
      <c r="Q1033" s="14" t="str">
        <f t="shared" si="48"/>
        <v/>
      </c>
      <c r="R1033" s="14" t="str">
        <f t="shared" si="48"/>
        <v/>
      </c>
      <c r="S1033" s="14" t="str">
        <f t="shared" si="49"/>
        <v/>
      </c>
      <c r="T1033" s="14" t="s">
        <v>72</v>
      </c>
      <c r="U1033" s="14">
        <v>0</v>
      </c>
      <c r="V1033">
        <v>4646</v>
      </c>
      <c r="W1033">
        <v>11.8027893066406</v>
      </c>
      <c r="X1033">
        <v>67.733963988314699</v>
      </c>
      <c r="Y1033">
        <v>0.44736126171071</v>
      </c>
      <c r="Z1033" s="31">
        <v>3.6137159575764302</v>
      </c>
      <c r="AA1033">
        <v>19.440524069002699</v>
      </c>
      <c r="AB1033">
        <v>0.05</v>
      </c>
      <c r="AC1033">
        <v>331133.89612995298</v>
      </c>
      <c r="AD1033">
        <v>378916.51734150521</v>
      </c>
      <c r="AE1033">
        <v>1</v>
      </c>
      <c r="AF1033">
        <v>563.51613958585824</v>
      </c>
      <c r="AG1033">
        <v>10535.14127633661</v>
      </c>
    </row>
    <row r="1034" spans="2:33" hidden="1" x14ac:dyDescent="0.25">
      <c r="B1034">
        <v>18</v>
      </c>
      <c r="C1034" t="s">
        <v>48</v>
      </c>
      <c r="D1034" t="s">
        <v>28</v>
      </c>
      <c r="E1034" t="s">
        <v>67</v>
      </c>
      <c r="F1034">
        <v>204427</v>
      </c>
      <c r="G1034">
        <v>204427</v>
      </c>
      <c r="H1034">
        <v>66</v>
      </c>
      <c r="I1034" s="7">
        <v>0</v>
      </c>
      <c r="J1034">
        <v>0</v>
      </c>
      <c r="K1034">
        <v>654076</v>
      </c>
      <c r="L1034">
        <v>88188</v>
      </c>
      <c r="M1034">
        <v>19</v>
      </c>
      <c r="N1034">
        <v>65429</v>
      </c>
      <c r="O1034" s="43">
        <v>69717614.244680166</v>
      </c>
      <c r="P1034" s="14">
        <f t="shared" si="50"/>
        <v>-0.80103038251399994</v>
      </c>
      <c r="Q1034" s="14">
        <f t="shared" si="48"/>
        <v>-0.80103038251399994</v>
      </c>
      <c r="R1034" s="14">
        <f t="shared" si="48"/>
        <v>-0.80103038251399994</v>
      </c>
      <c r="S1034" s="14">
        <f t="shared" si="49"/>
        <v>0.64164967371052506</v>
      </c>
      <c r="T1034" s="14">
        <v>0.64164967371052506</v>
      </c>
      <c r="U1034" s="14">
        <v>0</v>
      </c>
      <c r="V1034">
        <v>4646</v>
      </c>
      <c r="W1034">
        <v>5.5044799804687701</v>
      </c>
      <c r="X1034">
        <v>63.158755564071399</v>
      </c>
      <c r="Y1034">
        <v>0.33367052860102703</v>
      </c>
      <c r="Z1034" s="31">
        <v>4.0112798540902697</v>
      </c>
      <c r="AA1034">
        <v>13.1556333500583</v>
      </c>
      <c r="AB1034">
        <v>0.05</v>
      </c>
      <c r="AC1034">
        <v>331133.89612995298</v>
      </c>
      <c r="AD1034">
        <v>378916.51734150521</v>
      </c>
      <c r="AE1034">
        <v>1</v>
      </c>
      <c r="AF1034">
        <v>563.51613958585824</v>
      </c>
      <c r="AG1034">
        <v>10535.14127633661</v>
      </c>
    </row>
    <row r="1035" spans="2:33" hidden="1" x14ac:dyDescent="0.25">
      <c r="B1035">
        <v>18</v>
      </c>
      <c r="C1035" t="s">
        <v>48</v>
      </c>
      <c r="D1035" t="s">
        <v>28</v>
      </c>
      <c r="E1035" t="s">
        <v>67</v>
      </c>
      <c r="F1035">
        <v>204427</v>
      </c>
      <c r="G1035">
        <v>204427</v>
      </c>
      <c r="H1035">
        <v>67</v>
      </c>
      <c r="I1035" s="7">
        <v>0</v>
      </c>
      <c r="J1035">
        <v>0</v>
      </c>
      <c r="K1035">
        <v>654076</v>
      </c>
      <c r="L1035">
        <v>88188</v>
      </c>
      <c r="M1035">
        <v>19</v>
      </c>
      <c r="N1035">
        <v>65429</v>
      </c>
      <c r="O1035" s="43">
        <v>69717614.244680166</v>
      </c>
      <c r="P1035" s="14">
        <f t="shared" si="50"/>
        <v>0</v>
      </c>
      <c r="Q1035" s="14" t="str">
        <f t="shared" si="48"/>
        <v/>
      </c>
      <c r="R1035" s="14" t="str">
        <f t="shared" si="48"/>
        <v/>
      </c>
      <c r="S1035" s="14" t="str">
        <f t="shared" si="49"/>
        <v/>
      </c>
      <c r="T1035" s="14" t="s">
        <v>72</v>
      </c>
      <c r="U1035" s="14">
        <v>0</v>
      </c>
      <c r="V1035">
        <v>4646</v>
      </c>
      <c r="W1035">
        <v>6.9591308593750201</v>
      </c>
      <c r="X1035">
        <v>40.366020098367201</v>
      </c>
      <c r="Y1035">
        <v>0.59701709819220605</v>
      </c>
      <c r="Z1035" s="31">
        <v>2.1667611728861602</v>
      </c>
      <c r="AA1035">
        <v>5.3028514284488804</v>
      </c>
      <c r="AB1035">
        <v>0.05</v>
      </c>
      <c r="AC1035">
        <v>331133.89612995298</v>
      </c>
      <c r="AD1035">
        <v>378916.51734150521</v>
      </c>
      <c r="AE1035">
        <v>1</v>
      </c>
      <c r="AF1035">
        <v>563.51613958585824</v>
      </c>
      <c r="AG1035">
        <v>10535.14127633661</v>
      </c>
    </row>
    <row r="1036" spans="2:33" hidden="1" x14ac:dyDescent="0.25">
      <c r="B1036">
        <v>18</v>
      </c>
      <c r="C1036" t="s">
        <v>48</v>
      </c>
      <c r="D1036" t="s">
        <v>28</v>
      </c>
      <c r="E1036" t="s">
        <v>67</v>
      </c>
      <c r="F1036">
        <v>204427</v>
      </c>
      <c r="G1036">
        <v>204427</v>
      </c>
      <c r="H1036">
        <v>68</v>
      </c>
      <c r="I1036" s="7">
        <v>0</v>
      </c>
      <c r="J1036">
        <v>0</v>
      </c>
      <c r="K1036">
        <v>654076</v>
      </c>
      <c r="L1036">
        <v>88188</v>
      </c>
      <c r="M1036">
        <v>19</v>
      </c>
      <c r="N1036">
        <v>65429</v>
      </c>
      <c r="O1036" s="43">
        <v>69717614.244680166</v>
      </c>
      <c r="P1036" s="14">
        <f t="shared" si="50"/>
        <v>0</v>
      </c>
      <c r="Q1036" s="14" t="str">
        <f t="shared" si="48"/>
        <v/>
      </c>
      <c r="R1036" s="14" t="str">
        <f t="shared" si="48"/>
        <v/>
      </c>
      <c r="S1036" s="14" t="str">
        <f t="shared" si="49"/>
        <v/>
      </c>
      <c r="T1036" s="14" t="s">
        <v>72</v>
      </c>
      <c r="U1036" s="14">
        <v>0</v>
      </c>
      <c r="V1036">
        <v>4646</v>
      </c>
      <c r="W1036">
        <v>6.7101684570312701</v>
      </c>
      <c r="X1036">
        <v>71.8327610172215</v>
      </c>
      <c r="Y1036">
        <v>0.27725216176803902</v>
      </c>
      <c r="Z1036" s="31">
        <v>4.4429997117548998</v>
      </c>
      <c r="AA1036">
        <v>26.2323270288122</v>
      </c>
      <c r="AB1036">
        <v>0.05</v>
      </c>
      <c r="AC1036">
        <v>331133.89612995298</v>
      </c>
      <c r="AD1036">
        <v>378916.51734150521</v>
      </c>
      <c r="AE1036">
        <v>1</v>
      </c>
      <c r="AF1036">
        <v>563.51613958585824</v>
      </c>
      <c r="AG1036">
        <v>10535.14127633661</v>
      </c>
    </row>
    <row r="1037" spans="2:33" hidden="1" x14ac:dyDescent="0.25">
      <c r="B1037">
        <v>18</v>
      </c>
      <c r="C1037" t="s">
        <v>48</v>
      </c>
      <c r="D1037" t="s">
        <v>28</v>
      </c>
      <c r="E1037" t="s">
        <v>67</v>
      </c>
      <c r="F1037">
        <v>204427</v>
      </c>
      <c r="G1037">
        <v>204427</v>
      </c>
      <c r="H1037">
        <v>69</v>
      </c>
      <c r="I1037" s="7">
        <v>0</v>
      </c>
      <c r="J1037">
        <v>0</v>
      </c>
      <c r="K1037">
        <v>654076</v>
      </c>
      <c r="L1037">
        <v>88188</v>
      </c>
      <c r="M1037">
        <v>19</v>
      </c>
      <c r="N1037">
        <v>65429</v>
      </c>
      <c r="O1037" s="43">
        <v>69717614.244680166</v>
      </c>
      <c r="P1037" s="14">
        <f t="shared" si="50"/>
        <v>0</v>
      </c>
      <c r="Q1037" s="14" t="str">
        <f t="shared" si="48"/>
        <v/>
      </c>
      <c r="R1037" s="14" t="str">
        <f t="shared" si="48"/>
        <v/>
      </c>
      <c r="S1037" s="14" t="str">
        <f t="shared" si="49"/>
        <v/>
      </c>
      <c r="T1037" s="14" t="s">
        <v>72</v>
      </c>
      <c r="U1037" s="14">
        <v>0</v>
      </c>
      <c r="V1037">
        <v>4646</v>
      </c>
      <c r="W1037">
        <v>0.57265625000002296</v>
      </c>
      <c r="X1037">
        <v>77.548348959052902</v>
      </c>
      <c r="Y1037">
        <v>0.14342801866023899</v>
      </c>
      <c r="Z1037" s="31">
        <v>2.79924956823643</v>
      </c>
      <c r="AA1037">
        <v>15.030675712535199</v>
      </c>
      <c r="AB1037">
        <v>0.05</v>
      </c>
      <c r="AC1037">
        <v>331133.89612995298</v>
      </c>
      <c r="AD1037">
        <v>378916.51734150521</v>
      </c>
      <c r="AE1037">
        <v>1</v>
      </c>
      <c r="AF1037">
        <v>563.51613958585824</v>
      </c>
      <c r="AG1037">
        <v>10535.14127633661</v>
      </c>
    </row>
    <row r="1038" spans="2:33" hidden="1" x14ac:dyDescent="0.25">
      <c r="B1038">
        <v>18</v>
      </c>
      <c r="C1038" t="s">
        <v>48</v>
      </c>
      <c r="D1038" t="s">
        <v>28</v>
      </c>
      <c r="E1038" t="s">
        <v>67</v>
      </c>
      <c r="F1038">
        <v>204427</v>
      </c>
      <c r="G1038">
        <v>204427</v>
      </c>
      <c r="H1038">
        <v>70</v>
      </c>
      <c r="I1038" s="7">
        <v>0</v>
      </c>
      <c r="J1038">
        <v>0</v>
      </c>
      <c r="K1038">
        <v>654076</v>
      </c>
      <c r="L1038">
        <v>88188</v>
      </c>
      <c r="M1038">
        <v>19</v>
      </c>
      <c r="N1038">
        <v>65429</v>
      </c>
      <c r="O1038" s="43">
        <v>70307581.132800013</v>
      </c>
      <c r="P1038" s="14">
        <f t="shared" si="50"/>
        <v>589966.88811984658</v>
      </c>
      <c r="Q1038" s="14" t="str">
        <f t="shared" si="48"/>
        <v/>
      </c>
      <c r="R1038" s="14" t="str">
        <f t="shared" si="48"/>
        <v/>
      </c>
      <c r="S1038" s="14" t="str">
        <f t="shared" si="49"/>
        <v/>
      </c>
      <c r="T1038" s="14" t="s">
        <v>72</v>
      </c>
      <c r="U1038" s="14">
        <v>0</v>
      </c>
      <c r="V1038">
        <v>4646</v>
      </c>
      <c r="W1038">
        <v>-1.89044799804685</v>
      </c>
      <c r="X1038">
        <v>33.840597088937898</v>
      </c>
      <c r="Y1038">
        <v>0.35281605118357501</v>
      </c>
      <c r="Z1038" s="31">
        <v>2.9729916399660299</v>
      </c>
      <c r="AA1038">
        <v>18.039418150852701</v>
      </c>
      <c r="AB1038">
        <v>0.05</v>
      </c>
      <c r="AC1038">
        <v>331133.89612995298</v>
      </c>
      <c r="AD1038">
        <v>378916.51734150521</v>
      </c>
      <c r="AE1038">
        <v>1</v>
      </c>
      <c r="AF1038">
        <v>563.51613958585824</v>
      </c>
      <c r="AG1038">
        <v>10535.14127633661</v>
      </c>
    </row>
    <row r="1039" spans="2:33" hidden="1" x14ac:dyDescent="0.25">
      <c r="B1039">
        <v>18</v>
      </c>
      <c r="C1039" t="s">
        <v>48</v>
      </c>
      <c r="D1039" t="s">
        <v>28</v>
      </c>
      <c r="E1039" t="s">
        <v>67</v>
      </c>
      <c r="F1039">
        <v>204427</v>
      </c>
      <c r="G1039">
        <v>204427</v>
      </c>
      <c r="H1039">
        <v>71</v>
      </c>
      <c r="I1039" s="7">
        <v>0</v>
      </c>
      <c r="J1039">
        <v>0</v>
      </c>
      <c r="K1039">
        <v>654076</v>
      </c>
      <c r="L1039">
        <v>88188</v>
      </c>
      <c r="M1039">
        <v>19</v>
      </c>
      <c r="N1039">
        <v>65429</v>
      </c>
      <c r="O1039" s="43">
        <v>70307581.132800013</v>
      </c>
      <c r="P1039" s="14">
        <f t="shared" si="50"/>
        <v>0</v>
      </c>
      <c r="Q1039" s="14" t="str">
        <f t="shared" si="48"/>
        <v/>
      </c>
      <c r="R1039" s="14" t="str">
        <f t="shared" si="48"/>
        <v/>
      </c>
      <c r="S1039" s="14" t="str">
        <f t="shared" si="49"/>
        <v/>
      </c>
      <c r="T1039" s="14" t="s">
        <v>72</v>
      </c>
      <c r="U1039" s="14">
        <v>0</v>
      </c>
      <c r="V1039">
        <v>4646</v>
      </c>
      <c r="W1039">
        <v>8.6085144042968995</v>
      </c>
      <c r="X1039">
        <v>39.070831110840203</v>
      </c>
      <c r="Y1039">
        <v>0.68250456188407904</v>
      </c>
      <c r="Z1039" s="31">
        <v>1.2525440577403399</v>
      </c>
      <c r="AA1039">
        <v>14.789413953037499</v>
      </c>
      <c r="AB1039">
        <v>0.05</v>
      </c>
      <c r="AC1039">
        <v>331133.89612995298</v>
      </c>
      <c r="AD1039">
        <v>378916.51734150521</v>
      </c>
      <c r="AE1039">
        <v>1</v>
      </c>
      <c r="AF1039">
        <v>563.51613958585824</v>
      </c>
      <c r="AG1039">
        <v>10535.14127633661</v>
      </c>
    </row>
    <row r="1040" spans="2:33" hidden="1" x14ac:dyDescent="0.25">
      <c r="B1040">
        <v>18</v>
      </c>
      <c r="C1040" t="s">
        <v>48</v>
      </c>
      <c r="D1040" t="s">
        <v>28</v>
      </c>
      <c r="E1040" t="s">
        <v>67</v>
      </c>
      <c r="F1040">
        <v>204427</v>
      </c>
      <c r="G1040">
        <v>204427</v>
      </c>
      <c r="H1040">
        <v>72</v>
      </c>
      <c r="I1040" s="7">
        <v>0</v>
      </c>
      <c r="J1040">
        <v>0</v>
      </c>
      <c r="K1040">
        <v>654076</v>
      </c>
      <c r="L1040">
        <v>88188</v>
      </c>
      <c r="M1040">
        <v>19</v>
      </c>
      <c r="N1040">
        <v>65429</v>
      </c>
      <c r="O1040" s="43">
        <v>70307581.132800013</v>
      </c>
      <c r="P1040" s="14">
        <f t="shared" si="50"/>
        <v>0</v>
      </c>
      <c r="Q1040" s="14" t="str">
        <f t="shared" si="48"/>
        <v/>
      </c>
      <c r="R1040" s="14" t="str">
        <f t="shared" si="48"/>
        <v/>
      </c>
      <c r="S1040" s="14" t="str">
        <f t="shared" si="49"/>
        <v/>
      </c>
      <c r="T1040" s="14" t="s">
        <v>72</v>
      </c>
      <c r="U1040" s="14">
        <v>0</v>
      </c>
      <c r="V1040">
        <v>4646</v>
      </c>
      <c r="W1040">
        <v>12.175439453125</v>
      </c>
      <c r="X1040">
        <v>52.973372996613698</v>
      </c>
      <c r="Y1040">
        <v>0.66823771128152198</v>
      </c>
      <c r="Z1040" s="31">
        <v>1.5815664945779999</v>
      </c>
      <c r="AA1040">
        <v>10.422672315445</v>
      </c>
      <c r="AB1040">
        <v>0.05</v>
      </c>
      <c r="AC1040">
        <v>331133.89612995298</v>
      </c>
      <c r="AD1040">
        <v>378916.51734150521</v>
      </c>
      <c r="AE1040">
        <v>1</v>
      </c>
      <c r="AF1040">
        <v>563.51613958585824</v>
      </c>
      <c r="AG1040">
        <v>10535.14127633661</v>
      </c>
    </row>
    <row r="1041" spans="2:33" hidden="1" x14ac:dyDescent="0.25">
      <c r="B1041">
        <v>18</v>
      </c>
      <c r="C1041" t="s">
        <v>48</v>
      </c>
      <c r="D1041" t="s">
        <v>28</v>
      </c>
      <c r="E1041" t="s">
        <v>67</v>
      </c>
      <c r="F1041">
        <v>204427</v>
      </c>
      <c r="G1041">
        <v>204427</v>
      </c>
      <c r="H1041">
        <v>73</v>
      </c>
      <c r="I1041" s="7">
        <v>0</v>
      </c>
      <c r="J1041">
        <v>0</v>
      </c>
      <c r="K1041">
        <v>654076</v>
      </c>
      <c r="L1041">
        <v>88188</v>
      </c>
      <c r="M1041">
        <v>19</v>
      </c>
      <c r="N1041">
        <v>65429</v>
      </c>
      <c r="O1041" s="43">
        <v>70307581.132800013</v>
      </c>
      <c r="P1041" s="14">
        <f t="shared" si="50"/>
        <v>0</v>
      </c>
      <c r="Q1041" s="14" t="str">
        <f t="shared" si="48"/>
        <v/>
      </c>
      <c r="R1041" s="14" t="str">
        <f t="shared" si="48"/>
        <v/>
      </c>
      <c r="S1041" s="14" t="str">
        <f t="shared" si="49"/>
        <v/>
      </c>
      <c r="T1041" s="14" t="s">
        <v>72</v>
      </c>
      <c r="U1041" s="14">
        <v>0</v>
      </c>
      <c r="V1041">
        <v>4646</v>
      </c>
      <c r="W1041">
        <v>14.413232421875</v>
      </c>
      <c r="X1041">
        <v>52.0882937573028</v>
      </c>
      <c r="Y1041">
        <v>0.78764705486776498</v>
      </c>
      <c r="Z1041" s="31">
        <v>1.19490968169023</v>
      </c>
      <c r="AA1041">
        <v>7.9300158471596003</v>
      </c>
      <c r="AB1041">
        <v>0.05</v>
      </c>
      <c r="AC1041">
        <v>331133.89612995298</v>
      </c>
      <c r="AD1041">
        <v>378916.51734150521</v>
      </c>
      <c r="AE1041">
        <v>1</v>
      </c>
      <c r="AF1041">
        <v>563.51613958585824</v>
      </c>
      <c r="AG1041">
        <v>10535.14127633661</v>
      </c>
    </row>
    <row r="1042" spans="2:33" hidden="1" x14ac:dyDescent="0.25">
      <c r="B1042">
        <v>18</v>
      </c>
      <c r="C1042" t="s">
        <v>48</v>
      </c>
      <c r="D1042" t="s">
        <v>28</v>
      </c>
      <c r="E1042" t="s">
        <v>67</v>
      </c>
      <c r="F1042">
        <v>204427</v>
      </c>
      <c r="G1042">
        <v>204427</v>
      </c>
      <c r="H1042">
        <v>74</v>
      </c>
      <c r="I1042" s="7">
        <v>0</v>
      </c>
      <c r="J1042">
        <v>0</v>
      </c>
      <c r="K1042">
        <v>654076</v>
      </c>
      <c r="L1042">
        <v>88188</v>
      </c>
      <c r="M1042">
        <v>19</v>
      </c>
      <c r="N1042">
        <v>65429</v>
      </c>
      <c r="O1042" s="43">
        <v>70307581.132800013</v>
      </c>
      <c r="P1042" s="14">
        <f t="shared" si="50"/>
        <v>0</v>
      </c>
      <c r="Q1042" s="14" t="str">
        <f t="shared" si="48"/>
        <v/>
      </c>
      <c r="R1042" s="14" t="str">
        <f t="shared" si="48"/>
        <v/>
      </c>
      <c r="S1042" s="14" t="str">
        <f t="shared" si="49"/>
        <v/>
      </c>
      <c r="T1042" s="14" t="s">
        <v>72</v>
      </c>
      <c r="U1042" s="14">
        <v>0</v>
      </c>
      <c r="V1042">
        <v>4646</v>
      </c>
      <c r="W1042">
        <v>14.048913574218799</v>
      </c>
      <c r="X1042">
        <v>50.713914570563901</v>
      </c>
      <c r="Y1042">
        <v>0.79138600574693696</v>
      </c>
      <c r="Z1042" s="31">
        <v>2.01839061361142</v>
      </c>
      <c r="AA1042">
        <v>9.4301838268644094</v>
      </c>
      <c r="AB1042">
        <v>0.05</v>
      </c>
      <c r="AC1042">
        <v>331133.89612995298</v>
      </c>
      <c r="AD1042">
        <v>378916.51734150521</v>
      </c>
      <c r="AE1042">
        <v>1</v>
      </c>
      <c r="AF1042">
        <v>563.51613958585824</v>
      </c>
      <c r="AG1042">
        <v>10535.14127633661</v>
      </c>
    </row>
    <row r="1043" spans="2:33" hidden="1" x14ac:dyDescent="0.25">
      <c r="B1043">
        <v>18</v>
      </c>
      <c r="C1043" t="s">
        <v>48</v>
      </c>
      <c r="D1043" t="s">
        <v>28</v>
      </c>
      <c r="E1043" t="s">
        <v>67</v>
      </c>
      <c r="F1043">
        <v>204427</v>
      </c>
      <c r="G1043">
        <v>204427</v>
      </c>
      <c r="H1043">
        <v>75</v>
      </c>
      <c r="I1043" s="7">
        <v>0</v>
      </c>
      <c r="J1043">
        <v>0</v>
      </c>
      <c r="K1043">
        <v>654076</v>
      </c>
      <c r="L1043">
        <v>88188</v>
      </c>
      <c r="M1043">
        <v>19</v>
      </c>
      <c r="N1043">
        <v>65429</v>
      </c>
      <c r="O1043" s="43">
        <v>70307581.132800013</v>
      </c>
      <c r="P1043" s="14">
        <f t="shared" si="50"/>
        <v>0</v>
      </c>
      <c r="Q1043" s="14" t="str">
        <f t="shared" si="48"/>
        <v/>
      </c>
      <c r="R1043" s="14" t="str">
        <f t="shared" si="48"/>
        <v/>
      </c>
      <c r="S1043" s="14" t="str">
        <f t="shared" si="49"/>
        <v/>
      </c>
      <c r="T1043" s="14" t="s">
        <v>72</v>
      </c>
      <c r="U1043" s="14">
        <v>0</v>
      </c>
      <c r="V1043">
        <v>4646</v>
      </c>
      <c r="W1043">
        <v>8.6404968261718995</v>
      </c>
      <c r="X1043">
        <v>72.539928102070405</v>
      </c>
      <c r="Y1043">
        <v>0.30828232612245898</v>
      </c>
      <c r="Z1043" s="31">
        <v>2.74081726635564</v>
      </c>
      <c r="AA1043">
        <v>21.3762413495262</v>
      </c>
      <c r="AB1043">
        <v>0.05</v>
      </c>
      <c r="AC1043">
        <v>331133.89612995298</v>
      </c>
      <c r="AD1043">
        <v>378916.51734150521</v>
      </c>
      <c r="AE1043">
        <v>1</v>
      </c>
      <c r="AF1043">
        <v>563.51613958585824</v>
      </c>
      <c r="AG1043">
        <v>10535.14127633661</v>
      </c>
    </row>
    <row r="1044" spans="2:33" hidden="1" x14ac:dyDescent="0.25">
      <c r="B1044">
        <v>18</v>
      </c>
      <c r="C1044" t="s">
        <v>48</v>
      </c>
      <c r="D1044" t="s">
        <v>28</v>
      </c>
      <c r="E1044" t="s">
        <v>67</v>
      </c>
      <c r="F1044">
        <v>204427</v>
      </c>
      <c r="G1044">
        <v>204427</v>
      </c>
      <c r="H1044">
        <v>76</v>
      </c>
      <c r="I1044" s="7">
        <v>0</v>
      </c>
      <c r="J1044">
        <v>0</v>
      </c>
      <c r="K1044">
        <v>654076</v>
      </c>
      <c r="L1044">
        <v>88188</v>
      </c>
      <c r="M1044">
        <v>19</v>
      </c>
      <c r="N1044">
        <v>65429</v>
      </c>
      <c r="O1044" s="43">
        <v>71223662.366524801</v>
      </c>
      <c r="P1044" s="14">
        <f t="shared" si="50"/>
        <v>916081.23372478783</v>
      </c>
      <c r="Q1044" s="14" t="str">
        <f t="shared" si="48"/>
        <v/>
      </c>
      <c r="R1044" s="14" t="str">
        <f t="shared" si="48"/>
        <v/>
      </c>
      <c r="S1044" s="14" t="str">
        <f t="shared" si="49"/>
        <v/>
      </c>
      <c r="T1044" s="14" t="s">
        <v>72</v>
      </c>
      <c r="U1044" s="14">
        <v>0</v>
      </c>
      <c r="V1044">
        <v>4646</v>
      </c>
      <c r="W1044">
        <v>10.181115722656299</v>
      </c>
      <c r="X1044">
        <v>36.097258780834103</v>
      </c>
      <c r="Y1044">
        <v>0.79562515030041603</v>
      </c>
      <c r="Z1044" s="31">
        <v>2.2201574790898002</v>
      </c>
      <c r="AA1044">
        <v>0.94283376797145602</v>
      </c>
      <c r="AB1044">
        <v>0.05</v>
      </c>
      <c r="AC1044">
        <v>331133.89612995298</v>
      </c>
      <c r="AD1044">
        <v>378916.51734150521</v>
      </c>
      <c r="AE1044">
        <v>1</v>
      </c>
      <c r="AF1044">
        <v>563.51613958585824</v>
      </c>
      <c r="AG1044">
        <v>10535.14127633661</v>
      </c>
    </row>
    <row r="1045" spans="2:33" hidden="1" x14ac:dyDescent="0.25">
      <c r="B1045">
        <v>19</v>
      </c>
      <c r="C1045" t="s">
        <v>49</v>
      </c>
      <c r="D1045" t="s">
        <v>26</v>
      </c>
      <c r="E1045" t="s">
        <v>67</v>
      </c>
      <c r="F1045">
        <v>0</v>
      </c>
      <c r="G1045">
        <v>118826</v>
      </c>
      <c r="H1045">
        <v>1</v>
      </c>
      <c r="I1045" s="7">
        <v>0</v>
      </c>
      <c r="J1045">
        <v>0</v>
      </c>
      <c r="K1045">
        <v>199785</v>
      </c>
      <c r="L1045">
        <v>60171</v>
      </c>
      <c r="M1045">
        <v>191600</v>
      </c>
      <c r="N1045">
        <v>14707</v>
      </c>
      <c r="O1045" s="43">
        <v>0</v>
      </c>
      <c r="P1045" s="14">
        <v>0</v>
      </c>
      <c r="Q1045" s="14" t="str">
        <f t="shared" si="48"/>
        <v/>
      </c>
      <c r="R1045" s="14" t="str">
        <f t="shared" si="48"/>
        <v/>
      </c>
      <c r="S1045" s="14" t="str">
        <f t="shared" si="49"/>
        <v/>
      </c>
      <c r="T1045" s="14" t="s">
        <v>72</v>
      </c>
      <c r="U1045" s="14">
        <v>0</v>
      </c>
      <c r="V1045">
        <v>3143</v>
      </c>
      <c r="W1045">
        <v>32.157678222656301</v>
      </c>
      <c r="X1045">
        <v>18.8147463924102</v>
      </c>
      <c r="Y1045">
        <v>3.89487461436133</v>
      </c>
      <c r="Z1045" s="31">
        <v>2.3613080960288801</v>
      </c>
      <c r="AA1045">
        <v>5.0765982425552503</v>
      </c>
      <c r="AB1045">
        <v>0.08</v>
      </c>
      <c r="AC1045">
        <v>349892.784739041</v>
      </c>
      <c r="AD1045">
        <v>395658.76098290761</v>
      </c>
      <c r="AE1045">
        <v>1</v>
      </c>
      <c r="AF1045">
        <v>982.64157260746435</v>
      </c>
      <c r="AG1045">
        <v>21548.237175527171</v>
      </c>
    </row>
    <row r="1046" spans="2:33" hidden="1" x14ac:dyDescent="0.25">
      <c r="B1046">
        <v>19</v>
      </c>
      <c r="C1046" t="s">
        <v>49</v>
      </c>
      <c r="D1046" t="s">
        <v>26</v>
      </c>
      <c r="E1046" t="s">
        <v>67</v>
      </c>
      <c r="F1046">
        <v>175</v>
      </c>
      <c r="G1046">
        <v>118826</v>
      </c>
      <c r="H1046">
        <v>2</v>
      </c>
      <c r="I1046" s="7">
        <v>0</v>
      </c>
      <c r="J1046">
        <v>6.6273374513995259E-2</v>
      </c>
      <c r="K1046">
        <v>199785</v>
      </c>
      <c r="L1046">
        <v>60171</v>
      </c>
      <c r="M1046">
        <v>191600</v>
      </c>
      <c r="N1046">
        <v>14707</v>
      </c>
      <c r="O1046" s="43">
        <v>1696140</v>
      </c>
      <c r="P1046" s="14">
        <f t="shared" si="50"/>
        <v>1696140</v>
      </c>
      <c r="Q1046" s="14" t="str">
        <f t="shared" si="48"/>
        <v/>
      </c>
      <c r="R1046" s="14" t="str">
        <f t="shared" si="48"/>
        <v/>
      </c>
      <c r="S1046" s="14" t="str">
        <f t="shared" si="49"/>
        <v/>
      </c>
      <c r="T1046" s="14" t="s">
        <v>72</v>
      </c>
      <c r="U1046" s="14">
        <v>0</v>
      </c>
      <c r="V1046">
        <v>3143</v>
      </c>
      <c r="W1046">
        <v>31.415734863281301</v>
      </c>
      <c r="X1046">
        <v>23.922663897765101</v>
      </c>
      <c r="Y1046">
        <v>3.49943417526812</v>
      </c>
      <c r="Z1046" s="31">
        <v>2.65056310604957</v>
      </c>
      <c r="AA1046">
        <v>2.3444338163560898</v>
      </c>
      <c r="AB1046">
        <v>0.08</v>
      </c>
      <c r="AC1046">
        <v>349892.784739041</v>
      </c>
      <c r="AD1046">
        <v>395658.76098290761</v>
      </c>
      <c r="AE1046">
        <v>1</v>
      </c>
      <c r="AF1046">
        <v>982.64157260746435</v>
      </c>
      <c r="AG1046">
        <v>21548.237175527171</v>
      </c>
    </row>
    <row r="1047" spans="2:33" hidden="1" x14ac:dyDescent="0.25">
      <c r="B1047">
        <v>19</v>
      </c>
      <c r="C1047" t="s">
        <v>49</v>
      </c>
      <c r="D1047" t="s">
        <v>26</v>
      </c>
      <c r="E1047" t="s">
        <v>67</v>
      </c>
      <c r="F1047">
        <v>2250</v>
      </c>
      <c r="G1047">
        <v>118826</v>
      </c>
      <c r="H1047">
        <v>3</v>
      </c>
      <c r="I1047" s="7">
        <v>0</v>
      </c>
      <c r="J1047">
        <v>0.78581286923737226</v>
      </c>
      <c r="K1047">
        <v>199785</v>
      </c>
      <c r="L1047">
        <v>60171</v>
      </c>
      <c r="M1047">
        <v>191600</v>
      </c>
      <c r="N1047">
        <v>14707</v>
      </c>
      <c r="O1047" s="43">
        <v>2713824</v>
      </c>
      <c r="P1047" s="14">
        <f t="shared" si="50"/>
        <v>1017684</v>
      </c>
      <c r="Q1047" s="14" t="str">
        <f t="shared" si="48"/>
        <v/>
      </c>
      <c r="R1047" s="14" t="str">
        <f t="shared" si="48"/>
        <v/>
      </c>
      <c r="S1047" s="14" t="str">
        <f t="shared" si="49"/>
        <v/>
      </c>
      <c r="T1047" s="14" t="s">
        <v>72</v>
      </c>
      <c r="U1047" s="14">
        <v>0</v>
      </c>
      <c r="V1047">
        <v>3143</v>
      </c>
      <c r="W1047">
        <v>30.090173339843702</v>
      </c>
      <c r="X1047">
        <v>29.109356459904301</v>
      </c>
      <c r="Y1047">
        <v>3.0233093294513398</v>
      </c>
      <c r="Z1047" s="31">
        <v>1.9521667535427401</v>
      </c>
      <c r="AA1047">
        <v>4.6536297530653101</v>
      </c>
      <c r="AB1047">
        <v>0.08</v>
      </c>
      <c r="AC1047">
        <v>349892.784739041</v>
      </c>
      <c r="AD1047">
        <v>395658.76098290761</v>
      </c>
      <c r="AE1047">
        <v>1</v>
      </c>
      <c r="AF1047">
        <v>982.64157260746435</v>
      </c>
      <c r="AG1047">
        <v>21548.237175527171</v>
      </c>
    </row>
    <row r="1048" spans="2:33" hidden="1" x14ac:dyDescent="0.25">
      <c r="B1048">
        <v>19</v>
      </c>
      <c r="C1048" t="s">
        <v>49</v>
      </c>
      <c r="D1048" t="s">
        <v>26</v>
      </c>
      <c r="E1048" t="s">
        <v>67</v>
      </c>
      <c r="F1048">
        <v>7485</v>
      </c>
      <c r="G1048">
        <v>118826</v>
      </c>
      <c r="H1048">
        <v>4</v>
      </c>
      <c r="I1048" s="8">
        <v>0</v>
      </c>
      <c r="J1048">
        <v>1.9825206604615151</v>
      </c>
      <c r="K1048">
        <v>199785</v>
      </c>
      <c r="L1048">
        <v>60171</v>
      </c>
      <c r="M1048">
        <v>191600</v>
      </c>
      <c r="N1048">
        <v>14707</v>
      </c>
      <c r="O1048" s="43">
        <v>1978830</v>
      </c>
      <c r="P1048" s="14">
        <f t="shared" si="50"/>
        <v>-734994</v>
      </c>
      <c r="Q1048" s="14">
        <f t="shared" si="48"/>
        <v>-734994</v>
      </c>
      <c r="R1048" s="14">
        <f t="shared" si="48"/>
        <v>-734994</v>
      </c>
      <c r="S1048" s="14">
        <f t="shared" si="49"/>
        <v>540216180036</v>
      </c>
      <c r="T1048" s="14">
        <v>540216180036</v>
      </c>
      <c r="U1048" s="14">
        <v>0</v>
      </c>
      <c r="V1048">
        <v>3143</v>
      </c>
      <c r="W1048">
        <v>31.234460449218801</v>
      </c>
      <c r="X1048">
        <v>21.747724936475201</v>
      </c>
      <c r="Y1048">
        <v>3.5628524228836902</v>
      </c>
      <c r="Z1048" s="31">
        <v>1.2024979161821701</v>
      </c>
      <c r="AA1048">
        <v>2.8008130353889</v>
      </c>
      <c r="AB1048">
        <v>0.08</v>
      </c>
      <c r="AC1048">
        <v>349892.784739041</v>
      </c>
      <c r="AD1048">
        <v>395658.76098290761</v>
      </c>
      <c r="AE1048">
        <v>1</v>
      </c>
      <c r="AF1048">
        <v>982.64157260746435</v>
      </c>
      <c r="AG1048">
        <v>21548.237175527171</v>
      </c>
    </row>
    <row r="1049" spans="2:33" hidden="1" x14ac:dyDescent="0.25">
      <c r="B1049">
        <v>19</v>
      </c>
      <c r="C1049" t="s">
        <v>49</v>
      </c>
      <c r="D1049" t="s">
        <v>26</v>
      </c>
      <c r="E1049" t="s">
        <v>67</v>
      </c>
      <c r="F1049">
        <v>15727</v>
      </c>
      <c r="G1049">
        <v>118826</v>
      </c>
      <c r="H1049">
        <v>5</v>
      </c>
      <c r="I1049" s="8">
        <v>175</v>
      </c>
      <c r="J1049">
        <v>3.1212865871105651</v>
      </c>
      <c r="K1049">
        <v>199785</v>
      </c>
      <c r="L1049">
        <v>60171</v>
      </c>
      <c r="M1049">
        <v>191600</v>
      </c>
      <c r="N1049">
        <v>14707</v>
      </c>
      <c r="O1049" s="43">
        <v>3392280</v>
      </c>
      <c r="P1049" s="14">
        <f t="shared" si="50"/>
        <v>1413450</v>
      </c>
      <c r="Q1049" s="14" t="str">
        <f t="shared" si="48"/>
        <v/>
      </c>
      <c r="R1049" s="14" t="str">
        <f t="shared" si="48"/>
        <v/>
      </c>
      <c r="S1049" s="14" t="str">
        <f t="shared" si="49"/>
        <v/>
      </c>
      <c r="T1049" s="14" t="s">
        <v>72</v>
      </c>
      <c r="U1049" s="14">
        <v>8076.8571428571431</v>
      </c>
      <c r="V1049">
        <v>3143</v>
      </c>
      <c r="W1049">
        <v>31.296777343750001</v>
      </c>
      <c r="X1049">
        <v>21.944060180363799</v>
      </c>
      <c r="Y1049">
        <v>3.5664867100486202</v>
      </c>
      <c r="Z1049" s="31">
        <v>0.84752881626551202</v>
      </c>
      <c r="AA1049">
        <v>2.0952243709703202</v>
      </c>
      <c r="AB1049">
        <v>0.08</v>
      </c>
      <c r="AC1049">
        <v>349892.784739041</v>
      </c>
      <c r="AD1049">
        <v>395658.76098290761</v>
      </c>
      <c r="AE1049">
        <v>1</v>
      </c>
      <c r="AF1049">
        <v>982.64157260746435</v>
      </c>
      <c r="AG1049">
        <v>21548.237175527171</v>
      </c>
    </row>
    <row r="1050" spans="2:33" hidden="1" x14ac:dyDescent="0.25">
      <c r="B1050">
        <v>19</v>
      </c>
      <c r="C1050" t="s">
        <v>49</v>
      </c>
      <c r="D1050" t="s">
        <v>26</v>
      </c>
      <c r="E1050" t="s">
        <v>67</v>
      </c>
      <c r="F1050">
        <v>19981</v>
      </c>
      <c r="G1050">
        <v>118826</v>
      </c>
      <c r="H1050">
        <v>6</v>
      </c>
      <c r="I1050" s="8">
        <v>2075</v>
      </c>
      <c r="J1050">
        <v>1.6110110581859189</v>
      </c>
      <c r="K1050">
        <v>199785</v>
      </c>
      <c r="L1050">
        <v>60171</v>
      </c>
      <c r="M1050">
        <v>191600</v>
      </c>
      <c r="N1050">
        <v>14707</v>
      </c>
      <c r="O1050" s="43">
        <v>5201496</v>
      </c>
      <c r="P1050" s="14">
        <f t="shared" si="50"/>
        <v>1809216</v>
      </c>
      <c r="Q1050" s="14" t="str">
        <f t="shared" si="48"/>
        <v/>
      </c>
      <c r="R1050" s="14" t="str">
        <f t="shared" si="48"/>
        <v/>
      </c>
      <c r="S1050" s="14" t="str">
        <f t="shared" si="49"/>
        <v/>
      </c>
      <c r="T1050" s="14" t="s">
        <v>72</v>
      </c>
      <c r="U1050" s="14">
        <v>871.91132530120478</v>
      </c>
      <c r="V1050">
        <v>3143</v>
      </c>
      <c r="W1050">
        <v>31.286340332031301</v>
      </c>
      <c r="X1050">
        <v>18.7845613925046</v>
      </c>
      <c r="Y1050">
        <v>3.7089396743269401</v>
      </c>
      <c r="Z1050" s="31">
        <v>1.4568720326604101</v>
      </c>
      <c r="AA1050">
        <v>2.3589724216396801</v>
      </c>
      <c r="AB1050">
        <v>0.08</v>
      </c>
      <c r="AC1050">
        <v>349892.784739041</v>
      </c>
      <c r="AD1050">
        <v>395658.76098290761</v>
      </c>
      <c r="AE1050">
        <v>1</v>
      </c>
      <c r="AF1050">
        <v>982.64157260746435</v>
      </c>
      <c r="AG1050">
        <v>21548.237175527171</v>
      </c>
    </row>
    <row r="1051" spans="2:33" hidden="1" x14ac:dyDescent="0.25">
      <c r="B1051">
        <v>19</v>
      </c>
      <c r="C1051" t="s">
        <v>49</v>
      </c>
      <c r="D1051" t="s">
        <v>26</v>
      </c>
      <c r="E1051" t="s">
        <v>67</v>
      </c>
      <c r="F1051">
        <v>23409</v>
      </c>
      <c r="G1051">
        <v>118826</v>
      </c>
      <c r="H1051">
        <v>7</v>
      </c>
      <c r="I1051" s="8">
        <v>5235</v>
      </c>
      <c r="J1051">
        <v>1.2982007304798611</v>
      </c>
      <c r="K1051">
        <v>199785</v>
      </c>
      <c r="L1051">
        <v>60171</v>
      </c>
      <c r="M1051">
        <v>191600</v>
      </c>
      <c r="N1051">
        <v>14707</v>
      </c>
      <c r="O1051" s="43">
        <v>6445332</v>
      </c>
      <c r="P1051" s="14">
        <f t="shared" si="50"/>
        <v>1243836</v>
      </c>
      <c r="Q1051" s="14" t="str">
        <f t="shared" si="48"/>
        <v/>
      </c>
      <c r="R1051" s="14" t="str">
        <f t="shared" si="48"/>
        <v/>
      </c>
      <c r="S1051" s="14" t="str">
        <f t="shared" si="49"/>
        <v/>
      </c>
      <c r="T1051" s="14" t="s">
        <v>72</v>
      </c>
      <c r="U1051" s="14">
        <v>237.6</v>
      </c>
      <c r="V1051">
        <v>3143</v>
      </c>
      <c r="W1051">
        <v>32.856896972656301</v>
      </c>
      <c r="X1051">
        <v>15.075085854413199</v>
      </c>
      <c r="Y1051">
        <v>4.2380988526031897</v>
      </c>
      <c r="Z1051" s="31">
        <v>0.50012953880456101</v>
      </c>
      <c r="AA1051">
        <v>1.44434684321469</v>
      </c>
      <c r="AB1051">
        <v>0.08</v>
      </c>
      <c r="AC1051">
        <v>349892.784739041</v>
      </c>
      <c r="AD1051">
        <v>395658.76098290761</v>
      </c>
      <c r="AE1051">
        <v>1</v>
      </c>
      <c r="AF1051">
        <v>982.64157260746435</v>
      </c>
      <c r="AG1051">
        <v>21548.237175527171</v>
      </c>
    </row>
    <row r="1052" spans="2:33" hidden="1" x14ac:dyDescent="0.25">
      <c r="B1052">
        <v>19</v>
      </c>
      <c r="C1052" t="s">
        <v>49</v>
      </c>
      <c r="D1052" t="s">
        <v>26</v>
      </c>
      <c r="E1052" t="s">
        <v>67</v>
      </c>
      <c r="F1052">
        <v>26598</v>
      </c>
      <c r="G1052">
        <v>118826</v>
      </c>
      <c r="H1052">
        <v>8</v>
      </c>
      <c r="I1052" s="8">
        <v>8242</v>
      </c>
      <c r="J1052">
        <v>1.207690236143605</v>
      </c>
      <c r="K1052">
        <v>199785</v>
      </c>
      <c r="L1052">
        <v>60171</v>
      </c>
      <c r="M1052">
        <v>191600</v>
      </c>
      <c r="N1052">
        <v>14707</v>
      </c>
      <c r="O1052" s="43">
        <v>7576092</v>
      </c>
      <c r="P1052" s="14">
        <f t="shared" si="50"/>
        <v>1130760</v>
      </c>
      <c r="Q1052" s="14" t="str">
        <f t="shared" si="48"/>
        <v/>
      </c>
      <c r="R1052" s="14" t="str">
        <f t="shared" si="48"/>
        <v/>
      </c>
      <c r="S1052" s="14" t="str">
        <f t="shared" si="49"/>
        <v/>
      </c>
      <c r="T1052" s="14" t="s">
        <v>72</v>
      </c>
      <c r="U1052" s="14">
        <v>137.19485561756855</v>
      </c>
      <c r="V1052">
        <v>3143</v>
      </c>
      <c r="W1052">
        <v>32.011865234375001</v>
      </c>
      <c r="X1052">
        <v>16.986874729445901</v>
      </c>
      <c r="Y1052">
        <v>3.9501212233368399</v>
      </c>
      <c r="Z1052" s="31">
        <v>1.0549894117106799</v>
      </c>
      <c r="AA1052">
        <v>1.77788635318642</v>
      </c>
      <c r="AB1052">
        <v>0.08</v>
      </c>
      <c r="AC1052">
        <v>349892.784739041</v>
      </c>
      <c r="AD1052">
        <v>395658.76098290761</v>
      </c>
      <c r="AE1052">
        <v>1</v>
      </c>
      <c r="AF1052">
        <v>982.64157260746435</v>
      </c>
      <c r="AG1052">
        <v>21548.237175527171</v>
      </c>
    </row>
    <row r="1053" spans="2:33" hidden="1" x14ac:dyDescent="0.25">
      <c r="B1053">
        <v>19</v>
      </c>
      <c r="C1053" t="s">
        <v>49</v>
      </c>
      <c r="D1053" t="s">
        <v>26</v>
      </c>
      <c r="E1053" t="s">
        <v>67</v>
      </c>
      <c r="F1053">
        <v>28944</v>
      </c>
      <c r="G1053">
        <v>118826</v>
      </c>
      <c r="H1053">
        <v>9</v>
      </c>
      <c r="I1053" s="8">
        <v>4254</v>
      </c>
      <c r="J1053">
        <v>0.88844192348475926</v>
      </c>
      <c r="K1053">
        <v>199785</v>
      </c>
      <c r="L1053">
        <v>60171</v>
      </c>
      <c r="M1053">
        <v>191600</v>
      </c>
      <c r="N1053">
        <v>14707</v>
      </c>
      <c r="O1053" s="43">
        <v>9046080</v>
      </c>
      <c r="P1053" s="14">
        <f t="shared" si="50"/>
        <v>1469988</v>
      </c>
      <c r="Q1053" s="14" t="str">
        <f t="shared" si="48"/>
        <v/>
      </c>
      <c r="R1053" s="14" t="str">
        <f t="shared" si="48"/>
        <v/>
      </c>
      <c r="S1053" s="14" t="str">
        <f t="shared" si="49"/>
        <v/>
      </c>
      <c r="T1053" s="14" t="s">
        <v>72</v>
      </c>
      <c r="U1053" s="14">
        <v>345.55430183356839</v>
      </c>
      <c r="V1053">
        <v>3143</v>
      </c>
      <c r="W1053">
        <v>27.284020996093702</v>
      </c>
      <c r="X1053">
        <v>23.0489220748733</v>
      </c>
      <c r="Y1053">
        <v>2.79036800546685</v>
      </c>
      <c r="Z1053" s="31">
        <v>2.45719577235834</v>
      </c>
      <c r="AA1053">
        <v>0.43379060308276501</v>
      </c>
      <c r="AB1053">
        <v>0.08</v>
      </c>
      <c r="AC1053">
        <v>349892.784739041</v>
      </c>
      <c r="AD1053">
        <v>395658.76098290761</v>
      </c>
      <c r="AE1053">
        <v>1</v>
      </c>
      <c r="AF1053">
        <v>982.64157260746435</v>
      </c>
      <c r="AG1053">
        <v>21548.237175527171</v>
      </c>
    </row>
    <row r="1054" spans="2:33" hidden="1" x14ac:dyDescent="0.25">
      <c r="B1054">
        <v>19</v>
      </c>
      <c r="C1054" t="s">
        <v>49</v>
      </c>
      <c r="D1054" t="s">
        <v>26</v>
      </c>
      <c r="E1054" t="s">
        <v>67</v>
      </c>
      <c r="F1054">
        <v>31185</v>
      </c>
      <c r="G1054">
        <v>118826</v>
      </c>
      <c r="H1054">
        <v>10</v>
      </c>
      <c r="I1054" s="8">
        <v>3428</v>
      </c>
      <c r="J1054">
        <v>0.84867789877636213</v>
      </c>
      <c r="K1054">
        <v>199785</v>
      </c>
      <c r="L1054">
        <v>60171</v>
      </c>
      <c r="M1054">
        <v>191600</v>
      </c>
      <c r="N1054">
        <v>14707</v>
      </c>
      <c r="O1054" s="43">
        <v>10855296</v>
      </c>
      <c r="P1054" s="14">
        <f t="shared" si="50"/>
        <v>1809216</v>
      </c>
      <c r="Q1054" s="14" t="str">
        <f t="shared" si="48"/>
        <v/>
      </c>
      <c r="R1054" s="14" t="str">
        <f t="shared" si="48"/>
        <v/>
      </c>
      <c r="S1054" s="14" t="str">
        <f t="shared" si="49"/>
        <v/>
      </c>
      <c r="T1054" s="14" t="s">
        <v>72</v>
      </c>
      <c r="U1054" s="14">
        <v>527.77596266044338</v>
      </c>
      <c r="V1054">
        <v>3143</v>
      </c>
      <c r="W1054">
        <v>31.738732910156301</v>
      </c>
      <c r="X1054">
        <v>14.9102683316602</v>
      </c>
      <c r="Y1054">
        <v>3.98711694766103</v>
      </c>
      <c r="Z1054" s="31">
        <v>0.871947157270474</v>
      </c>
      <c r="AA1054">
        <v>3.0241940339484499</v>
      </c>
      <c r="AB1054">
        <v>0.08</v>
      </c>
      <c r="AC1054">
        <v>349892.784739041</v>
      </c>
      <c r="AD1054">
        <v>395658.76098290761</v>
      </c>
      <c r="AE1054">
        <v>1</v>
      </c>
      <c r="AF1054">
        <v>982.64157260746435</v>
      </c>
      <c r="AG1054">
        <v>21548.237175527171</v>
      </c>
    </row>
    <row r="1055" spans="2:33" hidden="1" x14ac:dyDescent="0.25">
      <c r="B1055">
        <v>19</v>
      </c>
      <c r="C1055" t="s">
        <v>49</v>
      </c>
      <c r="D1055" t="s">
        <v>26</v>
      </c>
      <c r="E1055" t="s">
        <v>67</v>
      </c>
      <c r="F1055">
        <v>32687</v>
      </c>
      <c r="G1055">
        <v>118826</v>
      </c>
      <c r="H1055">
        <v>11</v>
      </c>
      <c r="I1055" s="8">
        <v>3189</v>
      </c>
      <c r="J1055">
        <v>0.56881490582869065</v>
      </c>
      <c r="K1055">
        <v>199785</v>
      </c>
      <c r="L1055">
        <v>60171</v>
      </c>
      <c r="M1055">
        <v>191600</v>
      </c>
      <c r="N1055">
        <v>14707</v>
      </c>
      <c r="O1055" s="43">
        <v>13003740</v>
      </c>
      <c r="P1055" s="14">
        <f t="shared" si="50"/>
        <v>2148444</v>
      </c>
      <c r="Q1055" s="14" t="str">
        <f t="shared" si="48"/>
        <v/>
      </c>
      <c r="R1055" s="14" t="str">
        <f t="shared" si="48"/>
        <v/>
      </c>
      <c r="S1055" s="14" t="str">
        <f t="shared" si="49"/>
        <v/>
      </c>
      <c r="T1055" s="14" t="s">
        <v>72</v>
      </c>
      <c r="U1055" s="14">
        <v>673.7046095954845</v>
      </c>
      <c r="V1055">
        <v>3143</v>
      </c>
      <c r="W1055">
        <v>31.615380859375001</v>
      </c>
      <c r="X1055">
        <v>22.129605697864601</v>
      </c>
      <c r="Y1055">
        <v>3.6228175113660401</v>
      </c>
      <c r="Z1055" s="31">
        <v>1.4640947522746499</v>
      </c>
      <c r="AA1055">
        <v>3.41765541956552</v>
      </c>
      <c r="AB1055">
        <v>0.08</v>
      </c>
      <c r="AC1055">
        <v>349892.784739041</v>
      </c>
      <c r="AD1055">
        <v>395658.76098290761</v>
      </c>
      <c r="AE1055">
        <v>1</v>
      </c>
      <c r="AF1055">
        <v>982.64157260746435</v>
      </c>
      <c r="AG1055">
        <v>21548.237175527171</v>
      </c>
    </row>
    <row r="1056" spans="2:33" hidden="1" x14ac:dyDescent="0.25">
      <c r="B1056">
        <v>19</v>
      </c>
      <c r="C1056" t="s">
        <v>49</v>
      </c>
      <c r="D1056" t="s">
        <v>26</v>
      </c>
      <c r="E1056" t="s">
        <v>67</v>
      </c>
      <c r="F1056">
        <v>33528</v>
      </c>
      <c r="G1056">
        <v>118826</v>
      </c>
      <c r="H1056">
        <v>12</v>
      </c>
      <c r="I1056" s="8">
        <v>2346</v>
      </c>
      <c r="J1056">
        <v>0.31849090266440011</v>
      </c>
      <c r="K1056">
        <v>199785</v>
      </c>
      <c r="L1056">
        <v>60171</v>
      </c>
      <c r="M1056">
        <v>191600</v>
      </c>
      <c r="N1056">
        <v>14707</v>
      </c>
      <c r="O1056" s="43">
        <v>13908348</v>
      </c>
      <c r="P1056" s="14">
        <f t="shared" si="50"/>
        <v>904608</v>
      </c>
      <c r="Q1056" s="14" t="str">
        <f t="shared" si="48"/>
        <v/>
      </c>
      <c r="R1056" s="14" t="str">
        <f t="shared" si="48"/>
        <v/>
      </c>
      <c r="S1056" s="14" t="str">
        <f t="shared" si="49"/>
        <v/>
      </c>
      <c r="T1056" s="14" t="s">
        <v>72</v>
      </c>
      <c r="U1056" s="14">
        <v>385.59590792838873</v>
      </c>
      <c r="V1056">
        <v>3143</v>
      </c>
      <c r="W1056">
        <v>31.475427246093702</v>
      </c>
      <c r="X1056">
        <v>23.004716495281901</v>
      </c>
      <c r="Y1056">
        <v>3.5537443668031101</v>
      </c>
      <c r="Z1056" s="31">
        <v>1.3126586342955799</v>
      </c>
      <c r="AA1056">
        <v>3.55929945430649</v>
      </c>
      <c r="AB1056">
        <v>0.08</v>
      </c>
      <c r="AC1056">
        <v>349892.784739041</v>
      </c>
      <c r="AD1056">
        <v>395658.76098290761</v>
      </c>
      <c r="AE1056">
        <v>1</v>
      </c>
      <c r="AF1056">
        <v>982.64157260746435</v>
      </c>
      <c r="AG1056">
        <v>21548.237175527171</v>
      </c>
    </row>
    <row r="1057" spans="2:33" hidden="1" x14ac:dyDescent="0.25">
      <c r="B1057">
        <v>19</v>
      </c>
      <c r="C1057" t="s">
        <v>49</v>
      </c>
      <c r="D1057" t="s">
        <v>26</v>
      </c>
      <c r="E1057" t="s">
        <v>67</v>
      </c>
      <c r="F1057">
        <v>35709</v>
      </c>
      <c r="G1057">
        <v>118826</v>
      </c>
      <c r="H1057">
        <v>13</v>
      </c>
      <c r="I1057" s="8">
        <v>2241</v>
      </c>
      <c r="J1057">
        <v>0.82595559894299231</v>
      </c>
      <c r="K1057">
        <v>199785</v>
      </c>
      <c r="L1057">
        <v>60171</v>
      </c>
      <c r="M1057">
        <v>191600</v>
      </c>
      <c r="N1057">
        <v>14707</v>
      </c>
      <c r="O1057" s="43">
        <v>16735248</v>
      </c>
      <c r="P1057" s="14">
        <f t="shared" si="50"/>
        <v>2826900</v>
      </c>
      <c r="Q1057" s="14" t="str">
        <f t="shared" si="48"/>
        <v/>
      </c>
      <c r="R1057" s="14" t="str">
        <f t="shared" si="48"/>
        <v/>
      </c>
      <c r="S1057" s="14" t="str">
        <f t="shared" si="49"/>
        <v/>
      </c>
      <c r="T1057" s="14" t="s">
        <v>72</v>
      </c>
      <c r="U1057" s="14">
        <v>1261.4457831325301</v>
      </c>
      <c r="V1057">
        <v>3143</v>
      </c>
      <c r="W1057">
        <v>32.314538574218801</v>
      </c>
      <c r="X1057">
        <v>19.298444133043201</v>
      </c>
      <c r="Y1057">
        <v>3.9059936010244698</v>
      </c>
      <c r="Z1057" s="31">
        <v>1.30879557622454</v>
      </c>
      <c r="AA1057">
        <v>2.0575589437438402</v>
      </c>
      <c r="AB1057">
        <v>0.08</v>
      </c>
      <c r="AC1057">
        <v>349892.784739041</v>
      </c>
      <c r="AD1057">
        <v>395658.76098290761</v>
      </c>
      <c r="AE1057">
        <v>1</v>
      </c>
      <c r="AF1057">
        <v>982.64157260746435</v>
      </c>
      <c r="AG1057">
        <v>21548.237175527171</v>
      </c>
    </row>
    <row r="1058" spans="2:33" hidden="1" x14ac:dyDescent="0.25">
      <c r="B1058">
        <v>19</v>
      </c>
      <c r="C1058" t="s">
        <v>49</v>
      </c>
      <c r="D1058" t="s">
        <v>26</v>
      </c>
      <c r="E1058" t="s">
        <v>67</v>
      </c>
      <c r="F1058">
        <v>37779</v>
      </c>
      <c r="G1058">
        <v>118826</v>
      </c>
      <c r="H1058">
        <v>14</v>
      </c>
      <c r="I1058" s="8">
        <v>1502</v>
      </c>
      <c r="J1058">
        <v>0.7839193442512582</v>
      </c>
      <c r="K1058">
        <v>199785</v>
      </c>
      <c r="L1058">
        <v>60171</v>
      </c>
      <c r="M1058">
        <v>191600</v>
      </c>
      <c r="N1058">
        <v>14707</v>
      </c>
      <c r="O1058" s="43">
        <v>18657540</v>
      </c>
      <c r="P1058" s="14">
        <f t="shared" si="50"/>
        <v>1922292</v>
      </c>
      <c r="Q1058" s="14" t="str">
        <f t="shared" si="48"/>
        <v/>
      </c>
      <c r="R1058" s="14" t="str">
        <f t="shared" si="48"/>
        <v/>
      </c>
      <c r="S1058" s="14" t="str">
        <f t="shared" si="49"/>
        <v/>
      </c>
      <c r="T1058" s="14" t="s">
        <v>72</v>
      </c>
      <c r="U1058" s="14">
        <v>1279.821571238349</v>
      </c>
      <c r="V1058">
        <v>3143</v>
      </c>
      <c r="W1058">
        <v>34.193322753906301</v>
      </c>
      <c r="X1058">
        <v>16.226662266204901</v>
      </c>
      <c r="Y1058">
        <v>4.5043025081076999</v>
      </c>
      <c r="Z1058" s="31">
        <v>0.83692222405396799</v>
      </c>
      <c r="AA1058">
        <v>1.2581357996728999</v>
      </c>
      <c r="AB1058">
        <v>0.08</v>
      </c>
      <c r="AC1058">
        <v>349892.784739041</v>
      </c>
      <c r="AD1058">
        <v>395658.76098290761</v>
      </c>
      <c r="AE1058">
        <v>1</v>
      </c>
      <c r="AF1058">
        <v>982.64157260746435</v>
      </c>
      <c r="AG1058">
        <v>21548.237175527171</v>
      </c>
    </row>
    <row r="1059" spans="2:33" hidden="1" x14ac:dyDescent="0.25">
      <c r="B1059">
        <v>19</v>
      </c>
      <c r="C1059" t="s">
        <v>49</v>
      </c>
      <c r="D1059" t="s">
        <v>26</v>
      </c>
      <c r="E1059" t="s">
        <v>67</v>
      </c>
      <c r="F1059">
        <v>40684</v>
      </c>
      <c r="G1059">
        <v>118826</v>
      </c>
      <c r="H1059">
        <v>15</v>
      </c>
      <c r="I1059" s="8">
        <v>841</v>
      </c>
      <c r="J1059">
        <v>1.1001380169323209</v>
      </c>
      <c r="K1059">
        <v>199785</v>
      </c>
      <c r="L1059">
        <v>60171</v>
      </c>
      <c r="M1059">
        <v>191600</v>
      </c>
      <c r="N1059">
        <v>14707</v>
      </c>
      <c r="O1059" s="43">
        <v>20127528</v>
      </c>
      <c r="P1059" s="14">
        <f t="shared" si="50"/>
        <v>1469988</v>
      </c>
      <c r="Q1059" s="14" t="str">
        <f t="shared" si="48"/>
        <v/>
      </c>
      <c r="R1059" s="14" t="str">
        <f t="shared" si="48"/>
        <v/>
      </c>
      <c r="S1059" s="14" t="str">
        <f t="shared" si="49"/>
        <v/>
      </c>
      <c r="T1059" s="14" t="s">
        <v>72</v>
      </c>
      <c r="U1059" s="14">
        <v>1747.9048751486325</v>
      </c>
      <c r="V1059">
        <v>3143</v>
      </c>
      <c r="W1059">
        <v>33.517602539062501</v>
      </c>
      <c r="X1059">
        <v>15.994979619797601</v>
      </c>
      <c r="Y1059">
        <v>4.3499919678881698</v>
      </c>
      <c r="Z1059" s="31">
        <v>1.70786717028292</v>
      </c>
      <c r="AA1059">
        <v>1.81155951385614</v>
      </c>
      <c r="AB1059">
        <v>0.08</v>
      </c>
      <c r="AC1059">
        <v>349892.784739041</v>
      </c>
      <c r="AD1059">
        <v>395658.76098290761</v>
      </c>
      <c r="AE1059">
        <v>1</v>
      </c>
      <c r="AF1059">
        <v>982.64157260746435</v>
      </c>
      <c r="AG1059">
        <v>21548.237175527171</v>
      </c>
    </row>
    <row r="1060" spans="2:33" hidden="1" x14ac:dyDescent="0.25">
      <c r="B1060">
        <v>19</v>
      </c>
      <c r="C1060" t="s">
        <v>49</v>
      </c>
      <c r="D1060" t="s">
        <v>26</v>
      </c>
      <c r="E1060" t="s">
        <v>67</v>
      </c>
      <c r="F1060">
        <v>42710</v>
      </c>
      <c r="G1060">
        <v>118826</v>
      </c>
      <c r="H1060">
        <v>16</v>
      </c>
      <c r="I1060" s="8">
        <v>2181</v>
      </c>
      <c r="J1060">
        <v>0.76725632437345359</v>
      </c>
      <c r="K1060">
        <v>199785</v>
      </c>
      <c r="L1060">
        <v>60171</v>
      </c>
      <c r="M1060">
        <v>191600</v>
      </c>
      <c r="N1060">
        <v>14707</v>
      </c>
      <c r="O1060" s="43">
        <v>21032136</v>
      </c>
      <c r="P1060" s="14">
        <f t="shared" si="50"/>
        <v>904608</v>
      </c>
      <c r="Q1060" s="14" t="str">
        <f t="shared" si="48"/>
        <v/>
      </c>
      <c r="R1060" s="14" t="str">
        <f t="shared" si="48"/>
        <v/>
      </c>
      <c r="S1060" s="14" t="str">
        <f t="shared" si="49"/>
        <v/>
      </c>
      <c r="T1060" s="14" t="s">
        <v>72</v>
      </c>
      <c r="U1060" s="14">
        <v>414.76753782668499</v>
      </c>
      <c r="V1060">
        <v>3143</v>
      </c>
      <c r="W1060">
        <v>32.656518554687501</v>
      </c>
      <c r="X1060">
        <v>20.6381301425175</v>
      </c>
      <c r="Y1060">
        <v>3.9156082596399</v>
      </c>
      <c r="Z1060" s="31">
        <v>1.98583497958295</v>
      </c>
      <c r="AA1060">
        <v>3.5564665176004602</v>
      </c>
      <c r="AB1060">
        <v>0.08</v>
      </c>
      <c r="AC1060">
        <v>349892.784739041</v>
      </c>
      <c r="AD1060">
        <v>395658.76098290761</v>
      </c>
      <c r="AE1060">
        <v>1</v>
      </c>
      <c r="AF1060">
        <v>982.64157260746435</v>
      </c>
      <c r="AG1060">
        <v>21548.237175527171</v>
      </c>
    </row>
    <row r="1061" spans="2:33" hidden="1" x14ac:dyDescent="0.25">
      <c r="B1061">
        <v>19</v>
      </c>
      <c r="C1061" t="s">
        <v>49</v>
      </c>
      <c r="D1061" t="s">
        <v>26</v>
      </c>
      <c r="E1061" t="s">
        <v>67</v>
      </c>
      <c r="F1061">
        <v>43708</v>
      </c>
      <c r="G1061">
        <v>118826</v>
      </c>
      <c r="H1061">
        <v>17</v>
      </c>
      <c r="I1061" s="8">
        <v>2070</v>
      </c>
      <c r="J1061">
        <v>0.37794758722838429</v>
      </c>
      <c r="K1061">
        <v>199785</v>
      </c>
      <c r="L1061">
        <v>60171</v>
      </c>
      <c r="M1061">
        <v>191600</v>
      </c>
      <c r="N1061">
        <v>14707</v>
      </c>
      <c r="O1061" s="43">
        <v>22275972</v>
      </c>
      <c r="P1061" s="14">
        <f t="shared" si="50"/>
        <v>1243836</v>
      </c>
      <c r="Q1061" s="14" t="str">
        <f t="shared" si="48"/>
        <v/>
      </c>
      <c r="R1061" s="14" t="str">
        <f t="shared" si="48"/>
        <v/>
      </c>
      <c r="S1061" s="14" t="str">
        <f t="shared" si="49"/>
        <v/>
      </c>
      <c r="T1061" s="14" t="s">
        <v>72</v>
      </c>
      <c r="U1061" s="14">
        <v>600.88695652173908</v>
      </c>
      <c r="V1061">
        <v>3143</v>
      </c>
      <c r="W1061">
        <v>32.582788085937501</v>
      </c>
      <c r="X1061">
        <v>23.908618614825201</v>
      </c>
      <c r="Y1061">
        <v>3.7383879352409699</v>
      </c>
      <c r="Z1061" s="31">
        <v>1.4287658600670501</v>
      </c>
      <c r="AA1061">
        <v>3.7881255293134499</v>
      </c>
      <c r="AB1061">
        <v>0.08</v>
      </c>
      <c r="AC1061">
        <v>349892.784739041</v>
      </c>
      <c r="AD1061">
        <v>395658.76098290761</v>
      </c>
      <c r="AE1061">
        <v>1</v>
      </c>
      <c r="AF1061">
        <v>982.64157260746435</v>
      </c>
      <c r="AG1061">
        <v>21548.237175527171</v>
      </c>
    </row>
    <row r="1062" spans="2:33" hidden="1" x14ac:dyDescent="0.25">
      <c r="B1062">
        <v>19</v>
      </c>
      <c r="C1062" t="s">
        <v>49</v>
      </c>
      <c r="D1062" t="s">
        <v>26</v>
      </c>
      <c r="E1062" t="s">
        <v>67</v>
      </c>
      <c r="F1062">
        <v>51909</v>
      </c>
      <c r="G1062">
        <v>118826</v>
      </c>
      <c r="H1062">
        <v>18</v>
      </c>
      <c r="I1062" s="8">
        <v>2905</v>
      </c>
      <c r="J1062">
        <v>3.1057596822244289</v>
      </c>
      <c r="K1062">
        <v>199785</v>
      </c>
      <c r="L1062">
        <v>60171</v>
      </c>
      <c r="M1062">
        <v>191600</v>
      </c>
      <c r="N1062">
        <v>14707</v>
      </c>
      <c r="O1062" s="43">
        <v>23632884</v>
      </c>
      <c r="P1062" s="14">
        <f t="shared" si="50"/>
        <v>1356912</v>
      </c>
      <c r="Q1062" s="14" t="str">
        <f t="shared" si="48"/>
        <v/>
      </c>
      <c r="R1062" s="14" t="str">
        <f t="shared" si="48"/>
        <v/>
      </c>
      <c r="S1062" s="14" t="str">
        <f t="shared" si="49"/>
        <v/>
      </c>
      <c r="T1062" s="14" t="s">
        <v>72</v>
      </c>
      <c r="U1062" s="14">
        <v>467.09535283993114</v>
      </c>
      <c r="V1062">
        <v>3143</v>
      </c>
      <c r="W1062">
        <v>33.878686523437501</v>
      </c>
      <c r="X1062">
        <v>24.3017559697902</v>
      </c>
      <c r="Y1062">
        <v>3.9985764121416398</v>
      </c>
      <c r="Z1062" s="31">
        <v>1.3165274715111399</v>
      </c>
      <c r="AA1062">
        <v>2.9548640041217902</v>
      </c>
      <c r="AB1062">
        <v>0.08</v>
      </c>
      <c r="AC1062">
        <v>349892.784739041</v>
      </c>
      <c r="AD1062">
        <v>395658.76098290761</v>
      </c>
      <c r="AE1062">
        <v>1</v>
      </c>
      <c r="AF1062">
        <v>982.64157260746435</v>
      </c>
      <c r="AG1062">
        <v>21548.237175527171</v>
      </c>
    </row>
    <row r="1063" spans="2:33" hidden="1" x14ac:dyDescent="0.25">
      <c r="B1063">
        <v>19</v>
      </c>
      <c r="C1063" t="s">
        <v>49</v>
      </c>
      <c r="D1063" t="s">
        <v>26</v>
      </c>
      <c r="E1063" t="s">
        <v>67</v>
      </c>
      <c r="F1063">
        <v>97407</v>
      </c>
      <c r="G1063">
        <v>118826</v>
      </c>
      <c r="H1063">
        <v>19</v>
      </c>
      <c r="I1063" s="8">
        <v>2026</v>
      </c>
      <c r="J1063">
        <v>17.23031996364432</v>
      </c>
      <c r="K1063">
        <v>199785</v>
      </c>
      <c r="L1063">
        <v>60171</v>
      </c>
      <c r="M1063">
        <v>191600</v>
      </c>
      <c r="N1063">
        <v>14707</v>
      </c>
      <c r="O1063" s="43">
        <v>25781328</v>
      </c>
      <c r="P1063" s="14">
        <f t="shared" si="50"/>
        <v>2148444</v>
      </c>
      <c r="Q1063" s="14" t="str">
        <f t="shared" si="48"/>
        <v/>
      </c>
      <c r="R1063" s="14" t="str">
        <f t="shared" si="48"/>
        <v/>
      </c>
      <c r="S1063" s="14" t="str">
        <f t="shared" si="49"/>
        <v/>
      </c>
      <c r="T1063" s="14" t="s">
        <v>72</v>
      </c>
      <c r="U1063" s="14">
        <v>1060.4363277393879</v>
      </c>
      <c r="V1063">
        <v>3143</v>
      </c>
      <c r="W1063">
        <v>36.200280761718801</v>
      </c>
      <c r="X1063">
        <v>18.055710501598099</v>
      </c>
      <c r="Y1063">
        <v>4.92122402726873</v>
      </c>
      <c r="Z1063" s="31">
        <v>3.2822012865219201</v>
      </c>
      <c r="AA1063">
        <v>3.0415672006143799</v>
      </c>
      <c r="AB1063">
        <v>0.08</v>
      </c>
      <c r="AC1063">
        <v>349892.784739041</v>
      </c>
      <c r="AD1063">
        <v>395658.76098290761</v>
      </c>
      <c r="AE1063">
        <v>1</v>
      </c>
      <c r="AF1063">
        <v>982.64157260746435</v>
      </c>
      <c r="AG1063">
        <v>21548.237175527171</v>
      </c>
    </row>
    <row r="1064" spans="2:33" hidden="1" x14ac:dyDescent="0.25">
      <c r="B1064">
        <v>19</v>
      </c>
      <c r="C1064" t="s">
        <v>49</v>
      </c>
      <c r="D1064" t="s">
        <v>26</v>
      </c>
      <c r="E1064" t="s">
        <v>67</v>
      </c>
      <c r="F1064">
        <v>107102</v>
      </c>
      <c r="G1064">
        <v>118826</v>
      </c>
      <c r="H1064">
        <v>20</v>
      </c>
      <c r="I1064" s="8">
        <v>998</v>
      </c>
      <c r="J1064">
        <v>3.6715449480753368</v>
      </c>
      <c r="K1064">
        <v>199785</v>
      </c>
      <c r="L1064">
        <v>60171</v>
      </c>
      <c r="M1064">
        <v>191600</v>
      </c>
      <c r="N1064">
        <v>14707</v>
      </c>
      <c r="O1064" s="43">
        <v>27590544</v>
      </c>
      <c r="P1064" s="14">
        <f t="shared" si="50"/>
        <v>1809216</v>
      </c>
      <c r="Q1064" s="14" t="str">
        <f t="shared" si="48"/>
        <v/>
      </c>
      <c r="R1064" s="14" t="str">
        <f t="shared" si="48"/>
        <v/>
      </c>
      <c r="S1064" s="14" t="str">
        <f t="shared" si="49"/>
        <v/>
      </c>
      <c r="T1064" s="14" t="s">
        <v>72</v>
      </c>
      <c r="U1064" s="14">
        <v>1812.8416833667334</v>
      </c>
      <c r="V1064">
        <v>3143</v>
      </c>
      <c r="W1064">
        <v>31.599267578125001</v>
      </c>
      <c r="X1064">
        <v>19.164583263797901</v>
      </c>
      <c r="Y1064">
        <v>3.7576143538612099</v>
      </c>
      <c r="Z1064" s="31">
        <v>4.5972252776857996</v>
      </c>
      <c r="AA1064">
        <v>7.0748500793222098</v>
      </c>
      <c r="AB1064">
        <v>0.08</v>
      </c>
      <c r="AC1064">
        <v>349892.784739041</v>
      </c>
      <c r="AD1064">
        <v>395658.76098290761</v>
      </c>
      <c r="AE1064">
        <v>1</v>
      </c>
      <c r="AF1064">
        <v>982.64157260746435</v>
      </c>
      <c r="AG1064">
        <v>21548.237175527171</v>
      </c>
    </row>
    <row r="1065" spans="2:33" hidden="1" x14ac:dyDescent="0.25">
      <c r="B1065">
        <v>19</v>
      </c>
      <c r="C1065" t="s">
        <v>49</v>
      </c>
      <c r="D1065" t="s">
        <v>26</v>
      </c>
      <c r="E1065" t="s">
        <v>67</v>
      </c>
      <c r="F1065">
        <v>110132</v>
      </c>
      <c r="G1065">
        <v>118826</v>
      </c>
      <c r="H1065">
        <v>21</v>
      </c>
      <c r="I1065" s="8">
        <v>8201</v>
      </c>
      <c r="J1065">
        <v>1.1474761415851751</v>
      </c>
      <c r="K1065">
        <v>199785</v>
      </c>
      <c r="L1065">
        <v>60171</v>
      </c>
      <c r="M1065">
        <v>191600</v>
      </c>
      <c r="N1065">
        <v>14707</v>
      </c>
      <c r="O1065" s="43">
        <v>27929772</v>
      </c>
      <c r="P1065" s="14">
        <f t="shared" si="50"/>
        <v>339228</v>
      </c>
      <c r="Q1065" s="14" t="str">
        <f t="shared" si="48"/>
        <v/>
      </c>
      <c r="R1065" s="14" t="str">
        <f t="shared" si="48"/>
        <v/>
      </c>
      <c r="S1065" s="14" t="str">
        <f t="shared" si="49"/>
        <v/>
      </c>
      <c r="T1065" s="14" t="s">
        <v>72</v>
      </c>
      <c r="U1065" s="14">
        <v>41.364223875137178</v>
      </c>
      <c r="V1065">
        <v>3143</v>
      </c>
      <c r="W1065">
        <v>28.273706054687501</v>
      </c>
      <c r="X1065">
        <v>19.0147984258832</v>
      </c>
      <c r="Y1065">
        <v>3.1111688581690702</v>
      </c>
      <c r="Z1065" s="31">
        <v>3.527885329164</v>
      </c>
      <c r="AA1065">
        <v>3.6894866620998701</v>
      </c>
      <c r="AB1065">
        <v>0.08</v>
      </c>
      <c r="AC1065">
        <v>349892.784739041</v>
      </c>
      <c r="AD1065">
        <v>395658.76098290761</v>
      </c>
      <c r="AE1065">
        <v>1</v>
      </c>
      <c r="AF1065">
        <v>982.64157260746435</v>
      </c>
      <c r="AG1065">
        <v>21548.237175527171</v>
      </c>
    </row>
    <row r="1066" spans="2:33" hidden="1" x14ac:dyDescent="0.25">
      <c r="B1066">
        <v>19</v>
      </c>
      <c r="C1066" t="s">
        <v>49</v>
      </c>
      <c r="D1066" t="s">
        <v>26</v>
      </c>
      <c r="E1066" t="s">
        <v>67</v>
      </c>
      <c r="F1066">
        <v>115874</v>
      </c>
      <c r="G1066">
        <v>118826</v>
      </c>
      <c r="H1066">
        <v>22</v>
      </c>
      <c r="I1066" s="8">
        <v>45498</v>
      </c>
      <c r="J1066">
        <v>2.1745240940534898</v>
      </c>
      <c r="K1066">
        <v>199785</v>
      </c>
      <c r="L1066">
        <v>60171</v>
      </c>
      <c r="M1066">
        <v>191600</v>
      </c>
      <c r="N1066">
        <v>14707</v>
      </c>
      <c r="O1066" s="43">
        <v>31435128</v>
      </c>
      <c r="P1066" s="14">
        <f t="shared" si="50"/>
        <v>3505356</v>
      </c>
      <c r="Q1066" s="14" t="str">
        <f t="shared" si="48"/>
        <v/>
      </c>
      <c r="R1066" s="14" t="str">
        <f t="shared" si="48"/>
        <v/>
      </c>
      <c r="S1066" s="14" t="str">
        <f t="shared" si="49"/>
        <v/>
      </c>
      <c r="T1066" s="14" t="s">
        <v>72</v>
      </c>
      <c r="U1066" s="14">
        <v>77.044177766055654</v>
      </c>
      <c r="V1066">
        <v>3143</v>
      </c>
      <c r="W1066">
        <v>26.077722167968801</v>
      </c>
      <c r="X1066">
        <v>20.2898450408535</v>
      </c>
      <c r="Y1066">
        <v>2.6928110619854801</v>
      </c>
      <c r="Z1066">
        <v>3.75209044687232</v>
      </c>
      <c r="AA1066">
        <v>10.782618534144</v>
      </c>
      <c r="AB1066">
        <v>0.08</v>
      </c>
      <c r="AC1066">
        <v>349892.784739041</v>
      </c>
      <c r="AD1066">
        <v>395658.76098290761</v>
      </c>
      <c r="AE1066">
        <v>1</v>
      </c>
      <c r="AF1066">
        <v>982.64157260746435</v>
      </c>
      <c r="AG1066">
        <v>21548.237175527171</v>
      </c>
    </row>
    <row r="1067" spans="2:33" hidden="1" x14ac:dyDescent="0.25">
      <c r="B1067">
        <v>19</v>
      </c>
      <c r="C1067" t="s">
        <v>49</v>
      </c>
      <c r="D1067" t="s">
        <v>26</v>
      </c>
      <c r="E1067" t="s">
        <v>67</v>
      </c>
      <c r="F1067">
        <v>117659</v>
      </c>
      <c r="G1067">
        <v>118826</v>
      </c>
      <c r="H1067">
        <v>23</v>
      </c>
      <c r="I1067" s="8">
        <v>9695</v>
      </c>
      <c r="J1067">
        <v>0.67598842004275161</v>
      </c>
      <c r="K1067">
        <v>199785</v>
      </c>
      <c r="L1067">
        <v>60171</v>
      </c>
      <c r="M1067">
        <v>191600</v>
      </c>
      <c r="N1067">
        <v>14707</v>
      </c>
      <c r="O1067" s="43">
        <v>31661280</v>
      </c>
      <c r="P1067" s="14">
        <f t="shared" si="50"/>
        <v>226152</v>
      </c>
      <c r="Q1067" s="14" t="str">
        <f t="shared" si="48"/>
        <v/>
      </c>
      <c r="R1067" s="14" t="str">
        <f t="shared" si="48"/>
        <v/>
      </c>
      <c r="S1067" s="14" t="str">
        <f t="shared" si="49"/>
        <v/>
      </c>
      <c r="T1067" s="14" t="s">
        <v>72</v>
      </c>
      <c r="U1067" s="14">
        <v>23.326663228468284</v>
      </c>
      <c r="V1067">
        <v>3143</v>
      </c>
      <c r="W1067">
        <v>29.608422851562501</v>
      </c>
      <c r="X1067">
        <v>20.8417622740048</v>
      </c>
      <c r="Y1067">
        <v>3.2845411801273401</v>
      </c>
      <c r="Z1067" s="31">
        <v>2.5576079612123501</v>
      </c>
      <c r="AA1067">
        <v>7.9622049538350401</v>
      </c>
      <c r="AB1067">
        <v>0.08</v>
      </c>
      <c r="AC1067">
        <v>349892.784739041</v>
      </c>
      <c r="AD1067">
        <v>395658.76098290761</v>
      </c>
      <c r="AE1067">
        <v>1</v>
      </c>
      <c r="AF1067">
        <v>982.64157260746435</v>
      </c>
      <c r="AG1067">
        <v>21548.237175527171</v>
      </c>
    </row>
    <row r="1068" spans="2:33" hidden="1" x14ac:dyDescent="0.25">
      <c r="B1068">
        <v>19</v>
      </c>
      <c r="C1068" t="s">
        <v>49</v>
      </c>
      <c r="D1068" t="s">
        <v>26</v>
      </c>
      <c r="E1068" t="s">
        <v>67</v>
      </c>
      <c r="F1068">
        <v>117814</v>
      </c>
      <c r="G1068">
        <v>118826</v>
      </c>
      <c r="H1068">
        <v>24</v>
      </c>
      <c r="I1068" s="8">
        <v>3030</v>
      </c>
      <c r="J1068">
        <v>5.8699274569538662E-2</v>
      </c>
      <c r="K1068">
        <v>199785</v>
      </c>
      <c r="L1068">
        <v>60171</v>
      </c>
      <c r="M1068">
        <v>191600</v>
      </c>
      <c r="N1068">
        <v>14707</v>
      </c>
      <c r="O1068" s="43">
        <v>35166636</v>
      </c>
      <c r="P1068" s="14">
        <f t="shared" si="50"/>
        <v>3505356</v>
      </c>
      <c r="Q1068" s="14" t="str">
        <f t="shared" si="48"/>
        <v/>
      </c>
      <c r="R1068" s="14" t="str">
        <f t="shared" si="48"/>
        <v/>
      </c>
      <c r="S1068" s="14" t="str">
        <f t="shared" si="49"/>
        <v/>
      </c>
      <c r="T1068" s="14" t="s">
        <v>72</v>
      </c>
      <c r="U1068" s="14">
        <v>1156.8831683168316</v>
      </c>
      <c r="V1068">
        <v>3143</v>
      </c>
      <c r="W1068">
        <v>28.570214843750001</v>
      </c>
      <c r="X1068">
        <v>28.514827967009499</v>
      </c>
      <c r="Y1068">
        <v>2.7932839292481701</v>
      </c>
      <c r="Z1068" s="31">
        <v>1.6779310429802601</v>
      </c>
      <c r="AA1068">
        <v>2.7102005518408201</v>
      </c>
      <c r="AB1068">
        <v>0.08</v>
      </c>
      <c r="AC1068">
        <v>349892.784739041</v>
      </c>
      <c r="AD1068">
        <v>395658.76098290761</v>
      </c>
      <c r="AE1068">
        <v>1</v>
      </c>
      <c r="AF1068">
        <v>982.64157260746435</v>
      </c>
      <c r="AG1068">
        <v>21548.237175527171</v>
      </c>
    </row>
    <row r="1069" spans="2:33" hidden="1" x14ac:dyDescent="0.25">
      <c r="B1069">
        <v>19</v>
      </c>
      <c r="C1069" t="s">
        <v>49</v>
      </c>
      <c r="D1069" t="s">
        <v>26</v>
      </c>
      <c r="E1069" t="s">
        <v>67</v>
      </c>
      <c r="F1069">
        <v>117968</v>
      </c>
      <c r="G1069">
        <v>118826</v>
      </c>
      <c r="H1069">
        <v>25</v>
      </c>
      <c r="I1069" s="8">
        <v>5742</v>
      </c>
      <c r="J1069">
        <v>5.8320569572315822E-2</v>
      </c>
      <c r="K1069">
        <v>199785</v>
      </c>
      <c r="L1069">
        <v>60171</v>
      </c>
      <c r="M1069">
        <v>191600</v>
      </c>
      <c r="N1069">
        <v>14707</v>
      </c>
      <c r="O1069" s="43">
        <v>36636624</v>
      </c>
      <c r="P1069" s="14">
        <f t="shared" si="50"/>
        <v>1469988</v>
      </c>
      <c r="Q1069" s="14" t="str">
        <f t="shared" si="48"/>
        <v/>
      </c>
      <c r="R1069" s="14" t="str">
        <f t="shared" si="48"/>
        <v/>
      </c>
      <c r="S1069" s="14" t="str">
        <f t="shared" si="49"/>
        <v/>
      </c>
      <c r="T1069" s="14" t="s">
        <v>72</v>
      </c>
      <c r="U1069" s="14">
        <v>256.00626959247649</v>
      </c>
      <c r="V1069">
        <v>3143</v>
      </c>
      <c r="W1069">
        <v>26.132348632812501</v>
      </c>
      <c r="X1069">
        <v>22.893761341311102</v>
      </c>
      <c r="Y1069">
        <v>2.6131507467867801</v>
      </c>
      <c r="Z1069" s="31">
        <v>0.77719645806009596</v>
      </c>
      <c r="AA1069">
        <v>5.1111025668458501</v>
      </c>
      <c r="AB1069">
        <v>0.08</v>
      </c>
      <c r="AC1069">
        <v>349892.784739041</v>
      </c>
      <c r="AD1069">
        <v>395658.76098290761</v>
      </c>
      <c r="AE1069">
        <v>1</v>
      </c>
      <c r="AF1069">
        <v>982.64157260746435</v>
      </c>
      <c r="AG1069">
        <v>21548.237175527171</v>
      </c>
    </row>
    <row r="1070" spans="2:33" hidden="1" x14ac:dyDescent="0.25">
      <c r="B1070">
        <v>19</v>
      </c>
      <c r="C1070" t="s">
        <v>49</v>
      </c>
      <c r="D1070" t="s">
        <v>26</v>
      </c>
      <c r="E1070" t="s">
        <v>67</v>
      </c>
      <c r="F1070">
        <v>118826</v>
      </c>
      <c r="G1070">
        <v>118826</v>
      </c>
      <c r="H1070">
        <v>26</v>
      </c>
      <c r="I1070" s="8">
        <v>1785</v>
      </c>
      <c r="J1070">
        <v>0.32492888761718819</v>
      </c>
      <c r="K1070">
        <v>199785</v>
      </c>
      <c r="L1070">
        <v>60171</v>
      </c>
      <c r="M1070">
        <v>191600</v>
      </c>
      <c r="N1070">
        <v>14707</v>
      </c>
      <c r="O1070" s="43">
        <v>39237372</v>
      </c>
      <c r="P1070" s="14">
        <f t="shared" si="50"/>
        <v>2600748</v>
      </c>
      <c r="Q1070" s="14" t="str">
        <f t="shared" si="48"/>
        <v/>
      </c>
      <c r="R1070" s="14" t="str">
        <f t="shared" si="48"/>
        <v/>
      </c>
      <c r="S1070" s="14" t="str">
        <f t="shared" si="49"/>
        <v/>
      </c>
      <c r="T1070" s="14" t="s">
        <v>72</v>
      </c>
      <c r="U1070" s="14">
        <v>1457.001680672269</v>
      </c>
      <c r="V1070">
        <v>3143</v>
      </c>
      <c r="W1070">
        <v>27.831628417968801</v>
      </c>
      <c r="X1070">
        <v>26.7612762425588</v>
      </c>
      <c r="Y1070">
        <v>2.7417802998780401</v>
      </c>
      <c r="Z1070" s="31">
        <v>1.03298188954787</v>
      </c>
      <c r="AA1070">
        <v>1.93107660063056</v>
      </c>
      <c r="AB1070">
        <v>0.08</v>
      </c>
      <c r="AC1070">
        <v>349892.784739041</v>
      </c>
      <c r="AD1070">
        <v>395658.76098290761</v>
      </c>
      <c r="AE1070">
        <v>1</v>
      </c>
      <c r="AF1070">
        <v>982.64157260746435</v>
      </c>
      <c r="AG1070">
        <v>21548.237175527171</v>
      </c>
    </row>
    <row r="1071" spans="2:33" hidden="1" x14ac:dyDescent="0.25">
      <c r="B1071">
        <v>19</v>
      </c>
      <c r="C1071" t="s">
        <v>49</v>
      </c>
      <c r="D1071" t="s">
        <v>26</v>
      </c>
      <c r="E1071" t="s">
        <v>67</v>
      </c>
      <c r="F1071">
        <v>118826</v>
      </c>
      <c r="G1071">
        <v>118826</v>
      </c>
      <c r="H1071">
        <v>27</v>
      </c>
      <c r="I1071" s="8">
        <v>155</v>
      </c>
      <c r="J1071">
        <v>0</v>
      </c>
      <c r="K1071">
        <v>199785</v>
      </c>
      <c r="L1071">
        <v>60171</v>
      </c>
      <c r="M1071">
        <v>191600</v>
      </c>
      <c r="N1071">
        <v>14707</v>
      </c>
      <c r="O1071" s="43">
        <v>42177348</v>
      </c>
      <c r="P1071" s="14">
        <f t="shared" si="50"/>
        <v>2939976</v>
      </c>
      <c r="Q1071" s="14" t="str">
        <f t="shared" si="48"/>
        <v/>
      </c>
      <c r="R1071" s="14" t="str">
        <f t="shared" si="48"/>
        <v/>
      </c>
      <c r="S1071" s="14" t="str">
        <f t="shared" si="49"/>
        <v/>
      </c>
      <c r="T1071" s="14" t="s">
        <v>72</v>
      </c>
      <c r="U1071" s="14">
        <v>18967.587096774194</v>
      </c>
      <c r="V1071">
        <v>3143</v>
      </c>
      <c r="W1071">
        <v>27.450708007812501</v>
      </c>
      <c r="X1071">
        <v>24.899200057105698</v>
      </c>
      <c r="Y1071">
        <v>2.7498334678616301</v>
      </c>
      <c r="Z1071" s="31">
        <v>1.4317318053307599</v>
      </c>
      <c r="AA1071">
        <v>3.5266437290693098</v>
      </c>
      <c r="AB1071">
        <v>0.08</v>
      </c>
      <c r="AC1071">
        <v>349892.784739041</v>
      </c>
      <c r="AD1071">
        <v>395658.76098290761</v>
      </c>
      <c r="AE1071">
        <v>1</v>
      </c>
      <c r="AF1071">
        <v>982.64157260746435</v>
      </c>
      <c r="AG1071">
        <v>21548.237175527171</v>
      </c>
    </row>
    <row r="1072" spans="2:33" hidden="1" x14ac:dyDescent="0.25">
      <c r="B1072">
        <v>19</v>
      </c>
      <c r="C1072" t="s">
        <v>49</v>
      </c>
      <c r="D1072" t="s">
        <v>26</v>
      </c>
      <c r="E1072" t="s">
        <v>67</v>
      </c>
      <c r="F1072">
        <v>118826</v>
      </c>
      <c r="G1072">
        <v>118826</v>
      </c>
      <c r="H1072">
        <v>28</v>
      </c>
      <c r="I1072" s="9">
        <v>154</v>
      </c>
      <c r="J1072">
        <v>0</v>
      </c>
      <c r="K1072">
        <v>199785</v>
      </c>
      <c r="L1072">
        <v>60171</v>
      </c>
      <c r="M1072">
        <v>191600</v>
      </c>
      <c r="N1072">
        <v>14707</v>
      </c>
      <c r="O1072" s="43">
        <v>43760412</v>
      </c>
      <c r="P1072" s="14">
        <f t="shared" si="50"/>
        <v>1583064</v>
      </c>
      <c r="Q1072" s="14" t="str">
        <f t="shared" si="48"/>
        <v/>
      </c>
      <c r="R1072" s="14" t="str">
        <f t="shared" si="48"/>
        <v/>
      </c>
      <c r="S1072" s="14" t="str">
        <f t="shared" si="49"/>
        <v/>
      </c>
      <c r="T1072" s="14" t="s">
        <v>72</v>
      </c>
      <c r="U1072" s="14">
        <v>10279.636363636364</v>
      </c>
      <c r="V1072">
        <v>3143</v>
      </c>
      <c r="W1072">
        <v>26.791253662109401</v>
      </c>
      <c r="X1072">
        <v>21.260903425386999</v>
      </c>
      <c r="Y1072">
        <v>2.7740461492017001</v>
      </c>
      <c r="Z1072" s="31">
        <v>1.1531211869278899</v>
      </c>
      <c r="AA1072">
        <v>3.1897249254909901</v>
      </c>
      <c r="AB1072">
        <v>0.08</v>
      </c>
      <c r="AC1072">
        <v>349892.784739041</v>
      </c>
      <c r="AD1072">
        <v>395658.76098290761</v>
      </c>
      <c r="AE1072">
        <v>1</v>
      </c>
      <c r="AF1072">
        <v>982.64157260746435</v>
      </c>
      <c r="AG1072">
        <v>21548.237175527171</v>
      </c>
    </row>
    <row r="1073" spans="2:33" hidden="1" x14ac:dyDescent="0.25">
      <c r="B1073">
        <v>19</v>
      </c>
      <c r="C1073" t="s">
        <v>49</v>
      </c>
      <c r="D1073" t="s">
        <v>26</v>
      </c>
      <c r="E1073" t="s">
        <v>67</v>
      </c>
      <c r="F1073">
        <v>118826</v>
      </c>
      <c r="G1073">
        <v>118826</v>
      </c>
      <c r="H1073">
        <v>29</v>
      </c>
      <c r="I1073" s="9">
        <v>858</v>
      </c>
      <c r="J1073">
        <v>0</v>
      </c>
      <c r="K1073">
        <v>199785</v>
      </c>
      <c r="L1073">
        <v>60171</v>
      </c>
      <c r="M1073">
        <v>191600</v>
      </c>
      <c r="N1073">
        <v>14707</v>
      </c>
      <c r="O1073" s="43">
        <v>43986564</v>
      </c>
      <c r="P1073" s="14">
        <f t="shared" si="50"/>
        <v>226152</v>
      </c>
      <c r="Q1073" s="14" t="str">
        <f t="shared" si="48"/>
        <v/>
      </c>
      <c r="R1073" s="14" t="str">
        <f t="shared" si="48"/>
        <v/>
      </c>
      <c r="S1073" s="14" t="str">
        <f t="shared" si="49"/>
        <v/>
      </c>
      <c r="T1073" s="14" t="s">
        <v>72</v>
      </c>
      <c r="U1073" s="14">
        <v>263.58041958041957</v>
      </c>
      <c r="V1073">
        <v>3143</v>
      </c>
      <c r="W1073">
        <v>27.928552246093702</v>
      </c>
      <c r="X1073">
        <v>15.9350150316737</v>
      </c>
      <c r="Y1073">
        <v>3.1655003118804599</v>
      </c>
      <c r="Z1073" s="31">
        <v>0.82143242559388197</v>
      </c>
      <c r="AA1073">
        <v>3.0282153639511402</v>
      </c>
      <c r="AB1073">
        <v>0.08</v>
      </c>
      <c r="AC1073">
        <v>349892.784739041</v>
      </c>
      <c r="AD1073">
        <v>395658.76098290761</v>
      </c>
      <c r="AE1073">
        <v>1</v>
      </c>
      <c r="AF1073">
        <v>982.64157260746435</v>
      </c>
      <c r="AG1073">
        <v>21548.237175527171</v>
      </c>
    </row>
    <row r="1074" spans="2:33" hidden="1" x14ac:dyDescent="0.25">
      <c r="B1074">
        <v>19</v>
      </c>
      <c r="C1074" t="s">
        <v>49</v>
      </c>
      <c r="D1074" t="s">
        <v>26</v>
      </c>
      <c r="E1074" t="s">
        <v>67</v>
      </c>
      <c r="F1074">
        <v>118826</v>
      </c>
      <c r="G1074">
        <v>118826</v>
      </c>
      <c r="H1074">
        <v>30</v>
      </c>
      <c r="I1074" s="9">
        <v>0</v>
      </c>
      <c r="J1074">
        <v>0</v>
      </c>
      <c r="K1074">
        <v>199785</v>
      </c>
      <c r="L1074">
        <v>60171</v>
      </c>
      <c r="M1074">
        <v>191600</v>
      </c>
      <c r="N1074">
        <v>14707</v>
      </c>
      <c r="O1074" s="43">
        <v>44891172</v>
      </c>
      <c r="P1074" s="14">
        <f t="shared" si="50"/>
        <v>904608</v>
      </c>
      <c r="Q1074" s="14" t="str">
        <f t="shared" si="48"/>
        <v/>
      </c>
      <c r="R1074" s="14" t="str">
        <f t="shared" si="48"/>
        <v/>
      </c>
      <c r="S1074" s="14" t="str">
        <f t="shared" si="49"/>
        <v/>
      </c>
      <c r="T1074" s="14" t="s">
        <v>72</v>
      </c>
      <c r="U1074" s="14">
        <v>0</v>
      </c>
      <c r="V1074">
        <v>3143</v>
      </c>
      <c r="W1074">
        <v>30.288415527343702</v>
      </c>
      <c r="X1074">
        <v>15.8774883801453</v>
      </c>
      <c r="Y1074">
        <v>3.62963755439988</v>
      </c>
      <c r="Z1074" s="31">
        <v>1.7871276122997</v>
      </c>
      <c r="AA1074">
        <v>2.1815983899778799</v>
      </c>
      <c r="AB1074">
        <v>0.08</v>
      </c>
      <c r="AC1074">
        <v>349892.784739041</v>
      </c>
      <c r="AD1074">
        <v>395658.76098290761</v>
      </c>
      <c r="AE1074">
        <v>1</v>
      </c>
      <c r="AF1074">
        <v>982.64157260746435</v>
      </c>
      <c r="AG1074">
        <v>21548.237175527171</v>
      </c>
    </row>
    <row r="1075" spans="2:33" hidden="1" x14ac:dyDescent="0.25">
      <c r="B1075">
        <v>19</v>
      </c>
      <c r="C1075" t="s">
        <v>49</v>
      </c>
      <c r="D1075" t="s">
        <v>26</v>
      </c>
      <c r="E1075" t="s">
        <v>67</v>
      </c>
      <c r="F1075">
        <v>118826</v>
      </c>
      <c r="G1075">
        <v>118826</v>
      </c>
      <c r="H1075">
        <v>31</v>
      </c>
      <c r="I1075" s="9">
        <v>0</v>
      </c>
      <c r="J1075">
        <v>0</v>
      </c>
      <c r="K1075">
        <v>199785</v>
      </c>
      <c r="L1075">
        <v>60171</v>
      </c>
      <c r="M1075">
        <v>191600</v>
      </c>
      <c r="N1075">
        <v>14707</v>
      </c>
      <c r="O1075" s="43">
        <v>45908856</v>
      </c>
      <c r="P1075" s="14">
        <f t="shared" si="50"/>
        <v>1017684</v>
      </c>
      <c r="Q1075" s="14" t="str">
        <f t="shared" si="48"/>
        <v/>
      </c>
      <c r="R1075" s="14" t="str">
        <f t="shared" si="48"/>
        <v/>
      </c>
      <c r="S1075" s="14" t="str">
        <f t="shared" si="49"/>
        <v/>
      </c>
      <c r="T1075" s="14" t="s">
        <v>72</v>
      </c>
      <c r="U1075" s="14">
        <v>0</v>
      </c>
      <c r="V1075">
        <v>3143</v>
      </c>
      <c r="W1075">
        <v>33.146936035156301</v>
      </c>
      <c r="X1075">
        <v>9.9004473705560301</v>
      </c>
      <c r="Y1075">
        <v>4.5705521760466699</v>
      </c>
      <c r="Z1075" s="31">
        <v>1.86129799526492</v>
      </c>
      <c r="AA1075">
        <v>2.30269518064391</v>
      </c>
      <c r="AB1075">
        <v>0.08</v>
      </c>
      <c r="AC1075">
        <v>349892.784739041</v>
      </c>
      <c r="AD1075">
        <v>395658.76098290761</v>
      </c>
      <c r="AE1075">
        <v>1</v>
      </c>
      <c r="AF1075">
        <v>982.64157260746435</v>
      </c>
      <c r="AG1075">
        <v>21548.237175527171</v>
      </c>
    </row>
    <row r="1076" spans="2:33" hidden="1" x14ac:dyDescent="0.25">
      <c r="B1076">
        <v>19</v>
      </c>
      <c r="C1076" t="s">
        <v>49</v>
      </c>
      <c r="D1076" t="s">
        <v>26</v>
      </c>
      <c r="E1076" t="s">
        <v>67</v>
      </c>
      <c r="F1076">
        <v>118826</v>
      </c>
      <c r="G1076">
        <v>118826</v>
      </c>
      <c r="H1076">
        <v>32</v>
      </c>
      <c r="I1076" s="9">
        <v>0</v>
      </c>
      <c r="J1076">
        <v>0</v>
      </c>
      <c r="K1076">
        <v>199785</v>
      </c>
      <c r="L1076">
        <v>60171</v>
      </c>
      <c r="M1076">
        <v>191600</v>
      </c>
      <c r="N1076">
        <v>14707</v>
      </c>
      <c r="O1076" s="43">
        <v>47152692</v>
      </c>
      <c r="P1076" s="14">
        <f t="shared" si="50"/>
        <v>1243836</v>
      </c>
      <c r="Q1076" s="14" t="str">
        <f t="shared" si="48"/>
        <v/>
      </c>
      <c r="R1076" s="14" t="str">
        <f t="shared" si="48"/>
        <v/>
      </c>
      <c r="S1076" s="14" t="str">
        <f t="shared" si="49"/>
        <v/>
      </c>
      <c r="T1076" s="14" t="s">
        <v>72</v>
      </c>
      <c r="U1076" s="14">
        <v>0</v>
      </c>
      <c r="V1076">
        <v>3143</v>
      </c>
      <c r="W1076">
        <v>33.818536376953098</v>
      </c>
      <c r="X1076">
        <v>11.539636677893601</v>
      </c>
      <c r="Y1076">
        <v>4.6587526568705</v>
      </c>
      <c r="Z1076" s="31">
        <v>0.21403410790272201</v>
      </c>
      <c r="AA1076">
        <v>2.6801420169443801</v>
      </c>
      <c r="AB1076">
        <v>0.08</v>
      </c>
      <c r="AC1076">
        <v>349892.784739041</v>
      </c>
      <c r="AD1076">
        <v>395658.76098290761</v>
      </c>
      <c r="AE1076">
        <v>1</v>
      </c>
      <c r="AF1076">
        <v>982.64157260746435</v>
      </c>
      <c r="AG1076">
        <v>21548.237175527171</v>
      </c>
    </row>
    <row r="1077" spans="2:33" hidden="1" x14ac:dyDescent="0.25">
      <c r="B1077">
        <v>19</v>
      </c>
      <c r="C1077" t="s">
        <v>49</v>
      </c>
      <c r="D1077" t="s">
        <v>26</v>
      </c>
      <c r="E1077" t="s">
        <v>67</v>
      </c>
      <c r="F1077">
        <v>118826</v>
      </c>
      <c r="G1077">
        <v>118826</v>
      </c>
      <c r="H1077">
        <v>33</v>
      </c>
      <c r="I1077" s="9">
        <v>0</v>
      </c>
      <c r="J1077">
        <v>0</v>
      </c>
      <c r="K1077">
        <v>199785</v>
      </c>
      <c r="L1077">
        <v>60171</v>
      </c>
      <c r="M1077">
        <v>191600</v>
      </c>
      <c r="N1077">
        <v>14707</v>
      </c>
      <c r="O1077" s="43">
        <v>47378844</v>
      </c>
      <c r="P1077" s="14">
        <f t="shared" si="50"/>
        <v>226152</v>
      </c>
      <c r="Q1077" s="14" t="str">
        <f t="shared" si="48"/>
        <v/>
      </c>
      <c r="R1077" s="14" t="str">
        <f t="shared" si="48"/>
        <v/>
      </c>
      <c r="S1077" s="14" t="str">
        <f t="shared" si="49"/>
        <v/>
      </c>
      <c r="T1077" s="14" t="s">
        <v>72</v>
      </c>
      <c r="U1077" s="14">
        <v>0</v>
      </c>
      <c r="V1077">
        <v>3143</v>
      </c>
      <c r="W1077">
        <v>33.357690429687501</v>
      </c>
      <c r="X1077">
        <v>15.091142942865901</v>
      </c>
      <c r="Y1077">
        <v>4.3578004550777099</v>
      </c>
      <c r="Z1077" s="31">
        <v>2.3402112563642401</v>
      </c>
      <c r="AA1077">
        <v>1.7091839331871801</v>
      </c>
      <c r="AB1077">
        <v>0.08</v>
      </c>
      <c r="AC1077">
        <v>349892.784739041</v>
      </c>
      <c r="AD1077">
        <v>395658.76098290761</v>
      </c>
      <c r="AE1077">
        <v>1</v>
      </c>
      <c r="AF1077">
        <v>982.64157260746435</v>
      </c>
      <c r="AG1077">
        <v>21548.237175527171</v>
      </c>
    </row>
    <row r="1078" spans="2:33" hidden="1" x14ac:dyDescent="0.25">
      <c r="B1078">
        <v>19</v>
      </c>
      <c r="C1078" t="s">
        <v>49</v>
      </c>
      <c r="D1078" t="s">
        <v>26</v>
      </c>
      <c r="E1078" t="s">
        <v>67</v>
      </c>
      <c r="F1078">
        <v>118826</v>
      </c>
      <c r="G1078">
        <v>118826</v>
      </c>
      <c r="H1078">
        <v>34</v>
      </c>
      <c r="I1078" s="9">
        <v>0</v>
      </c>
      <c r="J1078">
        <v>0</v>
      </c>
      <c r="K1078">
        <v>199785</v>
      </c>
      <c r="L1078">
        <v>60171</v>
      </c>
      <c r="M1078">
        <v>191600</v>
      </c>
      <c r="N1078">
        <v>14707</v>
      </c>
      <c r="O1078" s="43">
        <v>47152692</v>
      </c>
      <c r="P1078" s="14">
        <f t="shared" si="50"/>
        <v>-226152</v>
      </c>
      <c r="Q1078" s="14">
        <f t="shared" si="48"/>
        <v>-226152</v>
      </c>
      <c r="R1078" s="14">
        <f t="shared" si="48"/>
        <v>-226152</v>
      </c>
      <c r="S1078" s="14">
        <f t="shared" si="49"/>
        <v>51144727104</v>
      </c>
      <c r="T1078" s="14">
        <v>51144727104</v>
      </c>
      <c r="U1078" s="14">
        <v>0</v>
      </c>
      <c r="V1078">
        <v>3143</v>
      </c>
      <c r="W1078">
        <v>32.393640136718801</v>
      </c>
      <c r="X1078">
        <v>12.1084805879659</v>
      </c>
      <c r="Y1078">
        <v>4.2737175170051698</v>
      </c>
      <c r="Z1078" s="31">
        <v>2.7198443938999901</v>
      </c>
      <c r="AA1078">
        <v>3.9387972961776301</v>
      </c>
      <c r="AB1078">
        <v>0.08</v>
      </c>
      <c r="AC1078">
        <v>349892.784739041</v>
      </c>
      <c r="AD1078">
        <v>395658.76098290761</v>
      </c>
      <c r="AE1078">
        <v>1</v>
      </c>
      <c r="AF1078">
        <v>982.64157260746435</v>
      </c>
      <c r="AG1078">
        <v>21548.237175527171</v>
      </c>
    </row>
    <row r="1079" spans="2:33" hidden="1" x14ac:dyDescent="0.25">
      <c r="B1079">
        <v>19</v>
      </c>
      <c r="C1079" t="s">
        <v>49</v>
      </c>
      <c r="D1079" t="s">
        <v>26</v>
      </c>
      <c r="E1079" t="s">
        <v>67</v>
      </c>
      <c r="F1079">
        <v>118826</v>
      </c>
      <c r="G1079">
        <v>118826</v>
      </c>
      <c r="H1079">
        <v>35</v>
      </c>
      <c r="I1079" s="9">
        <v>0</v>
      </c>
      <c r="J1079">
        <v>0</v>
      </c>
      <c r="K1079">
        <v>199785</v>
      </c>
      <c r="L1079">
        <v>60171</v>
      </c>
      <c r="M1079">
        <v>191600</v>
      </c>
      <c r="N1079">
        <v>14707</v>
      </c>
      <c r="O1079" s="43">
        <v>47152692</v>
      </c>
      <c r="P1079" s="14">
        <f t="shared" si="50"/>
        <v>0</v>
      </c>
      <c r="Q1079" s="14" t="str">
        <f t="shared" si="48"/>
        <v/>
      </c>
      <c r="R1079" s="14" t="str">
        <f t="shared" si="48"/>
        <v/>
      </c>
      <c r="S1079" s="14" t="str">
        <f t="shared" si="49"/>
        <v/>
      </c>
      <c r="T1079" s="14" t="s">
        <v>72</v>
      </c>
      <c r="U1079" s="14">
        <v>0</v>
      </c>
      <c r="V1079">
        <v>3143</v>
      </c>
      <c r="W1079">
        <v>32.393640136718801</v>
      </c>
      <c r="X1079">
        <v>12.1084805879659</v>
      </c>
      <c r="Y1079">
        <v>4.2737175170051698</v>
      </c>
      <c r="Z1079" s="31">
        <v>2.7198443938999901</v>
      </c>
      <c r="AA1079">
        <v>3.9387972961776301</v>
      </c>
      <c r="AB1079">
        <v>0.08</v>
      </c>
      <c r="AC1079">
        <v>349892.784739041</v>
      </c>
      <c r="AD1079">
        <v>395658.76098290761</v>
      </c>
      <c r="AE1079">
        <v>1</v>
      </c>
      <c r="AF1079">
        <v>982.64157260746435</v>
      </c>
      <c r="AG1079">
        <v>21548.237175527171</v>
      </c>
    </row>
    <row r="1080" spans="2:33" hidden="1" x14ac:dyDescent="0.25">
      <c r="B1080">
        <v>19</v>
      </c>
      <c r="C1080" t="s">
        <v>49</v>
      </c>
      <c r="D1080" t="s">
        <v>26</v>
      </c>
      <c r="E1080" t="s">
        <v>67</v>
      </c>
      <c r="F1080">
        <v>118826</v>
      </c>
      <c r="G1080">
        <v>118826</v>
      </c>
      <c r="H1080">
        <v>36</v>
      </c>
      <c r="I1080" s="9">
        <v>0</v>
      </c>
      <c r="J1080">
        <v>0</v>
      </c>
      <c r="K1080">
        <v>199785</v>
      </c>
      <c r="L1080">
        <v>60171</v>
      </c>
      <c r="M1080">
        <v>191600</v>
      </c>
      <c r="N1080">
        <v>14707</v>
      </c>
      <c r="O1080" s="43">
        <v>47152692</v>
      </c>
      <c r="P1080" s="14">
        <f t="shared" si="50"/>
        <v>0</v>
      </c>
      <c r="Q1080" s="14" t="str">
        <f t="shared" si="48"/>
        <v/>
      </c>
      <c r="R1080" s="14" t="str">
        <f t="shared" si="48"/>
        <v/>
      </c>
      <c r="S1080" s="14" t="str">
        <f t="shared" si="49"/>
        <v/>
      </c>
      <c r="T1080" s="14" t="s">
        <v>72</v>
      </c>
      <c r="U1080" s="14">
        <v>0</v>
      </c>
      <c r="V1080">
        <v>3143</v>
      </c>
      <c r="W1080">
        <v>32.393640136718801</v>
      </c>
      <c r="X1080">
        <v>12.1084805879659</v>
      </c>
      <c r="Y1080">
        <v>4.2737175170051698</v>
      </c>
      <c r="Z1080" s="31">
        <v>2.7198443938999901</v>
      </c>
      <c r="AA1080">
        <v>3.9387972961776301</v>
      </c>
      <c r="AB1080">
        <v>0.08</v>
      </c>
      <c r="AC1080">
        <v>349892.784739041</v>
      </c>
      <c r="AD1080">
        <v>395658.76098290761</v>
      </c>
      <c r="AE1080">
        <v>1</v>
      </c>
      <c r="AF1080">
        <v>982.64157260746435</v>
      </c>
      <c r="AG1080">
        <v>21548.237175527171</v>
      </c>
    </row>
    <row r="1081" spans="2:33" hidden="1" x14ac:dyDescent="0.25">
      <c r="B1081">
        <v>19</v>
      </c>
      <c r="C1081" t="s">
        <v>49</v>
      </c>
      <c r="D1081" t="s">
        <v>26</v>
      </c>
      <c r="E1081" t="s">
        <v>67</v>
      </c>
      <c r="F1081">
        <v>118826</v>
      </c>
      <c r="G1081">
        <v>118826</v>
      </c>
      <c r="H1081">
        <v>37</v>
      </c>
      <c r="I1081" s="9">
        <v>0</v>
      </c>
      <c r="J1081">
        <v>0</v>
      </c>
      <c r="K1081">
        <v>199785</v>
      </c>
      <c r="L1081">
        <v>60171</v>
      </c>
      <c r="M1081">
        <v>191600</v>
      </c>
      <c r="N1081">
        <v>14707</v>
      </c>
      <c r="O1081" s="43">
        <v>47435382</v>
      </c>
      <c r="P1081" s="14">
        <f t="shared" si="50"/>
        <v>282690</v>
      </c>
      <c r="Q1081" s="14" t="str">
        <f t="shared" si="48"/>
        <v/>
      </c>
      <c r="R1081" s="14" t="str">
        <f t="shared" si="48"/>
        <v/>
      </c>
      <c r="S1081" s="14" t="str">
        <f t="shared" si="49"/>
        <v/>
      </c>
      <c r="T1081" s="14" t="s">
        <v>72</v>
      </c>
      <c r="U1081" s="14">
        <v>0</v>
      </c>
      <c r="V1081">
        <v>3143</v>
      </c>
      <c r="W1081">
        <v>32.393640136718801</v>
      </c>
      <c r="X1081">
        <v>12.1084805879659</v>
      </c>
      <c r="Y1081">
        <v>4.2737175170051698</v>
      </c>
      <c r="Z1081" s="31">
        <v>2.7198443938999901</v>
      </c>
      <c r="AA1081">
        <v>3.9387972961776301</v>
      </c>
      <c r="AB1081">
        <v>0.08</v>
      </c>
      <c r="AC1081">
        <v>349892.784739041</v>
      </c>
      <c r="AD1081">
        <v>395658.76098290761</v>
      </c>
      <c r="AE1081">
        <v>1</v>
      </c>
      <c r="AF1081">
        <v>982.64157260746435</v>
      </c>
      <c r="AG1081">
        <v>21548.237175527171</v>
      </c>
    </row>
    <row r="1082" spans="2:33" hidden="1" x14ac:dyDescent="0.25">
      <c r="B1082">
        <v>19</v>
      </c>
      <c r="C1082" t="s">
        <v>49</v>
      </c>
      <c r="D1082" t="s">
        <v>26</v>
      </c>
      <c r="E1082" t="s">
        <v>67</v>
      </c>
      <c r="F1082">
        <v>118826</v>
      </c>
      <c r="G1082">
        <v>118826</v>
      </c>
      <c r="H1082">
        <v>38</v>
      </c>
      <c r="I1082" s="9">
        <v>0</v>
      </c>
      <c r="J1082">
        <v>0</v>
      </c>
      <c r="K1082">
        <v>199785</v>
      </c>
      <c r="L1082">
        <v>60171</v>
      </c>
      <c r="M1082">
        <v>191600</v>
      </c>
      <c r="N1082">
        <v>14707</v>
      </c>
      <c r="O1082" s="43">
        <v>47459360.896559998</v>
      </c>
      <c r="P1082" s="14">
        <f t="shared" si="50"/>
        <v>23978.896559998393</v>
      </c>
      <c r="Q1082" s="14" t="str">
        <f t="shared" si="48"/>
        <v/>
      </c>
      <c r="R1082" s="14" t="str">
        <f t="shared" si="48"/>
        <v/>
      </c>
      <c r="S1082" s="14" t="str">
        <f t="shared" si="49"/>
        <v/>
      </c>
      <c r="T1082" s="14" t="s">
        <v>72</v>
      </c>
      <c r="U1082" s="14">
        <v>0</v>
      </c>
      <c r="V1082">
        <v>3143</v>
      </c>
      <c r="W1082">
        <v>32.393640136718801</v>
      </c>
      <c r="X1082">
        <v>12.1084805879659</v>
      </c>
      <c r="Y1082">
        <v>4.2737175170051698</v>
      </c>
      <c r="Z1082" s="31">
        <v>2.7198443938999901</v>
      </c>
      <c r="AA1082">
        <v>3.9387972961776301</v>
      </c>
      <c r="AB1082">
        <v>0.08</v>
      </c>
      <c r="AC1082">
        <v>349892.784739041</v>
      </c>
      <c r="AD1082">
        <v>395658.76098290761</v>
      </c>
      <c r="AE1082">
        <v>1</v>
      </c>
      <c r="AF1082">
        <v>982.64157260746435</v>
      </c>
      <c r="AG1082">
        <v>21548.237175527171</v>
      </c>
    </row>
    <row r="1083" spans="2:33" hidden="1" x14ac:dyDescent="0.25">
      <c r="B1083">
        <v>19</v>
      </c>
      <c r="C1083" t="s">
        <v>49</v>
      </c>
      <c r="D1083" t="s">
        <v>26</v>
      </c>
      <c r="E1083" t="s">
        <v>67</v>
      </c>
      <c r="F1083">
        <v>118826</v>
      </c>
      <c r="G1083">
        <v>118826</v>
      </c>
      <c r="H1083">
        <v>39</v>
      </c>
      <c r="I1083" s="9">
        <v>0</v>
      </c>
      <c r="J1083">
        <v>0</v>
      </c>
      <c r="K1083">
        <v>199785</v>
      </c>
      <c r="L1083">
        <v>60171</v>
      </c>
      <c r="M1083">
        <v>191600</v>
      </c>
      <c r="N1083">
        <v>14707</v>
      </c>
      <c r="O1083" s="43">
        <v>47491920</v>
      </c>
      <c r="P1083" s="14">
        <f t="shared" si="50"/>
        <v>32559.103440001607</v>
      </c>
      <c r="Q1083" s="14" t="str">
        <f t="shared" si="48"/>
        <v/>
      </c>
      <c r="R1083" s="14" t="str">
        <f t="shared" si="48"/>
        <v/>
      </c>
      <c r="S1083" s="14" t="str">
        <f t="shared" si="49"/>
        <v/>
      </c>
      <c r="T1083" s="14" t="s">
        <v>72</v>
      </c>
      <c r="U1083" s="14">
        <v>0</v>
      </c>
      <c r="V1083">
        <v>3143</v>
      </c>
      <c r="W1083">
        <v>32.393640136718801</v>
      </c>
      <c r="X1083">
        <v>12.1084805879659</v>
      </c>
      <c r="Y1083">
        <v>4.2737175170051698</v>
      </c>
      <c r="Z1083" s="31">
        <v>2.7198443938999901</v>
      </c>
      <c r="AA1083">
        <v>3.9387972961776301</v>
      </c>
      <c r="AB1083">
        <v>0.08</v>
      </c>
      <c r="AC1083">
        <v>349892.784739041</v>
      </c>
      <c r="AD1083">
        <v>395658.76098290761</v>
      </c>
      <c r="AE1083">
        <v>1</v>
      </c>
      <c r="AF1083">
        <v>982.64157260746435</v>
      </c>
      <c r="AG1083">
        <v>21548.237175527171</v>
      </c>
    </row>
    <row r="1084" spans="2:33" hidden="1" x14ac:dyDescent="0.25">
      <c r="B1084">
        <v>19</v>
      </c>
      <c r="C1084" t="s">
        <v>49</v>
      </c>
      <c r="D1084" t="s">
        <v>26</v>
      </c>
      <c r="E1084" t="s">
        <v>67</v>
      </c>
      <c r="F1084">
        <v>118826</v>
      </c>
      <c r="G1084">
        <v>118826</v>
      </c>
      <c r="H1084">
        <v>40</v>
      </c>
      <c r="I1084" s="9">
        <v>0</v>
      </c>
      <c r="J1084">
        <v>0</v>
      </c>
      <c r="K1084">
        <v>199785</v>
      </c>
      <c r="L1084">
        <v>60171</v>
      </c>
      <c r="M1084">
        <v>191600</v>
      </c>
      <c r="N1084">
        <v>14707</v>
      </c>
      <c r="O1084" s="43">
        <v>47887686</v>
      </c>
      <c r="P1084" s="14">
        <f t="shared" si="50"/>
        <v>395766</v>
      </c>
      <c r="Q1084" s="14" t="str">
        <f t="shared" si="48"/>
        <v/>
      </c>
      <c r="R1084" s="14" t="str">
        <f t="shared" si="48"/>
        <v/>
      </c>
      <c r="S1084" s="14" t="str">
        <f t="shared" si="49"/>
        <v/>
      </c>
      <c r="T1084" s="14" t="s">
        <v>72</v>
      </c>
      <c r="U1084" s="14">
        <v>0</v>
      </c>
      <c r="V1084">
        <v>3143</v>
      </c>
      <c r="W1084">
        <v>32.393640136718801</v>
      </c>
      <c r="X1084">
        <v>12.1084805879659</v>
      </c>
      <c r="Y1084">
        <v>4.2737175170051698</v>
      </c>
      <c r="Z1084" s="31">
        <v>2.7198443938999901</v>
      </c>
      <c r="AA1084">
        <v>3.9387972961776301</v>
      </c>
      <c r="AB1084">
        <v>0.08</v>
      </c>
      <c r="AC1084">
        <v>349892.784739041</v>
      </c>
      <c r="AD1084">
        <v>395658.76098290761</v>
      </c>
      <c r="AE1084">
        <v>1</v>
      </c>
      <c r="AF1084">
        <v>982.64157260746435</v>
      </c>
      <c r="AG1084">
        <v>21548.237175527171</v>
      </c>
    </row>
    <row r="1085" spans="2:33" hidden="1" x14ac:dyDescent="0.25">
      <c r="B1085">
        <v>19</v>
      </c>
      <c r="C1085" t="s">
        <v>49</v>
      </c>
      <c r="D1085" t="s">
        <v>26</v>
      </c>
      <c r="E1085" t="s">
        <v>67</v>
      </c>
      <c r="F1085">
        <v>118826</v>
      </c>
      <c r="G1085">
        <v>118826</v>
      </c>
      <c r="H1085">
        <v>41</v>
      </c>
      <c r="I1085" s="9">
        <v>0</v>
      </c>
      <c r="J1085">
        <v>0</v>
      </c>
      <c r="K1085">
        <v>199785</v>
      </c>
      <c r="L1085">
        <v>60171</v>
      </c>
      <c r="M1085">
        <v>191600</v>
      </c>
      <c r="N1085">
        <v>14707</v>
      </c>
      <c r="O1085" s="43">
        <v>47887686</v>
      </c>
      <c r="P1085" s="14">
        <f t="shared" si="50"/>
        <v>0</v>
      </c>
      <c r="Q1085" s="14" t="str">
        <f t="shared" si="48"/>
        <v/>
      </c>
      <c r="R1085" s="14" t="str">
        <f t="shared" si="48"/>
        <v/>
      </c>
      <c r="S1085" s="14" t="str">
        <f t="shared" si="49"/>
        <v/>
      </c>
      <c r="T1085" s="14" t="s">
        <v>72</v>
      </c>
      <c r="U1085" s="14">
        <v>0</v>
      </c>
      <c r="V1085">
        <v>3143</v>
      </c>
      <c r="W1085">
        <v>32.393640136718801</v>
      </c>
      <c r="X1085">
        <v>12.1084805879659</v>
      </c>
      <c r="Y1085">
        <v>4.2737175170051698</v>
      </c>
      <c r="Z1085" s="31">
        <v>2.7198443938999901</v>
      </c>
      <c r="AA1085">
        <v>3.9387972961776301</v>
      </c>
      <c r="AB1085">
        <v>0.08</v>
      </c>
      <c r="AC1085">
        <v>349892.784739041</v>
      </c>
      <c r="AD1085">
        <v>395658.76098290761</v>
      </c>
      <c r="AE1085">
        <v>1</v>
      </c>
      <c r="AF1085">
        <v>982.64157260746435</v>
      </c>
      <c r="AG1085">
        <v>21548.237175527171</v>
      </c>
    </row>
    <row r="1086" spans="2:33" hidden="1" x14ac:dyDescent="0.25">
      <c r="B1086">
        <v>19</v>
      </c>
      <c r="C1086" t="s">
        <v>49</v>
      </c>
      <c r="D1086" t="s">
        <v>26</v>
      </c>
      <c r="E1086" t="s">
        <v>67</v>
      </c>
      <c r="F1086">
        <v>118826</v>
      </c>
      <c r="G1086">
        <v>118826</v>
      </c>
      <c r="H1086">
        <v>42</v>
      </c>
      <c r="I1086" s="9">
        <v>0</v>
      </c>
      <c r="J1086">
        <v>0</v>
      </c>
      <c r="K1086">
        <v>199785</v>
      </c>
      <c r="L1086">
        <v>60171</v>
      </c>
      <c r="M1086">
        <v>191600</v>
      </c>
      <c r="N1086">
        <v>14707</v>
      </c>
      <c r="O1086" s="43">
        <v>49337320.32</v>
      </c>
      <c r="P1086" s="14">
        <f t="shared" si="50"/>
        <v>1449634.3200000003</v>
      </c>
      <c r="Q1086" s="14" t="str">
        <f t="shared" si="48"/>
        <v/>
      </c>
      <c r="R1086" s="14" t="str">
        <f t="shared" si="48"/>
        <v/>
      </c>
      <c r="S1086" s="14" t="str">
        <f t="shared" si="49"/>
        <v/>
      </c>
      <c r="T1086" s="14" t="s">
        <v>72</v>
      </c>
      <c r="U1086" s="14">
        <v>0</v>
      </c>
      <c r="V1086">
        <v>3143</v>
      </c>
      <c r="W1086">
        <v>32.393640136718801</v>
      </c>
      <c r="X1086">
        <v>12.1084805879659</v>
      </c>
      <c r="Y1086">
        <v>4.2737175170051698</v>
      </c>
      <c r="Z1086" s="31">
        <v>2.7198443938999901</v>
      </c>
      <c r="AA1086">
        <v>3.9387972961776301</v>
      </c>
      <c r="AB1086">
        <v>0.08</v>
      </c>
      <c r="AC1086">
        <v>349892.784739041</v>
      </c>
      <c r="AD1086">
        <v>395658.76098290761</v>
      </c>
      <c r="AE1086">
        <v>1</v>
      </c>
      <c r="AF1086">
        <v>982.64157260746435</v>
      </c>
      <c r="AG1086">
        <v>21548.237175527171</v>
      </c>
    </row>
    <row r="1087" spans="2:33" hidden="1" x14ac:dyDescent="0.25">
      <c r="B1087">
        <v>19</v>
      </c>
      <c r="C1087" t="s">
        <v>49</v>
      </c>
      <c r="D1087" t="s">
        <v>26</v>
      </c>
      <c r="E1087" t="s">
        <v>67</v>
      </c>
      <c r="F1087">
        <v>118826</v>
      </c>
      <c r="G1087">
        <v>118826</v>
      </c>
      <c r="H1087">
        <v>43</v>
      </c>
      <c r="I1087" s="9">
        <v>0</v>
      </c>
      <c r="J1087">
        <v>0</v>
      </c>
      <c r="K1087">
        <v>199785</v>
      </c>
      <c r="L1087">
        <v>60171</v>
      </c>
      <c r="M1087">
        <v>191600</v>
      </c>
      <c r="N1087">
        <v>14707</v>
      </c>
      <c r="O1087" s="43">
        <v>47887686</v>
      </c>
      <c r="P1087" s="14">
        <f t="shared" si="50"/>
        <v>-1449634.3200000003</v>
      </c>
      <c r="Q1087" s="14">
        <f t="shared" si="48"/>
        <v>-1449634.3200000003</v>
      </c>
      <c r="R1087" s="14">
        <f t="shared" si="48"/>
        <v>-1449634.3200000003</v>
      </c>
      <c r="S1087" s="14">
        <f t="shared" si="49"/>
        <v>2101439661721.8633</v>
      </c>
      <c r="T1087" s="14">
        <v>2101439661721.8633</v>
      </c>
      <c r="U1087" s="14">
        <v>0</v>
      </c>
      <c r="V1087">
        <v>3143</v>
      </c>
      <c r="W1087">
        <v>32.393640136718801</v>
      </c>
      <c r="X1087">
        <v>12.1084805879659</v>
      </c>
      <c r="Y1087">
        <v>4.2737175170051698</v>
      </c>
      <c r="Z1087" s="31">
        <v>2.7198443938999901</v>
      </c>
      <c r="AA1087">
        <v>3.9387972961776301</v>
      </c>
      <c r="AB1087">
        <v>0.08</v>
      </c>
      <c r="AC1087">
        <v>349892.784739041</v>
      </c>
      <c r="AD1087">
        <v>395658.76098290761</v>
      </c>
      <c r="AE1087">
        <v>1</v>
      </c>
      <c r="AF1087">
        <v>982.64157260746435</v>
      </c>
      <c r="AG1087">
        <v>21548.237175527171</v>
      </c>
    </row>
    <row r="1088" spans="2:33" hidden="1" x14ac:dyDescent="0.25">
      <c r="B1088">
        <v>19</v>
      </c>
      <c r="C1088" t="s">
        <v>49</v>
      </c>
      <c r="D1088" t="s">
        <v>26</v>
      </c>
      <c r="E1088" t="s">
        <v>67</v>
      </c>
      <c r="F1088">
        <v>118826</v>
      </c>
      <c r="G1088">
        <v>118826</v>
      </c>
      <c r="H1088">
        <v>44</v>
      </c>
      <c r="I1088" s="9">
        <v>0</v>
      </c>
      <c r="J1088">
        <v>0</v>
      </c>
      <c r="K1088">
        <v>199785</v>
      </c>
      <c r="L1088">
        <v>60171</v>
      </c>
      <c r="M1088">
        <v>191600</v>
      </c>
      <c r="N1088">
        <v>14707</v>
      </c>
      <c r="O1088" s="43">
        <v>49719517.200000003</v>
      </c>
      <c r="P1088" s="14">
        <f t="shared" si="50"/>
        <v>1831831.200000003</v>
      </c>
      <c r="Q1088" s="14" t="str">
        <f t="shared" si="48"/>
        <v/>
      </c>
      <c r="R1088" s="14" t="str">
        <f t="shared" si="48"/>
        <v/>
      </c>
      <c r="S1088" s="14" t="str">
        <f t="shared" si="49"/>
        <v/>
      </c>
      <c r="T1088" s="14" t="s">
        <v>72</v>
      </c>
      <c r="U1088" s="14">
        <v>0</v>
      </c>
      <c r="V1088">
        <v>3143</v>
      </c>
      <c r="W1088">
        <v>32.393640136718801</v>
      </c>
      <c r="X1088">
        <v>12.1084805879659</v>
      </c>
      <c r="Y1088">
        <v>4.2737175170051698</v>
      </c>
      <c r="Z1088" s="31">
        <v>2.7198443938999901</v>
      </c>
      <c r="AA1088">
        <v>3.9387972961776301</v>
      </c>
      <c r="AB1088">
        <v>0.08</v>
      </c>
      <c r="AC1088">
        <v>349892.784739041</v>
      </c>
      <c r="AD1088">
        <v>395658.76098290761</v>
      </c>
      <c r="AE1088">
        <v>1</v>
      </c>
      <c r="AF1088">
        <v>982.64157260746435</v>
      </c>
      <c r="AG1088">
        <v>21548.237175527171</v>
      </c>
    </row>
    <row r="1089" spans="2:33" hidden="1" x14ac:dyDescent="0.25">
      <c r="B1089">
        <v>19</v>
      </c>
      <c r="C1089" t="s">
        <v>49</v>
      </c>
      <c r="D1089" t="s">
        <v>26</v>
      </c>
      <c r="E1089" t="s">
        <v>67</v>
      </c>
      <c r="F1089">
        <v>118826</v>
      </c>
      <c r="G1089">
        <v>118826</v>
      </c>
      <c r="H1089">
        <v>45</v>
      </c>
      <c r="I1089" s="9">
        <v>0</v>
      </c>
      <c r="J1089">
        <v>0</v>
      </c>
      <c r="K1089">
        <v>199785</v>
      </c>
      <c r="L1089">
        <v>60171</v>
      </c>
      <c r="M1089">
        <v>191600</v>
      </c>
      <c r="N1089">
        <v>14707</v>
      </c>
      <c r="O1089" s="43">
        <v>49708209.600000001</v>
      </c>
      <c r="P1089" s="14">
        <f t="shared" si="50"/>
        <v>-11307.60000000149</v>
      </c>
      <c r="Q1089" s="14">
        <f t="shared" si="48"/>
        <v>-11307.60000000149</v>
      </c>
      <c r="R1089" s="14">
        <f t="shared" si="48"/>
        <v>-11307.60000000149</v>
      </c>
      <c r="S1089" s="14">
        <f t="shared" si="49"/>
        <v>127861817.7600337</v>
      </c>
      <c r="T1089" s="14">
        <v>127861817.7600337</v>
      </c>
      <c r="U1089" s="14">
        <v>0</v>
      </c>
      <c r="V1089">
        <v>3143</v>
      </c>
      <c r="W1089">
        <v>32.393640136718801</v>
      </c>
      <c r="X1089">
        <v>12.1084805879659</v>
      </c>
      <c r="Y1089">
        <v>4.2737175170051698</v>
      </c>
      <c r="Z1089" s="31">
        <v>2.7198443938999901</v>
      </c>
      <c r="AA1089">
        <v>3.9387972961776301</v>
      </c>
      <c r="AB1089">
        <v>0.08</v>
      </c>
      <c r="AC1089">
        <v>349892.784739041</v>
      </c>
      <c r="AD1089">
        <v>395658.76098290761</v>
      </c>
      <c r="AE1089">
        <v>1</v>
      </c>
      <c r="AF1089">
        <v>982.64157260746435</v>
      </c>
      <c r="AG1089">
        <v>21548.237175527171</v>
      </c>
    </row>
    <row r="1090" spans="2:33" hidden="1" x14ac:dyDescent="0.25">
      <c r="B1090">
        <v>20</v>
      </c>
      <c r="C1090" t="s">
        <v>50</v>
      </c>
      <c r="D1090" t="s">
        <v>26</v>
      </c>
      <c r="E1090" t="s">
        <v>67</v>
      </c>
      <c r="F1090">
        <v>0</v>
      </c>
      <c r="G1090">
        <v>223124</v>
      </c>
      <c r="H1090">
        <v>1</v>
      </c>
      <c r="I1090" s="9">
        <v>0</v>
      </c>
      <c r="J1090">
        <v>0</v>
      </c>
      <c r="K1090">
        <v>691895</v>
      </c>
      <c r="L1090">
        <v>175487</v>
      </c>
      <c r="M1090">
        <v>34911</v>
      </c>
      <c r="N1090">
        <v>27943</v>
      </c>
      <c r="O1090" s="43">
        <v>0</v>
      </c>
      <c r="P1090" s="14">
        <v>0</v>
      </c>
      <c r="Q1090" s="14" t="str">
        <f t="shared" si="48"/>
        <v/>
      </c>
      <c r="R1090" s="14" t="str">
        <f t="shared" si="48"/>
        <v/>
      </c>
      <c r="S1090" s="14" t="str">
        <f t="shared" si="49"/>
        <v/>
      </c>
      <c r="T1090" s="14" t="s">
        <v>72</v>
      </c>
      <c r="U1090" s="14">
        <v>0</v>
      </c>
      <c r="V1090">
        <v>2379</v>
      </c>
      <c r="W1090">
        <v>29.558343505859401</v>
      </c>
      <c r="X1090">
        <v>31.173685366365</v>
      </c>
      <c r="Y1090">
        <v>2.8469492560257801</v>
      </c>
      <c r="Z1090" s="31">
        <v>2.1952747755037798</v>
      </c>
      <c r="AA1090">
        <v>4.5286252565624299</v>
      </c>
      <c r="AB1090">
        <v>7.0000000000000007E-2</v>
      </c>
      <c r="AC1090">
        <v>317917.38548391301</v>
      </c>
      <c r="AD1090">
        <v>359500.97950520879</v>
      </c>
      <c r="AE1090">
        <v>1</v>
      </c>
      <c r="AF1090">
        <v>10575.43902031472</v>
      </c>
      <c r="AG1090">
        <v>22867.08640698314</v>
      </c>
    </row>
    <row r="1091" spans="2:33" hidden="1" x14ac:dyDescent="0.25">
      <c r="B1091">
        <v>20</v>
      </c>
      <c r="C1091" t="s">
        <v>50</v>
      </c>
      <c r="D1091" t="s">
        <v>26</v>
      </c>
      <c r="E1091" t="s">
        <v>67</v>
      </c>
      <c r="F1091">
        <v>70</v>
      </c>
      <c r="G1091">
        <v>223124</v>
      </c>
      <c r="H1091">
        <v>2</v>
      </c>
      <c r="I1091" s="9">
        <v>0</v>
      </c>
      <c r="J1091">
        <v>2.760796687043976E-2</v>
      </c>
      <c r="K1091">
        <v>691895</v>
      </c>
      <c r="L1091">
        <v>175487</v>
      </c>
      <c r="M1091">
        <v>34911</v>
      </c>
      <c r="N1091">
        <v>27943</v>
      </c>
      <c r="O1091" s="43">
        <v>565380</v>
      </c>
      <c r="P1091" s="14">
        <f t="shared" si="50"/>
        <v>565380</v>
      </c>
      <c r="Q1091" s="14" t="str">
        <f t="shared" ref="Q1091:R1154" si="51">IF(P1091&gt;=0,"",P1091)</f>
        <v/>
      </c>
      <c r="R1091" s="14" t="str">
        <f t="shared" si="51"/>
        <v/>
      </c>
      <c r="S1091" s="14" t="str">
        <f t="shared" ref="S1091:S1154" si="52">IFERROR(IF(ISNA(Q1091),NA(),Q1091^2),"")</f>
        <v/>
      </c>
      <c r="T1091" s="14" t="s">
        <v>72</v>
      </c>
      <c r="U1091" s="14">
        <v>0</v>
      </c>
      <c r="V1091">
        <v>2379</v>
      </c>
      <c r="W1091">
        <v>28.713220214843702</v>
      </c>
      <c r="X1091">
        <v>34.287896504670698</v>
      </c>
      <c r="Y1091">
        <v>2.5886969795311199</v>
      </c>
      <c r="Z1091" s="31">
        <v>0.94801014271853401</v>
      </c>
      <c r="AA1091">
        <v>5.2147198123437901</v>
      </c>
      <c r="AB1091">
        <v>7.0000000000000007E-2</v>
      </c>
      <c r="AC1091">
        <v>317917.38548391301</v>
      </c>
      <c r="AD1091">
        <v>359500.97950520879</v>
      </c>
      <c r="AE1091">
        <v>1</v>
      </c>
      <c r="AF1091">
        <v>10575.43902031472</v>
      </c>
      <c r="AG1091">
        <v>22867.08640698314</v>
      </c>
    </row>
    <row r="1092" spans="2:33" hidden="1" x14ac:dyDescent="0.25">
      <c r="B1092">
        <v>20</v>
      </c>
      <c r="C1092" t="s">
        <v>50</v>
      </c>
      <c r="D1092" t="s">
        <v>26</v>
      </c>
      <c r="E1092" t="s">
        <v>67</v>
      </c>
      <c r="F1092">
        <v>1800</v>
      </c>
      <c r="G1092">
        <v>223124</v>
      </c>
      <c r="H1092">
        <v>3</v>
      </c>
      <c r="I1092" s="9">
        <v>0</v>
      </c>
      <c r="J1092">
        <v>0.68231118122658252</v>
      </c>
      <c r="K1092">
        <v>691895</v>
      </c>
      <c r="L1092">
        <v>175487</v>
      </c>
      <c r="M1092">
        <v>34911</v>
      </c>
      <c r="N1092">
        <v>27943</v>
      </c>
      <c r="O1092" s="43">
        <v>565380</v>
      </c>
      <c r="P1092" s="14">
        <f t="shared" ref="P1092:P1155" si="53">O1092-O1091</f>
        <v>0</v>
      </c>
      <c r="Q1092" s="14" t="str">
        <f t="shared" si="51"/>
        <v/>
      </c>
      <c r="R1092" s="14" t="str">
        <f t="shared" si="51"/>
        <v/>
      </c>
      <c r="S1092" s="14" t="str">
        <f t="shared" si="52"/>
        <v/>
      </c>
      <c r="T1092" s="14" t="s">
        <v>72</v>
      </c>
      <c r="U1092" s="14">
        <v>0</v>
      </c>
      <c r="V1092">
        <v>2379</v>
      </c>
      <c r="W1092">
        <v>31.906335449218801</v>
      </c>
      <c r="X1092">
        <v>18.713653619987401</v>
      </c>
      <c r="Y1092">
        <v>3.84480853895688</v>
      </c>
      <c r="Z1092" s="31">
        <v>2.08008024709217</v>
      </c>
      <c r="AA1092">
        <v>2.1472071945079798</v>
      </c>
      <c r="AB1092">
        <v>7.0000000000000007E-2</v>
      </c>
      <c r="AC1092">
        <v>317917.38548391301</v>
      </c>
      <c r="AD1092">
        <v>359500.97950520879</v>
      </c>
      <c r="AE1092">
        <v>1</v>
      </c>
      <c r="AF1092">
        <v>10575.43902031472</v>
      </c>
      <c r="AG1092">
        <v>22867.08640698314</v>
      </c>
    </row>
    <row r="1093" spans="2:33" hidden="1" x14ac:dyDescent="0.25">
      <c r="B1093">
        <v>20</v>
      </c>
      <c r="C1093" t="s">
        <v>50</v>
      </c>
      <c r="D1093" t="s">
        <v>26</v>
      </c>
      <c r="E1093" t="s">
        <v>67</v>
      </c>
      <c r="F1093">
        <v>4800</v>
      </c>
      <c r="G1093">
        <v>223124</v>
      </c>
      <c r="H1093">
        <v>4</v>
      </c>
      <c r="I1093">
        <v>0</v>
      </c>
      <c r="J1093">
        <v>1.183198580161704</v>
      </c>
      <c r="K1093">
        <v>691895</v>
      </c>
      <c r="L1093">
        <v>175487</v>
      </c>
      <c r="M1093">
        <v>34911</v>
      </c>
      <c r="N1093">
        <v>27943</v>
      </c>
      <c r="O1093" s="43">
        <v>1696140</v>
      </c>
      <c r="P1093" s="14">
        <f t="shared" si="53"/>
        <v>1130760</v>
      </c>
      <c r="Q1093" s="14" t="str">
        <f t="shared" si="51"/>
        <v/>
      </c>
      <c r="R1093" s="14" t="str">
        <f t="shared" si="51"/>
        <v/>
      </c>
      <c r="S1093" s="14" t="str">
        <f t="shared" si="52"/>
        <v/>
      </c>
      <c r="T1093" s="14" t="s">
        <v>72</v>
      </c>
      <c r="U1093" s="14">
        <v>0</v>
      </c>
      <c r="V1093">
        <v>2379</v>
      </c>
      <c r="W1093">
        <v>30.396386718750001</v>
      </c>
      <c r="X1093">
        <v>25.130008574277699</v>
      </c>
      <c r="Y1093">
        <v>3.24973368988727</v>
      </c>
      <c r="Z1093" s="31">
        <v>1.51405722796614</v>
      </c>
      <c r="AA1093">
        <v>4.3885202813768904</v>
      </c>
      <c r="AB1093">
        <v>7.0000000000000007E-2</v>
      </c>
      <c r="AC1093">
        <v>317917.38548391301</v>
      </c>
      <c r="AD1093">
        <v>359500.97950520879</v>
      </c>
      <c r="AE1093">
        <v>1</v>
      </c>
      <c r="AF1093">
        <v>10575.43902031472</v>
      </c>
      <c r="AG1093">
        <v>22867.08640698314</v>
      </c>
    </row>
    <row r="1094" spans="2:33" hidden="1" x14ac:dyDescent="0.25">
      <c r="B1094">
        <v>20</v>
      </c>
      <c r="C1094" t="s">
        <v>50</v>
      </c>
      <c r="D1094" t="s">
        <v>26</v>
      </c>
      <c r="E1094" t="s">
        <v>67</v>
      </c>
      <c r="F1094">
        <v>9000</v>
      </c>
      <c r="G1094">
        <v>223124</v>
      </c>
      <c r="H1094">
        <v>5</v>
      </c>
      <c r="I1094">
        <v>70</v>
      </c>
      <c r="J1094">
        <v>1.6564780122263849</v>
      </c>
      <c r="K1094">
        <v>691895</v>
      </c>
      <c r="L1094">
        <v>175487</v>
      </c>
      <c r="M1094">
        <v>34911</v>
      </c>
      <c r="N1094">
        <v>27943</v>
      </c>
      <c r="O1094" s="43">
        <v>1696140</v>
      </c>
      <c r="P1094" s="14">
        <f t="shared" si="53"/>
        <v>0</v>
      </c>
      <c r="Q1094" s="14" t="str">
        <f t="shared" si="51"/>
        <v/>
      </c>
      <c r="R1094" s="14" t="str">
        <f t="shared" si="51"/>
        <v/>
      </c>
      <c r="S1094" s="14" t="str">
        <f t="shared" si="52"/>
        <v/>
      </c>
      <c r="T1094" s="14" t="s">
        <v>72</v>
      </c>
      <c r="U1094" s="14">
        <v>0</v>
      </c>
      <c r="V1094">
        <v>2379</v>
      </c>
      <c r="W1094">
        <v>30.837121582031301</v>
      </c>
      <c r="X1094">
        <v>21.8465007962911</v>
      </c>
      <c r="Y1094">
        <v>3.47886970971045</v>
      </c>
      <c r="Z1094" s="31">
        <v>1.17500701233871</v>
      </c>
      <c r="AA1094">
        <v>5.6399255387650999</v>
      </c>
      <c r="AB1094">
        <v>7.0000000000000007E-2</v>
      </c>
      <c r="AC1094">
        <v>317917.38548391301</v>
      </c>
      <c r="AD1094">
        <v>359500.97950520879</v>
      </c>
      <c r="AE1094">
        <v>1</v>
      </c>
      <c r="AF1094">
        <v>10575.43902031472</v>
      </c>
      <c r="AG1094">
        <v>22867.08640698314</v>
      </c>
    </row>
    <row r="1095" spans="2:33" hidden="1" x14ac:dyDescent="0.25">
      <c r="B1095">
        <v>20</v>
      </c>
      <c r="C1095" t="s">
        <v>50</v>
      </c>
      <c r="D1095" t="s">
        <v>26</v>
      </c>
      <c r="E1095" t="s">
        <v>67</v>
      </c>
      <c r="F1095">
        <v>17622</v>
      </c>
      <c r="G1095">
        <v>223124</v>
      </c>
      <c r="H1095">
        <v>6</v>
      </c>
      <c r="I1095">
        <v>1730</v>
      </c>
      <c r="J1095">
        <v>3.4005127193847371</v>
      </c>
      <c r="K1095">
        <v>691895</v>
      </c>
      <c r="L1095">
        <v>175487</v>
      </c>
      <c r="M1095">
        <v>34911</v>
      </c>
      <c r="N1095">
        <v>27943</v>
      </c>
      <c r="O1095" s="43">
        <v>2148444</v>
      </c>
      <c r="P1095" s="14">
        <f t="shared" si="53"/>
        <v>452304</v>
      </c>
      <c r="Q1095" s="14" t="str">
        <f t="shared" si="51"/>
        <v/>
      </c>
      <c r="R1095" s="14" t="str">
        <f t="shared" si="51"/>
        <v/>
      </c>
      <c r="S1095" s="14" t="str">
        <f t="shared" si="52"/>
        <v/>
      </c>
      <c r="T1095" s="14" t="s">
        <v>72</v>
      </c>
      <c r="U1095" s="14">
        <v>261.44739884393061</v>
      </c>
      <c r="V1095">
        <v>2379</v>
      </c>
      <c r="W1095">
        <v>31.864709472656301</v>
      </c>
      <c r="X1095">
        <v>17.236376044289401</v>
      </c>
      <c r="Y1095">
        <v>3.9056296362982801</v>
      </c>
      <c r="Z1095" s="31">
        <v>1.8579961421608699</v>
      </c>
      <c r="AA1095">
        <v>4.3080991219687101</v>
      </c>
      <c r="AB1095">
        <v>7.0000000000000007E-2</v>
      </c>
      <c r="AC1095">
        <v>317917.38548391301</v>
      </c>
      <c r="AD1095">
        <v>359500.97950520879</v>
      </c>
      <c r="AE1095">
        <v>1</v>
      </c>
      <c r="AF1095">
        <v>10575.43902031472</v>
      </c>
      <c r="AG1095">
        <v>22867.08640698314</v>
      </c>
    </row>
    <row r="1096" spans="2:33" hidden="1" x14ac:dyDescent="0.25">
      <c r="B1096">
        <v>20</v>
      </c>
      <c r="C1096" t="s">
        <v>50</v>
      </c>
      <c r="D1096" t="s">
        <v>26</v>
      </c>
      <c r="E1096" t="s">
        <v>67</v>
      </c>
      <c r="F1096">
        <v>24719</v>
      </c>
      <c r="G1096">
        <v>223124</v>
      </c>
      <c r="H1096">
        <v>7</v>
      </c>
      <c r="I1096">
        <v>3000</v>
      </c>
      <c r="J1096">
        <v>2.7990534411358712</v>
      </c>
      <c r="K1096">
        <v>691895</v>
      </c>
      <c r="L1096">
        <v>175487</v>
      </c>
      <c r="M1096">
        <v>34911</v>
      </c>
      <c r="N1096">
        <v>27943</v>
      </c>
      <c r="O1096" s="43">
        <v>3392280</v>
      </c>
      <c r="P1096" s="14">
        <f t="shared" si="53"/>
        <v>1243836</v>
      </c>
      <c r="Q1096" s="14" t="str">
        <f t="shared" si="51"/>
        <v/>
      </c>
      <c r="R1096" s="14" t="str">
        <f t="shared" si="51"/>
        <v/>
      </c>
      <c r="S1096" s="14" t="str">
        <f t="shared" si="52"/>
        <v/>
      </c>
      <c r="T1096" s="14" t="s">
        <v>72</v>
      </c>
      <c r="U1096" s="14">
        <v>414.61200000000002</v>
      </c>
      <c r="V1096">
        <v>2379</v>
      </c>
      <c r="W1096">
        <v>30.789208984375001</v>
      </c>
      <c r="X1096">
        <v>19.333873033547899</v>
      </c>
      <c r="Y1096">
        <v>3.5811450161758098</v>
      </c>
      <c r="Z1096" s="31">
        <v>2.1342883333400202</v>
      </c>
      <c r="AA1096">
        <v>4.1785466612511701</v>
      </c>
      <c r="AB1096">
        <v>7.0000000000000007E-2</v>
      </c>
      <c r="AC1096">
        <v>317917.38548391301</v>
      </c>
      <c r="AD1096">
        <v>359500.97950520879</v>
      </c>
      <c r="AE1096">
        <v>1</v>
      </c>
      <c r="AF1096">
        <v>10575.43902031472</v>
      </c>
      <c r="AG1096">
        <v>22867.08640698314</v>
      </c>
    </row>
    <row r="1097" spans="2:33" hidden="1" x14ac:dyDescent="0.25">
      <c r="B1097">
        <v>20</v>
      </c>
      <c r="C1097" t="s">
        <v>50</v>
      </c>
      <c r="D1097" t="s">
        <v>26</v>
      </c>
      <c r="E1097" t="s">
        <v>67</v>
      </c>
      <c r="F1097">
        <v>36015</v>
      </c>
      <c r="G1097">
        <v>223124</v>
      </c>
      <c r="H1097">
        <v>8</v>
      </c>
      <c r="I1097">
        <v>4200</v>
      </c>
      <c r="J1097">
        <v>4.4551370538355357</v>
      </c>
      <c r="K1097">
        <v>691895</v>
      </c>
      <c r="L1097">
        <v>175487</v>
      </c>
      <c r="M1097">
        <v>34911</v>
      </c>
      <c r="N1097">
        <v>27943</v>
      </c>
      <c r="O1097" s="43">
        <v>4523040</v>
      </c>
      <c r="P1097" s="14">
        <f t="shared" si="53"/>
        <v>1130760</v>
      </c>
      <c r="Q1097" s="14" t="str">
        <f t="shared" si="51"/>
        <v/>
      </c>
      <c r="R1097" s="14" t="str">
        <f t="shared" si="51"/>
        <v/>
      </c>
      <c r="S1097" s="14" t="str">
        <f t="shared" si="52"/>
        <v/>
      </c>
      <c r="T1097" s="14" t="s">
        <v>72</v>
      </c>
      <c r="U1097" s="14">
        <v>269.22857142857146</v>
      </c>
      <c r="V1097">
        <v>2379</v>
      </c>
      <c r="W1097">
        <v>23.950036621093702</v>
      </c>
      <c r="X1097">
        <v>37.957455318312</v>
      </c>
      <c r="Y1097">
        <v>1.84629045320973</v>
      </c>
      <c r="Z1097" s="31">
        <v>2.8440582599070998</v>
      </c>
      <c r="AA1097">
        <v>5.4300191937904696</v>
      </c>
      <c r="AB1097">
        <v>7.0000000000000007E-2</v>
      </c>
      <c r="AC1097">
        <v>317917.38548391301</v>
      </c>
      <c r="AD1097">
        <v>359500.97950520879</v>
      </c>
      <c r="AE1097">
        <v>1</v>
      </c>
      <c r="AF1097">
        <v>10575.43902031472</v>
      </c>
      <c r="AG1097">
        <v>22867.08640698314</v>
      </c>
    </row>
    <row r="1098" spans="2:33" hidden="1" x14ac:dyDescent="0.25">
      <c r="B1098">
        <v>20</v>
      </c>
      <c r="C1098" t="s">
        <v>50</v>
      </c>
      <c r="D1098" t="s">
        <v>26</v>
      </c>
      <c r="E1098" t="s">
        <v>67</v>
      </c>
      <c r="F1098">
        <v>44317</v>
      </c>
      <c r="G1098">
        <v>223124</v>
      </c>
      <c r="H1098">
        <v>9</v>
      </c>
      <c r="I1098">
        <v>8622</v>
      </c>
      <c r="J1098">
        <v>3.2743048708341549</v>
      </c>
      <c r="K1098">
        <v>691895</v>
      </c>
      <c r="L1098">
        <v>175487</v>
      </c>
      <c r="M1098">
        <v>34911</v>
      </c>
      <c r="N1098">
        <v>27943</v>
      </c>
      <c r="O1098" s="43">
        <v>5879952</v>
      </c>
      <c r="P1098" s="14">
        <f t="shared" si="53"/>
        <v>1356912</v>
      </c>
      <c r="Q1098" s="14" t="str">
        <f t="shared" si="51"/>
        <v/>
      </c>
      <c r="R1098" s="14" t="str">
        <f t="shared" si="51"/>
        <v/>
      </c>
      <c r="S1098" s="14" t="str">
        <f t="shared" si="52"/>
        <v/>
      </c>
      <c r="T1098" s="14" t="s">
        <v>72</v>
      </c>
      <c r="U1098" s="14">
        <v>157.37787056367432</v>
      </c>
      <c r="V1098">
        <v>2379</v>
      </c>
      <c r="W1098">
        <v>29.551232910156301</v>
      </c>
      <c r="X1098">
        <v>21.515118933109001</v>
      </c>
      <c r="Y1098">
        <v>3.24586769929717</v>
      </c>
      <c r="Z1098" s="31">
        <v>2.3000043520136302</v>
      </c>
      <c r="AA1098">
        <v>2.01838013425317</v>
      </c>
      <c r="AB1098">
        <v>7.0000000000000007E-2</v>
      </c>
      <c r="AC1098">
        <v>317917.38548391301</v>
      </c>
      <c r="AD1098">
        <v>359500.97950520879</v>
      </c>
      <c r="AE1098">
        <v>1</v>
      </c>
      <c r="AF1098">
        <v>10575.43902031472</v>
      </c>
      <c r="AG1098">
        <v>22867.08640698314</v>
      </c>
    </row>
    <row r="1099" spans="2:33" hidden="1" x14ac:dyDescent="0.25">
      <c r="B1099">
        <v>20</v>
      </c>
      <c r="C1099" t="s">
        <v>50</v>
      </c>
      <c r="D1099" t="s">
        <v>26</v>
      </c>
      <c r="E1099" t="s">
        <v>67</v>
      </c>
      <c r="F1099">
        <v>50487</v>
      </c>
      <c r="G1099">
        <v>223124</v>
      </c>
      <c r="H1099">
        <v>10</v>
      </c>
      <c r="I1099">
        <v>7097</v>
      </c>
      <c r="J1099">
        <v>2.433445079865904</v>
      </c>
      <c r="K1099">
        <v>691895</v>
      </c>
      <c r="L1099">
        <v>175487</v>
      </c>
      <c r="M1099">
        <v>34911</v>
      </c>
      <c r="N1099">
        <v>27943</v>
      </c>
      <c r="O1099" s="43">
        <v>6784560</v>
      </c>
      <c r="P1099" s="14">
        <f t="shared" si="53"/>
        <v>904608</v>
      </c>
      <c r="Q1099" s="14" t="str">
        <f t="shared" si="51"/>
        <v/>
      </c>
      <c r="R1099" s="14" t="str">
        <f t="shared" si="51"/>
        <v/>
      </c>
      <c r="S1099" s="14" t="str">
        <f t="shared" si="52"/>
        <v/>
      </c>
      <c r="T1099" s="14" t="s">
        <v>72</v>
      </c>
      <c r="U1099" s="14">
        <v>127.46343525433282</v>
      </c>
      <c r="V1099">
        <v>2379</v>
      </c>
      <c r="W1099">
        <v>29.394677734375001</v>
      </c>
      <c r="X1099">
        <v>28.148032473295899</v>
      </c>
      <c r="Y1099">
        <v>2.94447516506929</v>
      </c>
      <c r="Z1099" s="31">
        <v>2.7513471433094598</v>
      </c>
      <c r="AA1099">
        <v>2.5484936421622901</v>
      </c>
      <c r="AB1099">
        <v>7.0000000000000007E-2</v>
      </c>
      <c r="AC1099">
        <v>317917.38548391301</v>
      </c>
      <c r="AD1099">
        <v>359500.97950520879</v>
      </c>
      <c r="AE1099">
        <v>1</v>
      </c>
      <c r="AF1099">
        <v>10575.43902031472</v>
      </c>
      <c r="AG1099">
        <v>22867.08640698314</v>
      </c>
    </row>
    <row r="1100" spans="2:33" hidden="1" x14ac:dyDescent="0.25">
      <c r="B1100">
        <v>20</v>
      </c>
      <c r="C1100" t="s">
        <v>50</v>
      </c>
      <c r="D1100" t="s">
        <v>26</v>
      </c>
      <c r="E1100" t="s">
        <v>67</v>
      </c>
      <c r="F1100">
        <v>52987</v>
      </c>
      <c r="G1100">
        <v>223124</v>
      </c>
      <c r="H1100">
        <v>11</v>
      </c>
      <c r="I1100">
        <v>11296</v>
      </c>
      <c r="J1100">
        <v>0.98599881680141988</v>
      </c>
      <c r="K1100">
        <v>691895</v>
      </c>
      <c r="L1100">
        <v>175487</v>
      </c>
      <c r="M1100">
        <v>34911</v>
      </c>
      <c r="N1100">
        <v>27943</v>
      </c>
      <c r="O1100" s="43">
        <v>8254548</v>
      </c>
      <c r="P1100" s="14">
        <f t="shared" si="53"/>
        <v>1469988</v>
      </c>
      <c r="Q1100" s="14" t="str">
        <f t="shared" si="51"/>
        <v/>
      </c>
      <c r="R1100" s="14" t="str">
        <f t="shared" si="51"/>
        <v/>
      </c>
      <c r="S1100" s="14" t="str">
        <f t="shared" si="52"/>
        <v/>
      </c>
      <c r="T1100" s="14" t="s">
        <v>72</v>
      </c>
      <c r="U1100" s="14">
        <v>130.13349858356941</v>
      </c>
      <c r="V1100">
        <v>2379</v>
      </c>
      <c r="W1100">
        <v>29.819238281250001</v>
      </c>
      <c r="X1100">
        <v>27.4407534073768</v>
      </c>
      <c r="Y1100">
        <v>3.0469263926438899</v>
      </c>
      <c r="Z1100" s="31">
        <v>2.0151066476862698</v>
      </c>
      <c r="AA1100">
        <v>4.0538529406450996</v>
      </c>
      <c r="AB1100">
        <v>7.0000000000000007E-2</v>
      </c>
      <c r="AC1100">
        <v>317917.38548391301</v>
      </c>
      <c r="AD1100">
        <v>359500.97950520879</v>
      </c>
      <c r="AE1100">
        <v>1</v>
      </c>
      <c r="AF1100">
        <v>10575.43902031472</v>
      </c>
      <c r="AG1100">
        <v>22867.08640698314</v>
      </c>
    </row>
    <row r="1101" spans="2:33" hidden="1" x14ac:dyDescent="0.25">
      <c r="B1101">
        <v>20</v>
      </c>
      <c r="C1101" t="s">
        <v>50</v>
      </c>
      <c r="D1101" t="s">
        <v>26</v>
      </c>
      <c r="E1101" t="s">
        <v>67</v>
      </c>
      <c r="F1101">
        <v>58836</v>
      </c>
      <c r="G1101">
        <v>223124</v>
      </c>
      <c r="H1101">
        <v>12</v>
      </c>
      <c r="I1101">
        <v>8302</v>
      </c>
      <c r="J1101">
        <v>2.3068428317886021</v>
      </c>
      <c r="K1101">
        <v>691895</v>
      </c>
      <c r="L1101">
        <v>175487</v>
      </c>
      <c r="M1101">
        <v>34911</v>
      </c>
      <c r="N1101">
        <v>27943</v>
      </c>
      <c r="O1101" s="43">
        <v>10063764</v>
      </c>
      <c r="P1101" s="14">
        <f t="shared" si="53"/>
        <v>1809216</v>
      </c>
      <c r="Q1101" s="14" t="str">
        <f t="shared" si="51"/>
        <v/>
      </c>
      <c r="R1101" s="14" t="str">
        <f t="shared" si="51"/>
        <v/>
      </c>
      <c r="S1101" s="14" t="str">
        <f t="shared" si="52"/>
        <v/>
      </c>
      <c r="T1101" s="14" t="s">
        <v>72</v>
      </c>
      <c r="U1101" s="14">
        <v>217.92531920019272</v>
      </c>
      <c r="V1101">
        <v>2379</v>
      </c>
      <c r="W1101">
        <v>32.019616699218801</v>
      </c>
      <c r="X1101">
        <v>20.925242120842</v>
      </c>
      <c r="Y1101">
        <v>3.7639870377464599</v>
      </c>
      <c r="Z1101" s="31">
        <v>0.84700962120356105</v>
      </c>
      <c r="AA1101">
        <v>3.2869125804255201</v>
      </c>
      <c r="AB1101">
        <v>7.0000000000000007E-2</v>
      </c>
      <c r="AC1101">
        <v>317917.38548391301</v>
      </c>
      <c r="AD1101">
        <v>359500.97950520879</v>
      </c>
      <c r="AE1101">
        <v>1</v>
      </c>
      <c r="AF1101">
        <v>10575.43902031472</v>
      </c>
      <c r="AG1101">
        <v>22867.08640698314</v>
      </c>
    </row>
    <row r="1102" spans="2:33" hidden="1" x14ac:dyDescent="0.25">
      <c r="B1102">
        <v>20</v>
      </c>
      <c r="C1102" t="s">
        <v>50</v>
      </c>
      <c r="D1102" t="s">
        <v>26</v>
      </c>
      <c r="E1102" t="s">
        <v>67</v>
      </c>
      <c r="F1102">
        <v>62490</v>
      </c>
      <c r="G1102">
        <v>223124</v>
      </c>
      <c r="H1102">
        <v>13</v>
      </c>
      <c r="I1102">
        <v>6170</v>
      </c>
      <c r="J1102">
        <v>1.441135870636955</v>
      </c>
      <c r="K1102">
        <v>691895</v>
      </c>
      <c r="L1102">
        <v>175487</v>
      </c>
      <c r="M1102">
        <v>34911</v>
      </c>
      <c r="N1102">
        <v>27943</v>
      </c>
      <c r="O1102" s="43">
        <v>11872980</v>
      </c>
      <c r="P1102" s="14">
        <f t="shared" si="53"/>
        <v>1809216</v>
      </c>
      <c r="Q1102" s="14" t="str">
        <f t="shared" si="51"/>
        <v/>
      </c>
      <c r="R1102" s="14" t="str">
        <f t="shared" si="51"/>
        <v/>
      </c>
      <c r="S1102" s="14" t="str">
        <f t="shared" si="52"/>
        <v/>
      </c>
      <c r="T1102" s="14" t="s">
        <v>72</v>
      </c>
      <c r="U1102" s="14">
        <v>293.22787682333876</v>
      </c>
      <c r="V1102">
        <v>2379</v>
      </c>
      <c r="W1102">
        <v>34.253869628906301</v>
      </c>
      <c r="X1102">
        <v>16.914582111938302</v>
      </c>
      <c r="Y1102">
        <v>4.4822716606448498</v>
      </c>
      <c r="Z1102" s="31">
        <v>1.1997301383193899</v>
      </c>
      <c r="AA1102">
        <v>3.7414191950622202</v>
      </c>
      <c r="AB1102">
        <v>7.0000000000000007E-2</v>
      </c>
      <c r="AC1102">
        <v>317917.38548391301</v>
      </c>
      <c r="AD1102">
        <v>359500.97950520879</v>
      </c>
      <c r="AE1102">
        <v>1</v>
      </c>
      <c r="AF1102">
        <v>10575.43902031472</v>
      </c>
      <c r="AG1102">
        <v>22867.08640698314</v>
      </c>
    </row>
    <row r="1103" spans="2:33" hidden="1" x14ac:dyDescent="0.25">
      <c r="B1103">
        <v>20</v>
      </c>
      <c r="C1103" t="s">
        <v>50</v>
      </c>
      <c r="D1103" t="s">
        <v>26</v>
      </c>
      <c r="E1103" t="s">
        <v>67</v>
      </c>
      <c r="F1103">
        <v>71865</v>
      </c>
      <c r="G1103">
        <v>223124</v>
      </c>
      <c r="H1103">
        <v>14</v>
      </c>
      <c r="I1103">
        <v>2500</v>
      </c>
      <c r="J1103">
        <v>3.697495563005325</v>
      </c>
      <c r="K1103">
        <v>691895</v>
      </c>
      <c r="L1103">
        <v>175487</v>
      </c>
      <c r="M1103">
        <v>34911</v>
      </c>
      <c r="N1103">
        <v>27943</v>
      </c>
      <c r="O1103" s="43">
        <v>13569120</v>
      </c>
      <c r="P1103" s="14">
        <f t="shared" si="53"/>
        <v>1696140</v>
      </c>
      <c r="Q1103" s="14" t="str">
        <f t="shared" si="51"/>
        <v/>
      </c>
      <c r="R1103" s="14" t="str">
        <f t="shared" si="51"/>
        <v/>
      </c>
      <c r="S1103" s="14" t="str">
        <f t="shared" si="52"/>
        <v/>
      </c>
      <c r="T1103" s="14" t="s">
        <v>72</v>
      </c>
      <c r="U1103" s="14">
        <v>678.45600000000002</v>
      </c>
      <c r="V1103">
        <v>2379</v>
      </c>
      <c r="W1103">
        <v>32.138696289062501</v>
      </c>
      <c r="X1103">
        <v>20.3384403255662</v>
      </c>
      <c r="Y1103">
        <v>3.8175358921999099</v>
      </c>
      <c r="Z1103" s="31">
        <v>2.5876754608317101</v>
      </c>
      <c r="AA1103">
        <v>2.2413296525239401</v>
      </c>
      <c r="AB1103">
        <v>7.0000000000000007E-2</v>
      </c>
      <c r="AC1103">
        <v>317917.38548391301</v>
      </c>
      <c r="AD1103">
        <v>359500.97950520879</v>
      </c>
      <c r="AE1103">
        <v>1</v>
      </c>
      <c r="AF1103">
        <v>10575.43902031472</v>
      </c>
      <c r="AG1103">
        <v>22867.08640698314</v>
      </c>
    </row>
    <row r="1104" spans="2:33" hidden="1" x14ac:dyDescent="0.25">
      <c r="B1104">
        <v>20</v>
      </c>
      <c r="C1104" t="s">
        <v>50</v>
      </c>
      <c r="D1104" t="s">
        <v>26</v>
      </c>
      <c r="E1104" t="s">
        <v>67</v>
      </c>
      <c r="F1104">
        <v>74759</v>
      </c>
      <c r="G1104">
        <v>223124</v>
      </c>
      <c r="H1104">
        <v>15</v>
      </c>
      <c r="I1104">
        <v>5849</v>
      </c>
      <c r="J1104">
        <v>1.141392230329324</v>
      </c>
      <c r="K1104">
        <v>691895</v>
      </c>
      <c r="L1104">
        <v>175487</v>
      </c>
      <c r="M1104">
        <v>34911</v>
      </c>
      <c r="N1104">
        <v>27943</v>
      </c>
      <c r="O1104" s="43">
        <v>15265260</v>
      </c>
      <c r="P1104" s="14">
        <f t="shared" si="53"/>
        <v>1696140</v>
      </c>
      <c r="Q1104" s="14" t="str">
        <f t="shared" si="51"/>
        <v/>
      </c>
      <c r="R1104" s="14" t="str">
        <f t="shared" si="51"/>
        <v/>
      </c>
      <c r="S1104" s="14" t="str">
        <f t="shared" si="52"/>
        <v/>
      </c>
      <c r="T1104" s="14" t="s">
        <v>72</v>
      </c>
      <c r="U1104" s="14">
        <v>289.98803214224654</v>
      </c>
      <c r="V1104">
        <v>2379</v>
      </c>
      <c r="W1104">
        <v>30.160363769531301</v>
      </c>
      <c r="X1104">
        <v>28.6077829470761</v>
      </c>
      <c r="Y1104">
        <v>3.05699210319561</v>
      </c>
      <c r="Z1104" s="31">
        <v>2.3989403273112102</v>
      </c>
      <c r="AA1104">
        <v>3.4571412438402298</v>
      </c>
      <c r="AB1104">
        <v>7.0000000000000007E-2</v>
      </c>
      <c r="AC1104">
        <v>317917.38548391301</v>
      </c>
      <c r="AD1104">
        <v>359500.97950520879</v>
      </c>
      <c r="AE1104">
        <v>1</v>
      </c>
      <c r="AF1104">
        <v>10575.43902031472</v>
      </c>
      <c r="AG1104">
        <v>22867.08640698314</v>
      </c>
    </row>
    <row r="1105" spans="2:33" hidden="1" x14ac:dyDescent="0.25">
      <c r="B1105">
        <v>20</v>
      </c>
      <c r="C1105" t="s">
        <v>50</v>
      </c>
      <c r="D1105" t="s">
        <v>26</v>
      </c>
      <c r="E1105" t="s">
        <v>67</v>
      </c>
      <c r="F1105">
        <v>80320</v>
      </c>
      <c r="G1105">
        <v>223124</v>
      </c>
      <c r="H1105">
        <v>16</v>
      </c>
      <c r="I1105">
        <v>3654</v>
      </c>
      <c r="J1105">
        <v>2.1932557680930791</v>
      </c>
      <c r="K1105">
        <v>691895</v>
      </c>
      <c r="L1105">
        <v>175487</v>
      </c>
      <c r="M1105">
        <v>34911</v>
      </c>
      <c r="N1105">
        <v>27943</v>
      </c>
      <c r="O1105" s="43">
        <v>16961400</v>
      </c>
      <c r="P1105" s="14">
        <f t="shared" si="53"/>
        <v>1696140</v>
      </c>
      <c r="Q1105" s="14" t="str">
        <f t="shared" si="51"/>
        <v/>
      </c>
      <c r="R1105" s="14" t="str">
        <f t="shared" si="51"/>
        <v/>
      </c>
      <c r="S1105" s="14" t="str">
        <f t="shared" si="52"/>
        <v/>
      </c>
      <c r="T1105" s="14" t="s">
        <v>72</v>
      </c>
      <c r="U1105" s="14">
        <v>464.18719211822662</v>
      </c>
      <c r="V1105">
        <v>2379</v>
      </c>
      <c r="W1105">
        <v>31.170678710937501</v>
      </c>
      <c r="X1105">
        <v>26.061055808527001</v>
      </c>
      <c r="Y1105">
        <v>3.35392656891212</v>
      </c>
      <c r="Z1105" s="31">
        <v>2.2561622715591101</v>
      </c>
      <c r="AA1105">
        <v>4.2402363951604398</v>
      </c>
      <c r="AB1105">
        <v>7.0000000000000007E-2</v>
      </c>
      <c r="AC1105">
        <v>317917.38548391301</v>
      </c>
      <c r="AD1105">
        <v>359500.97950520879</v>
      </c>
      <c r="AE1105">
        <v>1</v>
      </c>
      <c r="AF1105">
        <v>10575.43902031472</v>
      </c>
      <c r="AG1105">
        <v>22867.08640698314</v>
      </c>
    </row>
    <row r="1106" spans="2:33" hidden="1" x14ac:dyDescent="0.25">
      <c r="B1106">
        <v>20</v>
      </c>
      <c r="C1106" t="s">
        <v>50</v>
      </c>
      <c r="D1106" t="s">
        <v>26</v>
      </c>
      <c r="E1106" t="s">
        <v>67</v>
      </c>
      <c r="F1106">
        <v>85396</v>
      </c>
      <c r="G1106">
        <v>223124</v>
      </c>
      <c r="H1106">
        <v>17</v>
      </c>
      <c r="I1106">
        <v>9375</v>
      </c>
      <c r="J1106">
        <v>2.001971997633603</v>
      </c>
      <c r="K1106">
        <v>691895</v>
      </c>
      <c r="L1106">
        <v>175487</v>
      </c>
      <c r="M1106">
        <v>34911</v>
      </c>
      <c r="N1106">
        <v>27943</v>
      </c>
      <c r="O1106" s="43">
        <v>18657540</v>
      </c>
      <c r="P1106" s="14">
        <f t="shared" si="53"/>
        <v>1696140</v>
      </c>
      <c r="Q1106" s="14" t="str">
        <f t="shared" si="51"/>
        <v/>
      </c>
      <c r="R1106" s="14" t="str">
        <f t="shared" si="51"/>
        <v/>
      </c>
      <c r="S1106" s="14" t="str">
        <f t="shared" si="52"/>
        <v/>
      </c>
      <c r="T1106" s="14" t="s">
        <v>72</v>
      </c>
      <c r="U1106" s="14">
        <v>180.92160000000001</v>
      </c>
      <c r="V1106">
        <v>2379</v>
      </c>
      <c r="W1106">
        <v>32.386499023437501</v>
      </c>
      <c r="X1106">
        <v>27.792359217455399</v>
      </c>
      <c r="Y1106">
        <v>3.5082515440544002</v>
      </c>
      <c r="Z1106" s="31">
        <v>2.1625065943158002</v>
      </c>
      <c r="AA1106">
        <v>3.0393202547952298</v>
      </c>
      <c r="AB1106">
        <v>7.0000000000000007E-2</v>
      </c>
      <c r="AC1106">
        <v>317917.38548391301</v>
      </c>
      <c r="AD1106">
        <v>359500.97950520879</v>
      </c>
      <c r="AE1106">
        <v>1</v>
      </c>
      <c r="AF1106">
        <v>10575.43902031472</v>
      </c>
      <c r="AG1106">
        <v>22867.08640698314</v>
      </c>
    </row>
    <row r="1107" spans="2:33" hidden="1" x14ac:dyDescent="0.25">
      <c r="B1107">
        <v>20</v>
      </c>
      <c r="C1107" t="s">
        <v>50</v>
      </c>
      <c r="D1107" t="s">
        <v>26</v>
      </c>
      <c r="E1107" t="s">
        <v>67</v>
      </c>
      <c r="F1107">
        <v>102883</v>
      </c>
      <c r="G1107">
        <v>223124</v>
      </c>
      <c r="H1107">
        <v>18</v>
      </c>
      <c r="I1107">
        <v>2894</v>
      </c>
      <c r="J1107">
        <v>6.8968645237625719</v>
      </c>
      <c r="K1107">
        <v>691895</v>
      </c>
      <c r="L1107">
        <v>175487</v>
      </c>
      <c r="M1107">
        <v>34911</v>
      </c>
      <c r="N1107">
        <v>27943</v>
      </c>
      <c r="O1107" s="43">
        <v>20919060</v>
      </c>
      <c r="P1107" s="14">
        <f t="shared" si="53"/>
        <v>2261520</v>
      </c>
      <c r="Q1107" s="14" t="str">
        <f t="shared" si="51"/>
        <v/>
      </c>
      <c r="R1107" s="14" t="str">
        <f t="shared" si="51"/>
        <v/>
      </c>
      <c r="S1107" s="14" t="str">
        <f t="shared" si="52"/>
        <v/>
      </c>
      <c r="T1107" s="14" t="s">
        <v>72</v>
      </c>
      <c r="U1107" s="14">
        <v>781.45127850725635</v>
      </c>
      <c r="V1107">
        <v>2379</v>
      </c>
      <c r="W1107">
        <v>33.669030761718801</v>
      </c>
      <c r="X1107">
        <v>24.2626111758379</v>
      </c>
      <c r="Y1107">
        <v>3.95419982816319</v>
      </c>
      <c r="Z1107" s="31">
        <v>2.7445553914563701</v>
      </c>
      <c r="AA1107">
        <v>6.7607437948536102</v>
      </c>
      <c r="AB1107">
        <v>7.0000000000000007E-2</v>
      </c>
      <c r="AC1107">
        <v>317917.38548391301</v>
      </c>
      <c r="AD1107">
        <v>359500.97950520879</v>
      </c>
      <c r="AE1107">
        <v>1</v>
      </c>
      <c r="AF1107">
        <v>10575.43902031472</v>
      </c>
      <c r="AG1107">
        <v>22867.08640698314</v>
      </c>
    </row>
    <row r="1108" spans="2:33" hidden="1" x14ac:dyDescent="0.25">
      <c r="B1108">
        <v>20</v>
      </c>
      <c r="C1108" t="s">
        <v>50</v>
      </c>
      <c r="D1108" t="s">
        <v>26</v>
      </c>
      <c r="E1108" t="s">
        <v>67</v>
      </c>
      <c r="F1108">
        <v>119364</v>
      </c>
      <c r="G1108">
        <v>223124</v>
      </c>
      <c r="H1108">
        <v>19</v>
      </c>
      <c r="I1108">
        <v>5561</v>
      </c>
      <c r="J1108">
        <v>6.5000985998816807</v>
      </c>
      <c r="K1108">
        <v>691895</v>
      </c>
      <c r="L1108">
        <v>175487</v>
      </c>
      <c r="M1108">
        <v>34911</v>
      </c>
      <c r="N1108">
        <v>27943</v>
      </c>
      <c r="O1108" s="43">
        <v>22728276</v>
      </c>
      <c r="P1108" s="14">
        <f t="shared" si="53"/>
        <v>1809216</v>
      </c>
      <c r="Q1108" s="14" t="str">
        <f t="shared" si="51"/>
        <v/>
      </c>
      <c r="R1108" s="14" t="str">
        <f t="shared" si="51"/>
        <v/>
      </c>
      <c r="S1108" s="14" t="str">
        <f t="shared" si="52"/>
        <v/>
      </c>
      <c r="T1108" s="14" t="s">
        <v>72</v>
      </c>
      <c r="U1108" s="14">
        <v>325.34004675418089</v>
      </c>
      <c r="V1108">
        <v>2379</v>
      </c>
      <c r="W1108">
        <v>27.739892578125001</v>
      </c>
      <c r="X1108">
        <v>29.283343257797402</v>
      </c>
      <c r="Y1108">
        <v>2.6331202923995898</v>
      </c>
      <c r="Z1108" s="31">
        <v>3.5805185072371599</v>
      </c>
      <c r="AA1108">
        <v>3.7034479813787602</v>
      </c>
      <c r="AB1108">
        <v>7.0000000000000007E-2</v>
      </c>
      <c r="AC1108">
        <v>317917.38548391301</v>
      </c>
      <c r="AD1108">
        <v>359500.97950520879</v>
      </c>
      <c r="AE1108">
        <v>1</v>
      </c>
      <c r="AF1108">
        <v>10575.43902031472</v>
      </c>
      <c r="AG1108">
        <v>22867.08640698314</v>
      </c>
    </row>
    <row r="1109" spans="2:33" hidden="1" x14ac:dyDescent="0.25">
      <c r="B1109">
        <v>20</v>
      </c>
      <c r="C1109" t="s">
        <v>50</v>
      </c>
      <c r="D1109" t="s">
        <v>26</v>
      </c>
      <c r="E1109" t="s">
        <v>67</v>
      </c>
      <c r="F1109">
        <v>128613</v>
      </c>
      <c r="G1109">
        <v>223124</v>
      </c>
      <c r="H1109">
        <v>20</v>
      </c>
      <c r="I1109">
        <v>5076</v>
      </c>
      <c r="J1109">
        <v>3.6478012226385328</v>
      </c>
      <c r="K1109">
        <v>691895</v>
      </c>
      <c r="L1109">
        <v>175487</v>
      </c>
      <c r="M1109">
        <v>34911</v>
      </c>
      <c r="N1109">
        <v>27943</v>
      </c>
      <c r="O1109" s="43">
        <v>24537492</v>
      </c>
      <c r="P1109" s="14">
        <f t="shared" si="53"/>
        <v>1809216</v>
      </c>
      <c r="Q1109" s="14" t="str">
        <f t="shared" si="51"/>
        <v/>
      </c>
      <c r="R1109" s="14" t="str">
        <f t="shared" si="51"/>
        <v/>
      </c>
      <c r="S1109" s="14" t="str">
        <f t="shared" si="52"/>
        <v/>
      </c>
      <c r="T1109" s="14" t="s">
        <v>72</v>
      </c>
      <c r="U1109" s="14">
        <v>356.42553191489361</v>
      </c>
      <c r="V1109">
        <v>2379</v>
      </c>
      <c r="W1109">
        <v>25.365502929687501</v>
      </c>
      <c r="X1109">
        <v>22.0324474655642</v>
      </c>
      <c r="Y1109">
        <v>2.5251843319843799</v>
      </c>
      <c r="Z1109" s="31">
        <v>3.2766482933306502</v>
      </c>
      <c r="AA1109">
        <v>9.4238509857315496</v>
      </c>
      <c r="AB1109">
        <v>7.0000000000000007E-2</v>
      </c>
      <c r="AC1109">
        <v>317917.38548391301</v>
      </c>
      <c r="AD1109">
        <v>359500.97950520879</v>
      </c>
      <c r="AE1109">
        <v>1</v>
      </c>
      <c r="AF1109">
        <v>10575.43902031472</v>
      </c>
      <c r="AG1109">
        <v>22867.08640698314</v>
      </c>
    </row>
    <row r="1110" spans="2:33" hidden="1" x14ac:dyDescent="0.25">
      <c r="B1110">
        <v>20</v>
      </c>
      <c r="C1110" t="s">
        <v>50</v>
      </c>
      <c r="D1110" t="s">
        <v>26</v>
      </c>
      <c r="E1110" t="s">
        <v>67</v>
      </c>
      <c r="F1110">
        <v>136379</v>
      </c>
      <c r="G1110">
        <v>223124</v>
      </c>
      <c r="H1110">
        <v>21</v>
      </c>
      <c r="I1110">
        <v>17487</v>
      </c>
      <c r="J1110">
        <v>3.0629067245119308</v>
      </c>
      <c r="K1110">
        <v>691895</v>
      </c>
      <c r="L1110">
        <v>175487</v>
      </c>
      <c r="M1110">
        <v>34911</v>
      </c>
      <c r="N1110">
        <v>27943</v>
      </c>
      <c r="O1110" s="43">
        <v>27477468</v>
      </c>
      <c r="P1110" s="14">
        <f t="shared" si="53"/>
        <v>2939976</v>
      </c>
      <c r="Q1110" s="14" t="str">
        <f t="shared" si="51"/>
        <v/>
      </c>
      <c r="R1110" s="14" t="str">
        <f t="shared" si="51"/>
        <v/>
      </c>
      <c r="S1110" s="14" t="str">
        <f t="shared" si="52"/>
        <v/>
      </c>
      <c r="T1110" s="14" t="s">
        <v>72</v>
      </c>
      <c r="U1110" s="14">
        <v>168.12352032938753</v>
      </c>
      <c r="V1110">
        <v>2379</v>
      </c>
      <c r="W1110">
        <v>26.987878417968801</v>
      </c>
      <c r="X1110">
        <v>20.301525781627401</v>
      </c>
      <c r="Y1110">
        <v>2.84045731113144</v>
      </c>
      <c r="Z1110" s="31">
        <v>2.0284998896433102</v>
      </c>
      <c r="AA1110">
        <v>7.4477548849493704</v>
      </c>
      <c r="AB1110">
        <v>7.0000000000000007E-2</v>
      </c>
      <c r="AC1110">
        <v>317917.38548391301</v>
      </c>
      <c r="AD1110">
        <v>359500.97950520879</v>
      </c>
      <c r="AE1110">
        <v>1</v>
      </c>
      <c r="AF1110">
        <v>10575.43902031472</v>
      </c>
      <c r="AG1110">
        <v>22867.08640698314</v>
      </c>
    </row>
    <row r="1111" spans="2:33" hidden="1" x14ac:dyDescent="0.25">
      <c r="B1111">
        <v>20</v>
      </c>
      <c r="C1111" t="s">
        <v>50</v>
      </c>
      <c r="D1111" t="s">
        <v>26</v>
      </c>
      <c r="E1111" t="s">
        <v>67</v>
      </c>
      <c r="F1111">
        <v>142066</v>
      </c>
      <c r="G1111">
        <v>223124</v>
      </c>
      <c r="H1111">
        <v>22</v>
      </c>
      <c r="I1111">
        <v>16481</v>
      </c>
      <c r="J1111">
        <v>2.24295010845987</v>
      </c>
      <c r="K1111">
        <v>691895</v>
      </c>
      <c r="L1111">
        <v>175487</v>
      </c>
      <c r="M1111">
        <v>34911</v>
      </c>
      <c r="N1111">
        <v>27943</v>
      </c>
      <c r="O1111" s="43">
        <v>34035876</v>
      </c>
      <c r="P1111" s="14">
        <f t="shared" si="53"/>
        <v>6558408</v>
      </c>
      <c r="Q1111" s="14" t="str">
        <f t="shared" si="51"/>
        <v/>
      </c>
      <c r="R1111" s="14" t="str">
        <f t="shared" si="51"/>
        <v/>
      </c>
      <c r="S1111" s="14" t="str">
        <f t="shared" si="52"/>
        <v/>
      </c>
      <c r="T1111" s="14" t="s">
        <v>72</v>
      </c>
      <c r="U1111" s="14">
        <v>397.93750379224559</v>
      </c>
      <c r="V1111">
        <v>2379</v>
      </c>
      <c r="W1111">
        <v>28.727563476562501</v>
      </c>
      <c r="X1111">
        <v>24.2114261891636</v>
      </c>
      <c r="Y1111">
        <v>2.9888055215909</v>
      </c>
      <c r="Z1111" s="31">
        <v>2.1552025864250601</v>
      </c>
      <c r="AA1111">
        <v>7.7253138001705599</v>
      </c>
      <c r="AB1111">
        <v>7.0000000000000007E-2</v>
      </c>
      <c r="AC1111">
        <v>317917.38548391301</v>
      </c>
      <c r="AD1111">
        <v>359500.97950520879</v>
      </c>
      <c r="AE1111">
        <v>1</v>
      </c>
      <c r="AF1111">
        <v>10575.43902031472</v>
      </c>
      <c r="AG1111">
        <v>22867.08640698314</v>
      </c>
    </row>
    <row r="1112" spans="2:33" hidden="1" x14ac:dyDescent="0.25">
      <c r="B1112">
        <v>20</v>
      </c>
      <c r="C1112" t="s">
        <v>50</v>
      </c>
      <c r="D1112" t="s">
        <v>26</v>
      </c>
      <c r="E1112" t="s">
        <v>67</v>
      </c>
      <c r="F1112">
        <v>145006</v>
      </c>
      <c r="G1112">
        <v>223124</v>
      </c>
      <c r="H1112">
        <v>23</v>
      </c>
      <c r="I1112">
        <v>9249</v>
      </c>
      <c r="J1112">
        <v>1.1595346085584699</v>
      </c>
      <c r="K1112">
        <v>691895</v>
      </c>
      <c r="L1112">
        <v>175487</v>
      </c>
      <c r="M1112">
        <v>34911</v>
      </c>
      <c r="N1112">
        <v>27943</v>
      </c>
      <c r="O1112" s="43">
        <v>37428156</v>
      </c>
      <c r="P1112" s="14">
        <f t="shared" si="53"/>
        <v>3392280</v>
      </c>
      <c r="Q1112" s="14" t="str">
        <f t="shared" si="51"/>
        <v/>
      </c>
      <c r="R1112" s="14" t="str">
        <f t="shared" si="51"/>
        <v/>
      </c>
      <c r="S1112" s="14" t="str">
        <f t="shared" si="52"/>
        <v/>
      </c>
      <c r="T1112" s="14" t="s">
        <v>72</v>
      </c>
      <c r="U1112" s="14">
        <v>366.77262406746678</v>
      </c>
      <c r="V1112">
        <v>2379</v>
      </c>
      <c r="W1112">
        <v>26.706933593750001</v>
      </c>
      <c r="X1112">
        <v>29.934503568688701</v>
      </c>
      <c r="Y1112">
        <v>2.4558969142322198</v>
      </c>
      <c r="Z1112" s="31">
        <v>3.1591113137653899</v>
      </c>
      <c r="AA1112">
        <v>0.98676359577046402</v>
      </c>
      <c r="AB1112">
        <v>7.0000000000000007E-2</v>
      </c>
      <c r="AC1112">
        <v>317917.38548391301</v>
      </c>
      <c r="AD1112">
        <v>359500.97950520879</v>
      </c>
      <c r="AE1112">
        <v>1</v>
      </c>
      <c r="AF1112">
        <v>10575.43902031472</v>
      </c>
      <c r="AG1112">
        <v>22867.08640698314</v>
      </c>
    </row>
    <row r="1113" spans="2:33" hidden="1" x14ac:dyDescent="0.25">
      <c r="B1113">
        <v>20</v>
      </c>
      <c r="C1113" t="s">
        <v>50</v>
      </c>
      <c r="D1113" t="s">
        <v>26</v>
      </c>
      <c r="E1113" t="s">
        <v>67</v>
      </c>
      <c r="F1113">
        <v>148213</v>
      </c>
      <c r="G1113">
        <v>223124</v>
      </c>
      <c r="H1113">
        <v>24</v>
      </c>
      <c r="I1113">
        <v>7766</v>
      </c>
      <c r="J1113">
        <v>1.2648392821928609</v>
      </c>
      <c r="K1113">
        <v>691895</v>
      </c>
      <c r="L1113">
        <v>175487</v>
      </c>
      <c r="M1113">
        <v>34911</v>
      </c>
      <c r="N1113">
        <v>27943</v>
      </c>
      <c r="O1113" s="43">
        <v>41951196</v>
      </c>
      <c r="P1113" s="14">
        <f t="shared" si="53"/>
        <v>4523040</v>
      </c>
      <c r="Q1113" s="14" t="str">
        <f t="shared" si="51"/>
        <v/>
      </c>
      <c r="R1113" s="14" t="str">
        <f t="shared" si="51"/>
        <v/>
      </c>
      <c r="S1113" s="14" t="str">
        <f t="shared" si="52"/>
        <v/>
      </c>
      <c r="T1113" s="14" t="s">
        <v>72</v>
      </c>
      <c r="U1113" s="14">
        <v>582.41565799639454</v>
      </c>
      <c r="V1113">
        <v>2379</v>
      </c>
      <c r="W1113">
        <v>24.669458007812501</v>
      </c>
      <c r="X1113">
        <v>25.059956759748101</v>
      </c>
      <c r="Y1113">
        <v>2.3285910044633198</v>
      </c>
      <c r="Z1113" s="31">
        <v>1.8329736445254901</v>
      </c>
      <c r="AA1113">
        <v>2.35513465106916</v>
      </c>
      <c r="AB1113">
        <v>7.0000000000000007E-2</v>
      </c>
      <c r="AC1113">
        <v>317917.38548391301</v>
      </c>
      <c r="AD1113">
        <v>359500.97950520879</v>
      </c>
      <c r="AE1113">
        <v>1</v>
      </c>
      <c r="AF1113">
        <v>10575.43902031472</v>
      </c>
      <c r="AG1113">
        <v>22867.08640698314</v>
      </c>
    </row>
    <row r="1114" spans="2:33" hidden="1" x14ac:dyDescent="0.25">
      <c r="B1114">
        <v>20</v>
      </c>
      <c r="C1114" t="s">
        <v>50</v>
      </c>
      <c r="D1114" t="s">
        <v>26</v>
      </c>
      <c r="E1114" t="s">
        <v>67</v>
      </c>
      <c r="F1114">
        <v>150011</v>
      </c>
      <c r="G1114">
        <v>223124</v>
      </c>
      <c r="H1114">
        <v>25</v>
      </c>
      <c r="I1114">
        <v>5687</v>
      </c>
      <c r="J1114">
        <v>0.70913034904358119</v>
      </c>
      <c r="K1114">
        <v>691895</v>
      </c>
      <c r="L1114">
        <v>175487</v>
      </c>
      <c r="M1114">
        <v>34911</v>
      </c>
      <c r="N1114">
        <v>27943</v>
      </c>
      <c r="O1114" s="43">
        <v>45230400</v>
      </c>
      <c r="P1114" s="14">
        <f t="shared" si="53"/>
        <v>3279204</v>
      </c>
      <c r="Q1114" s="14" t="str">
        <f t="shared" si="51"/>
        <v/>
      </c>
      <c r="R1114" s="14" t="str">
        <f t="shared" si="51"/>
        <v/>
      </c>
      <c r="S1114" s="14" t="str">
        <f t="shared" si="52"/>
        <v/>
      </c>
      <c r="T1114" s="14" t="s">
        <v>72</v>
      </c>
      <c r="U1114" s="14">
        <v>576.61403200281347</v>
      </c>
      <c r="V1114">
        <v>2379</v>
      </c>
      <c r="W1114">
        <v>26.360925292968801</v>
      </c>
      <c r="X1114">
        <v>29.034079309398599</v>
      </c>
      <c r="Y1114">
        <v>2.4374092778003802</v>
      </c>
      <c r="Z1114" s="31">
        <v>2.5660915781065001</v>
      </c>
      <c r="AA1114">
        <v>2.4139258465043101</v>
      </c>
      <c r="AB1114">
        <v>7.0000000000000007E-2</v>
      </c>
      <c r="AC1114">
        <v>317917.38548391301</v>
      </c>
      <c r="AD1114">
        <v>359500.97950520879</v>
      </c>
      <c r="AE1114">
        <v>1</v>
      </c>
      <c r="AF1114">
        <v>10575.43902031472</v>
      </c>
      <c r="AG1114">
        <v>22867.08640698314</v>
      </c>
    </row>
    <row r="1115" spans="2:33" hidden="1" x14ac:dyDescent="0.25">
      <c r="B1115">
        <v>20</v>
      </c>
      <c r="C1115" t="s">
        <v>50</v>
      </c>
      <c r="D1115" t="s">
        <v>26</v>
      </c>
      <c r="E1115" t="s">
        <v>67</v>
      </c>
      <c r="F1115">
        <v>152125</v>
      </c>
      <c r="G1115">
        <v>223124</v>
      </c>
      <c r="H1115">
        <v>26</v>
      </c>
      <c r="I1115">
        <v>2940</v>
      </c>
      <c r="J1115">
        <v>0.83376059948728065</v>
      </c>
      <c r="K1115">
        <v>691895</v>
      </c>
      <c r="L1115">
        <v>175487</v>
      </c>
      <c r="M1115">
        <v>34911</v>
      </c>
      <c r="N1115">
        <v>27943</v>
      </c>
      <c r="O1115" s="43">
        <v>49753440</v>
      </c>
      <c r="P1115" s="14">
        <f t="shared" si="53"/>
        <v>4523040</v>
      </c>
      <c r="Q1115" s="14" t="str">
        <f t="shared" si="51"/>
        <v/>
      </c>
      <c r="R1115" s="14" t="str">
        <f t="shared" si="51"/>
        <v/>
      </c>
      <c r="S1115" s="14" t="str">
        <f t="shared" si="52"/>
        <v/>
      </c>
      <c r="T1115" s="14" t="s">
        <v>72</v>
      </c>
      <c r="U1115" s="14">
        <v>1538.4489795918366</v>
      </c>
      <c r="V1115">
        <v>2379</v>
      </c>
      <c r="W1115">
        <v>27.216333007812501</v>
      </c>
      <c r="X1115">
        <v>25.476784855945699</v>
      </c>
      <c r="Y1115">
        <v>2.6915327648480201</v>
      </c>
      <c r="Z1115" s="31">
        <v>1.83816549371983</v>
      </c>
      <c r="AA1115">
        <v>4.2940611634427803</v>
      </c>
      <c r="AB1115">
        <v>7.0000000000000007E-2</v>
      </c>
      <c r="AC1115">
        <v>317917.38548391301</v>
      </c>
      <c r="AD1115">
        <v>359500.97950520879</v>
      </c>
      <c r="AE1115">
        <v>1</v>
      </c>
      <c r="AF1115">
        <v>10575.43902031472</v>
      </c>
      <c r="AG1115">
        <v>22867.08640698314</v>
      </c>
    </row>
    <row r="1116" spans="2:33" hidden="1" x14ac:dyDescent="0.25">
      <c r="B1116">
        <v>20</v>
      </c>
      <c r="C1116" t="s">
        <v>50</v>
      </c>
      <c r="D1116" t="s">
        <v>26</v>
      </c>
      <c r="E1116" t="s">
        <v>67</v>
      </c>
      <c r="F1116">
        <v>154344</v>
      </c>
      <c r="G1116">
        <v>223124</v>
      </c>
      <c r="H1116">
        <v>27</v>
      </c>
      <c r="I1116">
        <v>3207</v>
      </c>
      <c r="J1116">
        <v>0.87517254979294035</v>
      </c>
      <c r="K1116">
        <v>691895</v>
      </c>
      <c r="L1116">
        <v>175487</v>
      </c>
      <c r="M1116">
        <v>34911</v>
      </c>
      <c r="N1116">
        <v>27943</v>
      </c>
      <c r="O1116" s="43">
        <v>53711100</v>
      </c>
      <c r="P1116" s="14">
        <f t="shared" si="53"/>
        <v>3957660</v>
      </c>
      <c r="Q1116" s="14" t="str">
        <f t="shared" si="51"/>
        <v/>
      </c>
      <c r="R1116" s="14" t="str">
        <f t="shared" si="51"/>
        <v/>
      </c>
      <c r="S1116" s="14" t="str">
        <f t="shared" si="52"/>
        <v/>
      </c>
      <c r="T1116" s="14" t="s">
        <v>72</v>
      </c>
      <c r="U1116" s="14">
        <v>1234.0692235734332</v>
      </c>
      <c r="V1116">
        <v>2379</v>
      </c>
      <c r="W1116">
        <v>25.992395019531301</v>
      </c>
      <c r="X1116">
        <v>26.929492918249501</v>
      </c>
      <c r="Y1116">
        <v>2.4558472197659298</v>
      </c>
      <c r="Z1116" s="31">
        <v>1.6432018516114599</v>
      </c>
      <c r="AA1116">
        <v>5.2777865830778996</v>
      </c>
      <c r="AB1116">
        <v>7.0000000000000007E-2</v>
      </c>
      <c r="AC1116">
        <v>317917.38548391301</v>
      </c>
      <c r="AD1116">
        <v>359500.97950520879</v>
      </c>
      <c r="AE1116">
        <v>1</v>
      </c>
      <c r="AF1116">
        <v>10575.43902031472</v>
      </c>
      <c r="AG1116">
        <v>22867.08640698314</v>
      </c>
    </row>
    <row r="1117" spans="2:33" hidden="1" x14ac:dyDescent="0.25">
      <c r="B1117">
        <v>20</v>
      </c>
      <c r="C1117" t="s">
        <v>50</v>
      </c>
      <c r="D1117" t="s">
        <v>26</v>
      </c>
      <c r="E1117" t="s">
        <v>67</v>
      </c>
      <c r="F1117">
        <v>158557</v>
      </c>
      <c r="G1117">
        <v>223124</v>
      </c>
      <c r="H1117">
        <v>28</v>
      </c>
      <c r="I1117">
        <v>1798</v>
      </c>
      <c r="J1117">
        <v>1.6616052060737529</v>
      </c>
      <c r="K1117">
        <v>691895</v>
      </c>
      <c r="L1117">
        <v>175487</v>
      </c>
      <c r="M1117">
        <v>34911</v>
      </c>
      <c r="N1117">
        <v>27943</v>
      </c>
      <c r="O1117" s="43">
        <v>56538000</v>
      </c>
      <c r="P1117" s="14">
        <f t="shared" si="53"/>
        <v>2826900</v>
      </c>
      <c r="Q1117" s="14" t="str">
        <f t="shared" si="51"/>
        <v/>
      </c>
      <c r="R1117" s="14" t="str">
        <f t="shared" si="51"/>
        <v/>
      </c>
      <c r="S1117" s="14" t="str">
        <f t="shared" si="52"/>
        <v/>
      </c>
      <c r="T1117" s="14" t="s">
        <v>72</v>
      </c>
      <c r="U1117" s="14">
        <v>1572.2469410456063</v>
      </c>
      <c r="V1117">
        <v>2379</v>
      </c>
      <c r="W1117">
        <v>26.434411621093702</v>
      </c>
      <c r="X1117">
        <v>17.635790599487201</v>
      </c>
      <c r="Y1117">
        <v>2.84168579034074</v>
      </c>
      <c r="Z1117" s="31">
        <v>2.2901691668729298</v>
      </c>
      <c r="AA1117">
        <v>3.9681060748346799</v>
      </c>
      <c r="AB1117">
        <v>7.0000000000000007E-2</v>
      </c>
      <c r="AC1117">
        <v>317917.38548391301</v>
      </c>
      <c r="AD1117">
        <v>359500.97950520879</v>
      </c>
      <c r="AE1117">
        <v>1</v>
      </c>
      <c r="AF1117">
        <v>10575.43902031472</v>
      </c>
      <c r="AG1117">
        <v>22867.08640698314</v>
      </c>
    </row>
    <row r="1118" spans="2:33" hidden="1" x14ac:dyDescent="0.25">
      <c r="B1118">
        <v>20</v>
      </c>
      <c r="C1118" t="s">
        <v>50</v>
      </c>
      <c r="D1118" t="s">
        <v>26</v>
      </c>
      <c r="E1118" t="s">
        <v>67</v>
      </c>
      <c r="F1118">
        <v>161070</v>
      </c>
      <c r="G1118">
        <v>223124</v>
      </c>
      <c r="H1118">
        <v>29</v>
      </c>
      <c r="I1118">
        <v>2114</v>
      </c>
      <c r="J1118">
        <v>0.99112601064878725</v>
      </c>
      <c r="K1118">
        <v>691895</v>
      </c>
      <c r="L1118">
        <v>175487</v>
      </c>
      <c r="M1118">
        <v>34911</v>
      </c>
      <c r="N1118">
        <v>27943</v>
      </c>
      <c r="O1118" s="43">
        <v>62757180</v>
      </c>
      <c r="P1118" s="14">
        <f t="shared" si="53"/>
        <v>6219180</v>
      </c>
      <c r="Q1118" s="14" t="str">
        <f t="shared" si="51"/>
        <v/>
      </c>
      <c r="R1118" s="14" t="str">
        <f t="shared" si="51"/>
        <v/>
      </c>
      <c r="S1118" s="14" t="str">
        <f t="shared" si="52"/>
        <v/>
      </c>
      <c r="T1118" s="14" t="s">
        <v>72</v>
      </c>
      <c r="U1118" s="14">
        <v>2941.9016083254492</v>
      </c>
      <c r="V1118">
        <v>2379</v>
      </c>
      <c r="W1118">
        <v>27.245446777343702</v>
      </c>
      <c r="X1118">
        <v>25.245727429882201</v>
      </c>
      <c r="Y1118">
        <v>2.7044910207011599</v>
      </c>
      <c r="Z1118" s="31">
        <v>3.1297025213893401</v>
      </c>
      <c r="AA1118">
        <v>1.9972949699684499</v>
      </c>
      <c r="AB1118">
        <v>7.0000000000000007E-2</v>
      </c>
      <c r="AC1118">
        <v>317917.38548391301</v>
      </c>
      <c r="AD1118">
        <v>359500.97950520879</v>
      </c>
      <c r="AE1118">
        <v>1</v>
      </c>
      <c r="AF1118">
        <v>10575.43902031472</v>
      </c>
      <c r="AG1118">
        <v>22867.08640698314</v>
      </c>
    </row>
    <row r="1119" spans="2:33" hidden="1" x14ac:dyDescent="0.25">
      <c r="B1119">
        <v>20</v>
      </c>
      <c r="C1119" t="s">
        <v>50</v>
      </c>
      <c r="D1119" t="s">
        <v>26</v>
      </c>
      <c r="E1119" t="s">
        <v>67</v>
      </c>
      <c r="F1119">
        <v>163157</v>
      </c>
      <c r="G1119">
        <v>223124</v>
      </c>
      <c r="H1119">
        <v>30</v>
      </c>
      <c r="I1119">
        <v>2219</v>
      </c>
      <c r="J1119">
        <v>0.8231118122658253</v>
      </c>
      <c r="K1119">
        <v>691895</v>
      </c>
      <c r="L1119">
        <v>175487</v>
      </c>
      <c r="M1119">
        <v>34911</v>
      </c>
      <c r="N1119">
        <v>27943</v>
      </c>
      <c r="O1119" s="43">
        <v>68976360</v>
      </c>
      <c r="P1119" s="14">
        <f t="shared" si="53"/>
        <v>6219180</v>
      </c>
      <c r="Q1119" s="14" t="str">
        <f t="shared" si="51"/>
        <v/>
      </c>
      <c r="R1119" s="14" t="str">
        <f t="shared" si="51"/>
        <v/>
      </c>
      <c r="S1119" s="14" t="str">
        <f t="shared" si="52"/>
        <v/>
      </c>
      <c r="T1119" s="14" t="s">
        <v>72</v>
      </c>
      <c r="U1119" s="14">
        <v>2802.6949076160431</v>
      </c>
      <c r="V1119">
        <v>2379</v>
      </c>
      <c r="W1119">
        <v>30.562951660156301</v>
      </c>
      <c r="X1119">
        <v>16.964550910711399</v>
      </c>
      <c r="Y1119">
        <v>3.63927808365843</v>
      </c>
      <c r="Z1119" s="31">
        <v>2.3249101810933701</v>
      </c>
      <c r="AA1119">
        <v>4.2716144083071104</v>
      </c>
      <c r="AB1119">
        <v>7.0000000000000007E-2</v>
      </c>
      <c r="AC1119">
        <v>317917.38548391301</v>
      </c>
      <c r="AD1119">
        <v>359500.97950520879</v>
      </c>
      <c r="AE1119">
        <v>1</v>
      </c>
      <c r="AF1119">
        <v>10575.43902031472</v>
      </c>
      <c r="AG1119">
        <v>22867.08640698314</v>
      </c>
    </row>
    <row r="1120" spans="2:33" hidden="1" x14ac:dyDescent="0.25">
      <c r="B1120">
        <v>20</v>
      </c>
      <c r="C1120" t="s">
        <v>50</v>
      </c>
      <c r="D1120" t="s">
        <v>26</v>
      </c>
      <c r="E1120" t="s">
        <v>67</v>
      </c>
      <c r="F1120">
        <v>166866</v>
      </c>
      <c r="G1120">
        <v>223124</v>
      </c>
      <c r="H1120">
        <v>31</v>
      </c>
      <c r="I1120">
        <v>4213</v>
      </c>
      <c r="J1120">
        <v>1.462827844606587</v>
      </c>
      <c r="K1120">
        <v>691895</v>
      </c>
      <c r="L1120">
        <v>175487</v>
      </c>
      <c r="M1120">
        <v>34911</v>
      </c>
      <c r="N1120">
        <v>27943</v>
      </c>
      <c r="O1120" s="43">
        <v>68976360</v>
      </c>
      <c r="P1120" s="14">
        <f t="shared" si="53"/>
        <v>0</v>
      </c>
      <c r="Q1120" s="14" t="str">
        <f t="shared" si="51"/>
        <v/>
      </c>
      <c r="R1120" s="14" t="str">
        <f t="shared" si="51"/>
        <v/>
      </c>
      <c r="S1120" s="14" t="str">
        <f t="shared" si="52"/>
        <v/>
      </c>
      <c r="T1120" s="14" t="s">
        <v>72</v>
      </c>
      <c r="U1120" s="14">
        <v>0</v>
      </c>
      <c r="V1120">
        <v>2379</v>
      </c>
      <c r="W1120">
        <v>33.310693359375001</v>
      </c>
      <c r="X1120">
        <v>13.277226013496101</v>
      </c>
      <c r="Y1120">
        <v>4.4394209864650103</v>
      </c>
      <c r="Z1120" s="31">
        <v>1.0419470771474</v>
      </c>
      <c r="AA1120">
        <v>2.93733149446104</v>
      </c>
      <c r="AB1120">
        <v>7.0000000000000007E-2</v>
      </c>
      <c r="AC1120">
        <v>317917.38548391301</v>
      </c>
      <c r="AD1120">
        <v>359500.97950520879</v>
      </c>
      <c r="AE1120">
        <v>1</v>
      </c>
      <c r="AF1120">
        <v>10575.43902031472</v>
      </c>
      <c r="AG1120">
        <v>22867.08640698314</v>
      </c>
    </row>
    <row r="1121" spans="2:33" hidden="1" x14ac:dyDescent="0.25">
      <c r="B1121">
        <v>20</v>
      </c>
      <c r="C1121" t="s">
        <v>50</v>
      </c>
      <c r="D1121" t="s">
        <v>26</v>
      </c>
      <c r="E1121" t="s">
        <v>67</v>
      </c>
      <c r="F1121">
        <v>170945</v>
      </c>
      <c r="G1121">
        <v>223124</v>
      </c>
      <c r="H1121">
        <v>32</v>
      </c>
      <c r="I1121">
        <v>2513</v>
      </c>
      <c r="J1121">
        <v>1.608755669493197</v>
      </c>
      <c r="K1121">
        <v>691895</v>
      </c>
      <c r="L1121">
        <v>175487</v>
      </c>
      <c r="M1121">
        <v>34911</v>
      </c>
      <c r="N1121">
        <v>27943</v>
      </c>
      <c r="O1121" s="43">
        <v>79153200</v>
      </c>
      <c r="P1121" s="14">
        <f t="shared" si="53"/>
        <v>10176840</v>
      </c>
      <c r="Q1121" s="14" t="str">
        <f t="shared" si="51"/>
        <v/>
      </c>
      <c r="R1121" s="14" t="str">
        <f t="shared" si="51"/>
        <v/>
      </c>
      <c r="S1121" s="14" t="str">
        <f t="shared" si="52"/>
        <v/>
      </c>
      <c r="T1121" s="14" t="s">
        <v>72</v>
      </c>
      <c r="U1121" s="14">
        <v>4049.6776760843613</v>
      </c>
      <c r="V1121">
        <v>2379</v>
      </c>
      <c r="W1121">
        <v>31.412377929687501</v>
      </c>
      <c r="X1121">
        <v>16.364167479027799</v>
      </c>
      <c r="Y1121">
        <v>3.84709622028736</v>
      </c>
      <c r="Z1121" s="31">
        <v>3.0613251006221698</v>
      </c>
      <c r="AA1121">
        <v>4.5024567569052696</v>
      </c>
      <c r="AB1121">
        <v>7.0000000000000007E-2</v>
      </c>
      <c r="AC1121">
        <v>317917.38548391301</v>
      </c>
      <c r="AD1121">
        <v>359500.97950520879</v>
      </c>
      <c r="AE1121">
        <v>1</v>
      </c>
      <c r="AF1121">
        <v>10575.43902031472</v>
      </c>
      <c r="AG1121">
        <v>22867.08640698314</v>
      </c>
    </row>
    <row r="1122" spans="2:33" hidden="1" x14ac:dyDescent="0.25">
      <c r="B1122">
        <v>20</v>
      </c>
      <c r="C1122" t="s">
        <v>50</v>
      </c>
      <c r="D1122" t="s">
        <v>26</v>
      </c>
      <c r="E1122" t="s">
        <v>67</v>
      </c>
      <c r="F1122">
        <v>172639</v>
      </c>
      <c r="G1122">
        <v>223124</v>
      </c>
      <c r="H1122">
        <v>33</v>
      </c>
      <c r="I1122">
        <v>2087</v>
      </c>
      <c r="J1122">
        <v>0.66811279826464209</v>
      </c>
      <c r="K1122">
        <v>691895</v>
      </c>
      <c r="L1122">
        <v>175487</v>
      </c>
      <c r="M1122">
        <v>34911</v>
      </c>
      <c r="N1122">
        <v>27943</v>
      </c>
      <c r="O1122" s="43">
        <v>83337012</v>
      </c>
      <c r="P1122" s="14">
        <f t="shared" si="53"/>
        <v>4183812</v>
      </c>
      <c r="Q1122" s="14" t="str">
        <f t="shared" si="51"/>
        <v/>
      </c>
      <c r="R1122" s="14" t="str">
        <f t="shared" si="51"/>
        <v/>
      </c>
      <c r="S1122" s="14" t="str">
        <f t="shared" si="52"/>
        <v/>
      </c>
      <c r="T1122" s="14" t="s">
        <v>72</v>
      </c>
      <c r="U1122" s="14">
        <v>2004.7014853857211</v>
      </c>
      <c r="V1122">
        <v>2379</v>
      </c>
      <c r="W1122">
        <v>28.313562011718801</v>
      </c>
      <c r="X1122">
        <v>21.358654583791399</v>
      </c>
      <c r="Y1122">
        <v>3.02799018407952</v>
      </c>
      <c r="Z1122" s="31">
        <v>3.58182715908461</v>
      </c>
      <c r="AA1122">
        <v>6.5921915922489296</v>
      </c>
      <c r="AB1122">
        <v>7.0000000000000007E-2</v>
      </c>
      <c r="AC1122">
        <v>317917.38548391301</v>
      </c>
      <c r="AD1122">
        <v>359500.97950520879</v>
      </c>
      <c r="AE1122">
        <v>1</v>
      </c>
      <c r="AF1122">
        <v>10575.43902031472</v>
      </c>
      <c r="AG1122">
        <v>22867.08640698314</v>
      </c>
    </row>
    <row r="1123" spans="2:33" hidden="1" x14ac:dyDescent="0.25">
      <c r="B1123">
        <v>20</v>
      </c>
      <c r="C1123" t="s">
        <v>50</v>
      </c>
      <c r="D1123" t="s">
        <v>26</v>
      </c>
      <c r="E1123" t="s">
        <v>67</v>
      </c>
      <c r="F1123">
        <v>176579</v>
      </c>
      <c r="G1123">
        <v>223124</v>
      </c>
      <c r="H1123">
        <v>34</v>
      </c>
      <c r="I1123">
        <v>3709</v>
      </c>
      <c r="J1123">
        <v>1.5539341352790379</v>
      </c>
      <c r="K1123">
        <v>691895</v>
      </c>
      <c r="L1123">
        <v>175487</v>
      </c>
      <c r="M1123">
        <v>34911</v>
      </c>
      <c r="N1123">
        <v>27943</v>
      </c>
      <c r="O1123" s="43">
        <v>88425432</v>
      </c>
      <c r="P1123" s="14">
        <f t="shared" si="53"/>
        <v>5088420</v>
      </c>
      <c r="Q1123" s="14" t="str">
        <f t="shared" si="51"/>
        <v/>
      </c>
      <c r="R1123" s="14" t="str">
        <f t="shared" si="51"/>
        <v/>
      </c>
      <c r="S1123" s="14" t="str">
        <f t="shared" si="52"/>
        <v/>
      </c>
      <c r="T1123" s="14" t="s">
        <v>72</v>
      </c>
      <c r="U1123" s="14">
        <v>1371.9115664599622</v>
      </c>
      <c r="V1123">
        <v>2379</v>
      </c>
      <c r="W1123">
        <v>27.454675292968801</v>
      </c>
      <c r="X1123">
        <v>20.249881715414698</v>
      </c>
      <c r="Y1123">
        <v>2.9209917038563198</v>
      </c>
      <c r="Z1123" s="31">
        <v>3.0968043372318599</v>
      </c>
      <c r="AA1123">
        <v>5.7458334792287404</v>
      </c>
      <c r="AB1123">
        <v>7.0000000000000007E-2</v>
      </c>
      <c r="AC1123">
        <v>317917.38548391301</v>
      </c>
      <c r="AD1123">
        <v>359500.97950520879</v>
      </c>
      <c r="AE1123">
        <v>1</v>
      </c>
      <c r="AF1123">
        <v>10575.43902031472</v>
      </c>
      <c r="AG1123">
        <v>22867.08640698314</v>
      </c>
    </row>
    <row r="1124" spans="2:33" hidden="1" x14ac:dyDescent="0.25">
      <c r="B1124">
        <v>20</v>
      </c>
      <c r="C1124" t="s">
        <v>50</v>
      </c>
      <c r="D1124" t="s">
        <v>26</v>
      </c>
      <c r="E1124" t="s">
        <v>67</v>
      </c>
      <c r="F1124">
        <v>176579</v>
      </c>
      <c r="G1124">
        <v>223124</v>
      </c>
      <c r="H1124">
        <v>35</v>
      </c>
      <c r="I1124">
        <v>4079</v>
      </c>
      <c r="J1124">
        <v>0</v>
      </c>
      <c r="K1124">
        <v>691895</v>
      </c>
      <c r="L1124">
        <v>175487</v>
      </c>
      <c r="M1124">
        <v>34911</v>
      </c>
      <c r="N1124">
        <v>27943</v>
      </c>
      <c r="O1124" s="43">
        <v>93400776</v>
      </c>
      <c r="P1124" s="14">
        <f t="shared" si="53"/>
        <v>4975344</v>
      </c>
      <c r="Q1124" s="14" t="str">
        <f t="shared" si="51"/>
        <v/>
      </c>
      <c r="R1124" s="14" t="str">
        <f t="shared" si="51"/>
        <v/>
      </c>
      <c r="S1124" s="14" t="str">
        <f t="shared" si="52"/>
        <v/>
      </c>
      <c r="T1124" s="14" t="s">
        <v>72</v>
      </c>
      <c r="U1124" s="14">
        <v>1219.7460161804363</v>
      </c>
      <c r="V1124">
        <v>2379</v>
      </c>
      <c r="W1124">
        <v>26.968774414062501</v>
      </c>
      <c r="X1124">
        <v>22.414806846794999</v>
      </c>
      <c r="Y1124">
        <v>2.76194869423085</v>
      </c>
      <c r="Z1124" s="31">
        <v>1.27535644890005</v>
      </c>
      <c r="AA1124">
        <v>2.4690686672195601</v>
      </c>
      <c r="AB1124">
        <v>7.0000000000000007E-2</v>
      </c>
      <c r="AC1124">
        <v>317917.38548391301</v>
      </c>
      <c r="AD1124">
        <v>359500.97950520879</v>
      </c>
      <c r="AE1124">
        <v>1</v>
      </c>
      <c r="AF1124">
        <v>10575.43902031472</v>
      </c>
      <c r="AG1124">
        <v>22867.08640698314</v>
      </c>
    </row>
    <row r="1125" spans="2:33" hidden="1" x14ac:dyDescent="0.25">
      <c r="B1125">
        <v>20</v>
      </c>
      <c r="C1125" t="s">
        <v>50</v>
      </c>
      <c r="D1125" t="s">
        <v>26</v>
      </c>
      <c r="E1125" t="s">
        <v>67</v>
      </c>
      <c r="F1125">
        <v>179277</v>
      </c>
      <c r="G1125">
        <v>223124</v>
      </c>
      <c r="H1125">
        <v>36</v>
      </c>
      <c r="I1125">
        <v>1694</v>
      </c>
      <c r="J1125">
        <v>1.0640899230920919</v>
      </c>
      <c r="K1125">
        <v>691895</v>
      </c>
      <c r="L1125">
        <v>175487</v>
      </c>
      <c r="M1125">
        <v>34911</v>
      </c>
      <c r="N1125">
        <v>27943</v>
      </c>
      <c r="O1125" s="43">
        <v>98263044</v>
      </c>
      <c r="P1125" s="14">
        <f t="shared" si="53"/>
        <v>4862268</v>
      </c>
      <c r="Q1125" s="14" t="str">
        <f t="shared" si="51"/>
        <v/>
      </c>
      <c r="R1125" s="14" t="str">
        <f t="shared" si="51"/>
        <v/>
      </c>
      <c r="S1125" s="14" t="str">
        <f t="shared" si="52"/>
        <v/>
      </c>
      <c r="T1125" s="14" t="s">
        <v>72</v>
      </c>
      <c r="U1125" s="14">
        <v>2870.288075560803</v>
      </c>
      <c r="V1125">
        <v>2379</v>
      </c>
      <c r="W1125">
        <v>25.640344238281301</v>
      </c>
      <c r="X1125">
        <v>22.457033258135201</v>
      </c>
      <c r="Y1125">
        <v>2.55266183198452</v>
      </c>
      <c r="Z1125" s="31">
        <v>1.60340134626397</v>
      </c>
      <c r="AA1125">
        <v>1.0315352143907399</v>
      </c>
      <c r="AB1125">
        <v>7.0000000000000007E-2</v>
      </c>
      <c r="AC1125">
        <v>317917.38548391301</v>
      </c>
      <c r="AD1125">
        <v>359500.97950520879</v>
      </c>
      <c r="AE1125">
        <v>1</v>
      </c>
      <c r="AF1125">
        <v>10575.43902031472</v>
      </c>
      <c r="AG1125">
        <v>22867.08640698314</v>
      </c>
    </row>
    <row r="1126" spans="2:33" hidden="1" x14ac:dyDescent="0.25">
      <c r="B1126">
        <v>20</v>
      </c>
      <c r="C1126" t="s">
        <v>50</v>
      </c>
      <c r="D1126" t="s">
        <v>26</v>
      </c>
      <c r="E1126" t="s">
        <v>67</v>
      </c>
      <c r="F1126">
        <v>181673</v>
      </c>
      <c r="G1126">
        <v>223124</v>
      </c>
      <c r="H1126">
        <v>37</v>
      </c>
      <c r="I1126">
        <v>3940</v>
      </c>
      <c r="J1126">
        <v>0.94498126602248078</v>
      </c>
      <c r="K1126">
        <v>691895</v>
      </c>
      <c r="L1126">
        <v>175487</v>
      </c>
      <c r="M1126">
        <v>34911</v>
      </c>
      <c r="N1126">
        <v>27943</v>
      </c>
      <c r="O1126" s="43">
        <v>103012236</v>
      </c>
      <c r="P1126" s="14">
        <f t="shared" si="53"/>
        <v>4749192</v>
      </c>
      <c r="Q1126" s="14" t="str">
        <f t="shared" si="51"/>
        <v/>
      </c>
      <c r="R1126" s="14" t="str">
        <f t="shared" si="51"/>
        <v/>
      </c>
      <c r="S1126" s="14" t="str">
        <f t="shared" si="52"/>
        <v/>
      </c>
      <c r="T1126" s="14" t="s">
        <v>72</v>
      </c>
      <c r="U1126" s="14">
        <v>1205.3786802030456</v>
      </c>
      <c r="V1126">
        <v>2379</v>
      </c>
      <c r="W1126">
        <v>26.722009277343702</v>
      </c>
      <c r="X1126">
        <v>19.782728554475899</v>
      </c>
      <c r="Y1126">
        <v>2.8147229723563401</v>
      </c>
      <c r="Z1126" s="31">
        <v>1.4111252644280901</v>
      </c>
      <c r="AA1126">
        <v>3.21745727549489</v>
      </c>
      <c r="AB1126">
        <v>7.0000000000000007E-2</v>
      </c>
      <c r="AC1126">
        <v>317917.38548391301</v>
      </c>
      <c r="AD1126">
        <v>359500.97950520879</v>
      </c>
      <c r="AE1126">
        <v>1</v>
      </c>
      <c r="AF1126">
        <v>10575.43902031472</v>
      </c>
      <c r="AG1126">
        <v>22867.08640698314</v>
      </c>
    </row>
    <row r="1127" spans="2:33" hidden="1" x14ac:dyDescent="0.25">
      <c r="B1127">
        <v>20</v>
      </c>
      <c r="C1127" t="s">
        <v>50</v>
      </c>
      <c r="D1127" t="s">
        <v>26</v>
      </c>
      <c r="E1127" t="s">
        <v>67</v>
      </c>
      <c r="F1127">
        <v>183371</v>
      </c>
      <c r="G1127">
        <v>223124</v>
      </c>
      <c r="H1127">
        <v>38</v>
      </c>
      <c r="I1127">
        <v>0</v>
      </c>
      <c r="J1127">
        <v>0.66969039637152439</v>
      </c>
      <c r="K1127">
        <v>691895</v>
      </c>
      <c r="L1127">
        <v>175487</v>
      </c>
      <c r="M1127">
        <v>34911</v>
      </c>
      <c r="N1127">
        <v>27943</v>
      </c>
      <c r="O1127" s="43">
        <v>103012236</v>
      </c>
      <c r="P1127" s="14">
        <f t="shared" si="53"/>
        <v>0</v>
      </c>
      <c r="Q1127" s="14" t="str">
        <f t="shared" si="51"/>
        <v/>
      </c>
      <c r="R1127" s="14" t="str">
        <f t="shared" si="51"/>
        <v/>
      </c>
      <c r="S1127" s="14" t="str">
        <f t="shared" si="52"/>
        <v/>
      </c>
      <c r="T1127" s="14" t="s">
        <v>72</v>
      </c>
      <c r="U1127" s="14">
        <v>0</v>
      </c>
      <c r="V1127">
        <v>2379</v>
      </c>
      <c r="W1127">
        <v>29.005151367187501</v>
      </c>
      <c r="X1127">
        <v>15.977305141857499</v>
      </c>
      <c r="Y1127">
        <v>3.3676448857636898</v>
      </c>
      <c r="Z1127" s="31">
        <v>1.35753873709678</v>
      </c>
      <c r="AA1127">
        <v>3.1516691680264999</v>
      </c>
      <c r="AB1127">
        <v>7.0000000000000007E-2</v>
      </c>
      <c r="AC1127">
        <v>317917.38548391301</v>
      </c>
      <c r="AD1127">
        <v>359500.97950520879</v>
      </c>
      <c r="AE1127">
        <v>1</v>
      </c>
      <c r="AF1127">
        <v>10575.43902031472</v>
      </c>
      <c r="AG1127">
        <v>22867.08640698314</v>
      </c>
    </row>
    <row r="1128" spans="2:33" hidden="1" x14ac:dyDescent="0.25">
      <c r="B1128">
        <v>20</v>
      </c>
      <c r="C1128" t="s">
        <v>50</v>
      </c>
      <c r="D1128" t="s">
        <v>26</v>
      </c>
      <c r="E1128" t="s">
        <v>67</v>
      </c>
      <c r="F1128">
        <v>185505</v>
      </c>
      <c r="G1128">
        <v>223124</v>
      </c>
      <c r="H1128">
        <v>39</v>
      </c>
      <c r="I1128">
        <v>2698</v>
      </c>
      <c r="J1128">
        <v>0.84164859002169201</v>
      </c>
      <c r="K1128">
        <v>691895</v>
      </c>
      <c r="L1128">
        <v>175487</v>
      </c>
      <c r="M1128">
        <v>34911</v>
      </c>
      <c r="N1128">
        <v>27943</v>
      </c>
      <c r="O1128" s="43">
        <v>111492936</v>
      </c>
      <c r="P1128" s="14">
        <f t="shared" si="53"/>
        <v>8480700</v>
      </c>
      <c r="Q1128" s="14" t="str">
        <f t="shared" si="51"/>
        <v/>
      </c>
      <c r="R1128" s="14" t="str">
        <f t="shared" si="51"/>
        <v/>
      </c>
      <c r="S1128" s="14" t="str">
        <f t="shared" si="52"/>
        <v/>
      </c>
      <c r="T1128" s="14" t="s">
        <v>72</v>
      </c>
      <c r="U1128" s="14">
        <v>3143.3283914010376</v>
      </c>
      <c r="V1128">
        <v>2379</v>
      </c>
      <c r="W1128">
        <v>30.734704589843702</v>
      </c>
      <c r="X1128">
        <v>14.1823590954622</v>
      </c>
      <c r="Y1128">
        <v>3.7984507903647899</v>
      </c>
      <c r="Z1128" s="31">
        <v>1.5138742629231501</v>
      </c>
      <c r="AA1128">
        <v>2.47463375416755</v>
      </c>
      <c r="AB1128">
        <v>7.0000000000000007E-2</v>
      </c>
      <c r="AC1128">
        <v>317917.38548391301</v>
      </c>
      <c r="AD1128">
        <v>359500.97950520879</v>
      </c>
      <c r="AE1128">
        <v>1</v>
      </c>
      <c r="AF1128">
        <v>10575.43902031472</v>
      </c>
      <c r="AG1128">
        <v>22867.08640698314</v>
      </c>
    </row>
    <row r="1129" spans="2:33" hidden="1" x14ac:dyDescent="0.25">
      <c r="B1129">
        <v>20</v>
      </c>
      <c r="C1129" t="s">
        <v>50</v>
      </c>
      <c r="D1129" t="s">
        <v>26</v>
      </c>
      <c r="E1129" t="s">
        <v>67</v>
      </c>
      <c r="F1129">
        <v>189366</v>
      </c>
      <c r="G1129">
        <v>223124</v>
      </c>
      <c r="H1129">
        <v>40</v>
      </c>
      <c r="I1129">
        <v>2396</v>
      </c>
      <c r="J1129">
        <v>1.5227765726681131</v>
      </c>
      <c r="K1129">
        <v>691895</v>
      </c>
      <c r="L1129">
        <v>175487</v>
      </c>
      <c r="M1129">
        <v>34911</v>
      </c>
      <c r="N1129">
        <v>27943</v>
      </c>
      <c r="O1129" s="43">
        <v>117259812</v>
      </c>
      <c r="P1129" s="14">
        <f t="shared" si="53"/>
        <v>5766876</v>
      </c>
      <c r="Q1129" s="14" t="str">
        <f t="shared" si="51"/>
        <v/>
      </c>
      <c r="R1129" s="14" t="str">
        <f t="shared" si="51"/>
        <v/>
      </c>
      <c r="S1129" s="14" t="str">
        <f t="shared" si="52"/>
        <v/>
      </c>
      <c r="T1129" s="14" t="s">
        <v>72</v>
      </c>
      <c r="U1129" s="14">
        <v>2406.8764607679464</v>
      </c>
      <c r="V1129">
        <v>2379</v>
      </c>
      <c r="W1129">
        <v>32.091699218750001</v>
      </c>
      <c r="X1129">
        <v>12.1356665419083</v>
      </c>
      <c r="Y1129">
        <v>4.20030055536962</v>
      </c>
      <c r="Z1129" s="31">
        <v>0.90628189935632497</v>
      </c>
      <c r="AA1129">
        <v>4.4388713485364102</v>
      </c>
      <c r="AB1129">
        <v>7.0000000000000007E-2</v>
      </c>
      <c r="AC1129">
        <v>317917.38548391301</v>
      </c>
      <c r="AD1129">
        <v>359500.97950520879</v>
      </c>
      <c r="AE1129">
        <v>1</v>
      </c>
      <c r="AF1129">
        <v>10575.43902031472</v>
      </c>
      <c r="AG1129">
        <v>22867.08640698314</v>
      </c>
    </row>
    <row r="1130" spans="2:33" hidden="1" x14ac:dyDescent="0.25">
      <c r="B1130">
        <v>20</v>
      </c>
      <c r="C1130" t="s">
        <v>50</v>
      </c>
      <c r="D1130" t="s">
        <v>26</v>
      </c>
      <c r="E1130" t="s">
        <v>67</v>
      </c>
      <c r="F1130">
        <v>201968</v>
      </c>
      <c r="G1130">
        <v>223124</v>
      </c>
      <c r="H1130">
        <v>41</v>
      </c>
      <c r="I1130">
        <v>1698</v>
      </c>
      <c r="J1130">
        <v>4.9702228357325966</v>
      </c>
      <c r="K1130">
        <v>691895</v>
      </c>
      <c r="L1130">
        <v>175487</v>
      </c>
      <c r="M1130">
        <v>34911</v>
      </c>
      <c r="N1130">
        <v>27943</v>
      </c>
      <c r="O1130" s="43">
        <v>119747484</v>
      </c>
      <c r="P1130" s="14">
        <f t="shared" si="53"/>
        <v>2487672</v>
      </c>
      <c r="Q1130" s="14" t="str">
        <f t="shared" si="51"/>
        <v/>
      </c>
      <c r="R1130" s="14" t="str">
        <f t="shared" si="51"/>
        <v/>
      </c>
      <c r="S1130" s="14" t="str">
        <f t="shared" si="52"/>
        <v/>
      </c>
      <c r="T1130" s="14" t="s">
        <v>72</v>
      </c>
      <c r="U1130" s="14">
        <v>1465.0600706713781</v>
      </c>
      <c r="V1130">
        <v>2379</v>
      </c>
      <c r="W1130">
        <v>27.975549316406301</v>
      </c>
      <c r="X1130">
        <v>24.413166960100298</v>
      </c>
      <c r="Y1130">
        <v>2.8536182659603502</v>
      </c>
      <c r="Z1130" s="31">
        <v>3.2701307104547999</v>
      </c>
      <c r="AA1130">
        <v>5.4512353033055998</v>
      </c>
      <c r="AB1130">
        <v>7.0000000000000007E-2</v>
      </c>
      <c r="AC1130">
        <v>317917.38548391301</v>
      </c>
      <c r="AD1130">
        <v>359500.97950520879</v>
      </c>
      <c r="AE1130">
        <v>1</v>
      </c>
      <c r="AF1130">
        <v>10575.43902031472</v>
      </c>
      <c r="AG1130">
        <v>22867.08640698314</v>
      </c>
    </row>
    <row r="1131" spans="2:33" hidden="1" x14ac:dyDescent="0.25">
      <c r="B1131">
        <v>20</v>
      </c>
      <c r="C1131" t="s">
        <v>50</v>
      </c>
      <c r="D1131" t="s">
        <v>26</v>
      </c>
      <c r="E1131" t="s">
        <v>67</v>
      </c>
      <c r="F1131">
        <v>201968</v>
      </c>
      <c r="G1131">
        <v>223124</v>
      </c>
      <c r="H1131">
        <v>42</v>
      </c>
      <c r="I1131">
        <v>2134</v>
      </c>
      <c r="J1131">
        <v>0</v>
      </c>
      <c r="K1131">
        <v>691895</v>
      </c>
      <c r="L1131">
        <v>175487</v>
      </c>
      <c r="M1131">
        <v>34911</v>
      </c>
      <c r="N1131">
        <v>27943</v>
      </c>
      <c r="O1131" s="43">
        <v>121443624</v>
      </c>
      <c r="P1131" s="14">
        <f t="shared" si="53"/>
        <v>1696140</v>
      </c>
      <c r="Q1131" s="14" t="str">
        <f t="shared" si="51"/>
        <v/>
      </c>
      <c r="R1131" s="14" t="str">
        <f t="shared" si="51"/>
        <v/>
      </c>
      <c r="S1131" s="14" t="str">
        <f t="shared" si="52"/>
        <v/>
      </c>
      <c r="T1131" s="14" t="s">
        <v>72</v>
      </c>
      <c r="U1131" s="14">
        <v>794.8172446110591</v>
      </c>
      <c r="V1131">
        <v>2379</v>
      </c>
      <c r="W1131">
        <v>28.979089355468801</v>
      </c>
      <c r="X1131">
        <v>26.1927136988424</v>
      </c>
      <c r="Y1131">
        <v>2.9531538965220898</v>
      </c>
      <c r="Z1131" s="31">
        <v>2.3625043645263699</v>
      </c>
      <c r="AA1131">
        <v>10.454339810814201</v>
      </c>
      <c r="AB1131">
        <v>7.0000000000000007E-2</v>
      </c>
      <c r="AC1131">
        <v>317917.38548391301</v>
      </c>
      <c r="AD1131">
        <v>359500.97950520879</v>
      </c>
      <c r="AE1131">
        <v>1</v>
      </c>
      <c r="AF1131">
        <v>10575.43902031472</v>
      </c>
      <c r="AG1131">
        <v>22867.08640698314</v>
      </c>
    </row>
    <row r="1132" spans="2:33" hidden="1" x14ac:dyDescent="0.25">
      <c r="B1132">
        <v>20</v>
      </c>
      <c r="C1132" t="s">
        <v>50</v>
      </c>
      <c r="D1132" t="s">
        <v>26</v>
      </c>
      <c r="E1132" t="s">
        <v>67</v>
      </c>
      <c r="F1132">
        <v>206739</v>
      </c>
      <c r="G1132">
        <v>223124</v>
      </c>
      <c r="H1132">
        <v>43</v>
      </c>
      <c r="I1132">
        <v>3861</v>
      </c>
      <c r="J1132">
        <v>1.88168014198383</v>
      </c>
      <c r="K1132">
        <v>691895</v>
      </c>
      <c r="L1132">
        <v>175487</v>
      </c>
      <c r="M1132">
        <v>34911</v>
      </c>
      <c r="N1132">
        <v>27943</v>
      </c>
      <c r="O1132" s="43">
        <v>126192816</v>
      </c>
      <c r="P1132" s="14">
        <f t="shared" si="53"/>
        <v>4749192</v>
      </c>
      <c r="Q1132" s="14" t="str">
        <f t="shared" si="51"/>
        <v/>
      </c>
      <c r="R1132" s="14" t="str">
        <f t="shared" si="51"/>
        <v/>
      </c>
      <c r="S1132" s="14" t="str">
        <f t="shared" si="52"/>
        <v/>
      </c>
      <c r="T1132" s="14" t="s">
        <v>72</v>
      </c>
      <c r="U1132" s="14">
        <v>1230.041958041958</v>
      </c>
      <c r="V1132">
        <v>2379</v>
      </c>
      <c r="W1132">
        <v>26.269616699218801</v>
      </c>
      <c r="X1132">
        <v>30.1624270520396</v>
      </c>
      <c r="Y1132">
        <v>2.3857417169778401</v>
      </c>
      <c r="Z1132" s="31">
        <v>2.0003406162548498</v>
      </c>
      <c r="AA1132">
        <v>13.233157157396199</v>
      </c>
      <c r="AB1132">
        <v>7.0000000000000007E-2</v>
      </c>
      <c r="AC1132">
        <v>317917.38548391301</v>
      </c>
      <c r="AD1132">
        <v>359500.97950520879</v>
      </c>
      <c r="AE1132">
        <v>1</v>
      </c>
      <c r="AF1132">
        <v>10575.43902031472</v>
      </c>
      <c r="AG1132">
        <v>22867.08640698314</v>
      </c>
    </row>
    <row r="1133" spans="2:33" hidden="1" x14ac:dyDescent="0.25">
      <c r="B1133">
        <v>20</v>
      </c>
      <c r="C1133" t="s">
        <v>50</v>
      </c>
      <c r="D1133" t="s">
        <v>26</v>
      </c>
      <c r="E1133" t="s">
        <v>67</v>
      </c>
      <c r="F1133">
        <v>210353</v>
      </c>
      <c r="G1133">
        <v>223124</v>
      </c>
      <c r="H1133">
        <v>44</v>
      </c>
      <c r="I1133">
        <v>12602</v>
      </c>
      <c r="J1133">
        <v>1.425359889568133</v>
      </c>
      <c r="K1133">
        <v>691895</v>
      </c>
      <c r="L1133">
        <v>175487</v>
      </c>
      <c r="M1133">
        <v>34911</v>
      </c>
      <c r="N1133">
        <v>27943</v>
      </c>
      <c r="O1133" s="43">
        <v>130037400</v>
      </c>
      <c r="P1133" s="14">
        <f t="shared" si="53"/>
        <v>3844584</v>
      </c>
      <c r="Q1133" s="14" t="str">
        <f t="shared" si="51"/>
        <v/>
      </c>
      <c r="R1133" s="14" t="str">
        <f t="shared" si="51"/>
        <v/>
      </c>
      <c r="S1133" s="14" t="str">
        <f t="shared" si="52"/>
        <v/>
      </c>
      <c r="T1133" s="14" t="s">
        <v>72</v>
      </c>
      <c r="U1133" s="14">
        <v>305.07728931915568</v>
      </c>
      <c r="V1133">
        <v>2379</v>
      </c>
      <c r="W1133">
        <v>24.568811035156301</v>
      </c>
      <c r="X1133">
        <v>33.348749457671403</v>
      </c>
      <c r="Y1133">
        <v>2.0583744130114701</v>
      </c>
      <c r="Z1133" s="31">
        <v>2.5613197094484699</v>
      </c>
      <c r="AA1133">
        <v>3.6614829412960201</v>
      </c>
      <c r="AB1133">
        <v>7.0000000000000007E-2</v>
      </c>
      <c r="AC1133">
        <v>317917.38548391301</v>
      </c>
      <c r="AD1133">
        <v>359500.97950520879</v>
      </c>
      <c r="AE1133">
        <v>1</v>
      </c>
      <c r="AF1133">
        <v>10575.43902031472</v>
      </c>
      <c r="AG1133">
        <v>22867.08640698314</v>
      </c>
    </row>
    <row r="1134" spans="2:33" hidden="1" x14ac:dyDescent="0.25">
      <c r="B1134">
        <v>20</v>
      </c>
      <c r="C1134" t="s">
        <v>50</v>
      </c>
      <c r="D1134" t="s">
        <v>26</v>
      </c>
      <c r="E1134" t="s">
        <v>67</v>
      </c>
      <c r="F1134">
        <v>212517</v>
      </c>
      <c r="G1134">
        <v>223124</v>
      </c>
      <c r="H1134">
        <v>45</v>
      </c>
      <c r="I1134">
        <v>0</v>
      </c>
      <c r="J1134">
        <v>0.85348057582330905</v>
      </c>
      <c r="K1134">
        <v>691895</v>
      </c>
      <c r="L1134">
        <v>175487</v>
      </c>
      <c r="M1134">
        <v>34911</v>
      </c>
      <c r="N1134">
        <v>27943</v>
      </c>
      <c r="O1134" s="43">
        <v>132298920</v>
      </c>
      <c r="P1134" s="14">
        <f t="shared" si="53"/>
        <v>2261520</v>
      </c>
      <c r="Q1134" s="14" t="str">
        <f t="shared" si="51"/>
        <v/>
      </c>
      <c r="R1134" s="14" t="str">
        <f t="shared" si="51"/>
        <v/>
      </c>
      <c r="S1134" s="14" t="str">
        <f t="shared" si="52"/>
        <v/>
      </c>
      <c r="T1134" s="14" t="s">
        <v>72</v>
      </c>
      <c r="U1134" s="14">
        <v>0</v>
      </c>
      <c r="V1134">
        <v>2379</v>
      </c>
      <c r="W1134">
        <v>27.157067871093702</v>
      </c>
      <c r="X1134">
        <v>27.5954670196401</v>
      </c>
      <c r="Y1134">
        <v>2.6058554598817301</v>
      </c>
      <c r="Z1134" s="31">
        <v>2.34316052141603</v>
      </c>
      <c r="AA1134">
        <v>3.7504492104773202</v>
      </c>
      <c r="AB1134">
        <v>7.0000000000000007E-2</v>
      </c>
      <c r="AC1134">
        <v>317917.38548391301</v>
      </c>
      <c r="AD1134">
        <v>359500.97950520879</v>
      </c>
      <c r="AE1134">
        <v>1</v>
      </c>
      <c r="AF1134">
        <v>10575.43902031472</v>
      </c>
      <c r="AG1134">
        <v>22867.08640698314</v>
      </c>
    </row>
    <row r="1135" spans="2:33" hidden="1" x14ac:dyDescent="0.25">
      <c r="B1135">
        <v>20</v>
      </c>
      <c r="C1135" t="s">
        <v>50</v>
      </c>
      <c r="D1135" t="s">
        <v>26</v>
      </c>
      <c r="E1135" t="s">
        <v>67</v>
      </c>
      <c r="F1135">
        <v>213487</v>
      </c>
      <c r="G1135">
        <v>223124</v>
      </c>
      <c r="H1135">
        <v>46</v>
      </c>
      <c r="I1135">
        <v>4771</v>
      </c>
      <c r="J1135">
        <v>0.3825675409189509</v>
      </c>
      <c r="K1135">
        <v>691895</v>
      </c>
      <c r="L1135">
        <v>175487</v>
      </c>
      <c r="M1135">
        <v>34911</v>
      </c>
      <c r="N1135">
        <v>27943</v>
      </c>
      <c r="O1135" s="43">
        <v>134560440</v>
      </c>
      <c r="P1135" s="14">
        <f t="shared" si="53"/>
        <v>2261520</v>
      </c>
      <c r="Q1135" s="14" t="str">
        <f t="shared" si="51"/>
        <v/>
      </c>
      <c r="R1135" s="14" t="str">
        <f t="shared" si="51"/>
        <v/>
      </c>
      <c r="S1135" s="14" t="str">
        <f t="shared" si="52"/>
        <v/>
      </c>
      <c r="T1135" s="14" t="s">
        <v>72</v>
      </c>
      <c r="U1135" s="14">
        <v>474.01383357786625</v>
      </c>
      <c r="V1135">
        <v>2379</v>
      </c>
      <c r="W1135">
        <v>25.528161621093702</v>
      </c>
      <c r="X1135">
        <v>25.3941444751391</v>
      </c>
      <c r="Y1135">
        <v>2.4396009343835598</v>
      </c>
      <c r="Z1135" s="31">
        <v>3.0762280397358999</v>
      </c>
      <c r="AA1135">
        <v>2.7662303721753099</v>
      </c>
      <c r="AB1135">
        <v>7.0000000000000007E-2</v>
      </c>
      <c r="AC1135">
        <v>317917.38548391301</v>
      </c>
      <c r="AD1135">
        <v>359500.97950520879</v>
      </c>
      <c r="AE1135">
        <v>1</v>
      </c>
      <c r="AF1135">
        <v>10575.43902031472</v>
      </c>
      <c r="AG1135">
        <v>22867.08640698314</v>
      </c>
    </row>
    <row r="1136" spans="2:33" hidden="1" x14ac:dyDescent="0.25">
      <c r="B1136">
        <v>20</v>
      </c>
      <c r="C1136" t="s">
        <v>50</v>
      </c>
      <c r="D1136" t="s">
        <v>26</v>
      </c>
      <c r="E1136" t="s">
        <v>67</v>
      </c>
      <c r="F1136">
        <v>214745</v>
      </c>
      <c r="G1136">
        <v>223124</v>
      </c>
      <c r="H1136">
        <v>47</v>
      </c>
      <c r="I1136">
        <v>3614</v>
      </c>
      <c r="J1136">
        <v>0.49615460461447453</v>
      </c>
      <c r="K1136">
        <v>691895</v>
      </c>
      <c r="L1136">
        <v>175487</v>
      </c>
      <c r="M1136">
        <v>34911</v>
      </c>
      <c r="N1136">
        <v>27943</v>
      </c>
      <c r="O1136" s="43">
        <v>142475760</v>
      </c>
      <c r="P1136" s="14">
        <f t="shared" si="53"/>
        <v>7915320</v>
      </c>
      <c r="Q1136" s="14" t="str">
        <f t="shared" si="51"/>
        <v/>
      </c>
      <c r="R1136" s="14" t="str">
        <f t="shared" si="51"/>
        <v/>
      </c>
      <c r="S1136" s="14" t="str">
        <f t="shared" si="52"/>
        <v/>
      </c>
      <c r="T1136" s="14" t="s">
        <v>72</v>
      </c>
      <c r="U1136" s="14">
        <v>2190.1826231322634</v>
      </c>
      <c r="V1136">
        <v>2379</v>
      </c>
      <c r="W1136">
        <v>28.513940429687501</v>
      </c>
      <c r="X1136">
        <v>20.863627629319399</v>
      </c>
      <c r="Y1136">
        <v>3.0826859327279301</v>
      </c>
      <c r="Z1136" s="31">
        <v>1.41452361633176</v>
      </c>
      <c r="AA1136">
        <v>3.19360035167893</v>
      </c>
      <c r="AB1136">
        <v>7.0000000000000007E-2</v>
      </c>
      <c r="AC1136">
        <v>317917.38548391301</v>
      </c>
      <c r="AD1136">
        <v>359500.97950520879</v>
      </c>
      <c r="AE1136">
        <v>1</v>
      </c>
      <c r="AF1136">
        <v>10575.43902031472</v>
      </c>
      <c r="AG1136">
        <v>22867.08640698314</v>
      </c>
    </row>
    <row r="1137" spans="2:33" hidden="1" x14ac:dyDescent="0.25">
      <c r="B1137">
        <v>20</v>
      </c>
      <c r="C1137" t="s">
        <v>50</v>
      </c>
      <c r="D1137" t="s">
        <v>26</v>
      </c>
      <c r="E1137" t="s">
        <v>67</v>
      </c>
      <c r="F1137">
        <v>215944</v>
      </c>
      <c r="G1137">
        <v>223124</v>
      </c>
      <c r="H1137">
        <v>48</v>
      </c>
      <c r="I1137">
        <v>2164</v>
      </c>
      <c r="J1137">
        <v>0.47288503253796099</v>
      </c>
      <c r="K1137">
        <v>691895</v>
      </c>
      <c r="L1137">
        <v>175487</v>
      </c>
      <c r="M1137">
        <v>34911</v>
      </c>
      <c r="N1137">
        <v>27943</v>
      </c>
      <c r="O1137" s="43">
        <v>144737280</v>
      </c>
      <c r="P1137" s="14">
        <f t="shared" si="53"/>
        <v>2261520</v>
      </c>
      <c r="Q1137" s="14" t="str">
        <f t="shared" si="51"/>
        <v/>
      </c>
      <c r="R1137" s="14" t="str">
        <f t="shared" si="51"/>
        <v/>
      </c>
      <c r="S1137" s="14" t="str">
        <f t="shared" si="52"/>
        <v/>
      </c>
      <c r="T1137" s="14" t="s">
        <v>72</v>
      </c>
      <c r="U1137" s="14">
        <v>1045.0646950092421</v>
      </c>
      <c r="V1137">
        <v>2379</v>
      </c>
      <c r="W1137">
        <v>30.388085937500001</v>
      </c>
      <c r="X1137">
        <v>17.077639793447901</v>
      </c>
      <c r="Y1137">
        <v>3.5982072262141802</v>
      </c>
      <c r="Z1137" s="31">
        <v>2.2896186579472202</v>
      </c>
      <c r="AA1137">
        <v>1.62485482009802</v>
      </c>
      <c r="AB1137">
        <v>7.0000000000000007E-2</v>
      </c>
      <c r="AC1137">
        <v>317917.38548391301</v>
      </c>
      <c r="AD1137">
        <v>359500.97950520879</v>
      </c>
      <c r="AE1137">
        <v>1</v>
      </c>
      <c r="AF1137">
        <v>10575.43902031472</v>
      </c>
      <c r="AG1137">
        <v>22867.08640698314</v>
      </c>
    </row>
    <row r="1138" spans="2:33" hidden="1" x14ac:dyDescent="0.25">
      <c r="B1138">
        <v>20</v>
      </c>
      <c r="C1138" t="s">
        <v>50</v>
      </c>
      <c r="D1138" t="s">
        <v>26</v>
      </c>
      <c r="E1138" t="s">
        <v>67</v>
      </c>
      <c r="F1138">
        <v>217120</v>
      </c>
      <c r="G1138">
        <v>223124</v>
      </c>
      <c r="H1138">
        <v>49</v>
      </c>
      <c r="I1138">
        <v>970</v>
      </c>
      <c r="J1138">
        <v>0.46381384342338788</v>
      </c>
      <c r="K1138">
        <v>691895</v>
      </c>
      <c r="L1138">
        <v>175487</v>
      </c>
      <c r="M1138">
        <v>34911</v>
      </c>
      <c r="N1138">
        <v>27943</v>
      </c>
      <c r="O1138" s="43">
        <v>148129560</v>
      </c>
      <c r="P1138" s="14">
        <f t="shared" si="53"/>
        <v>3392280</v>
      </c>
      <c r="Q1138" s="14" t="str">
        <f t="shared" si="51"/>
        <v/>
      </c>
      <c r="R1138" s="14" t="str">
        <f t="shared" si="51"/>
        <v/>
      </c>
      <c r="S1138" s="14" t="str">
        <f t="shared" si="52"/>
        <v/>
      </c>
      <c r="T1138" s="14" t="s">
        <v>72</v>
      </c>
      <c r="U1138" s="14">
        <v>3497.1958762886597</v>
      </c>
      <c r="V1138">
        <v>2379</v>
      </c>
      <c r="W1138">
        <v>27.712854003906301</v>
      </c>
      <c r="X1138">
        <v>22.623991132842999</v>
      </c>
      <c r="Y1138">
        <v>2.8769249193484199</v>
      </c>
      <c r="Z1138" s="31">
        <v>2.62857179711559</v>
      </c>
      <c r="AA1138">
        <v>4.0381581762418497</v>
      </c>
      <c r="AB1138">
        <v>7.0000000000000007E-2</v>
      </c>
      <c r="AC1138">
        <v>317917.38548391301</v>
      </c>
      <c r="AD1138">
        <v>359500.97950520879</v>
      </c>
      <c r="AE1138">
        <v>1</v>
      </c>
      <c r="AF1138">
        <v>10575.43902031472</v>
      </c>
      <c r="AG1138">
        <v>22867.08640698314</v>
      </c>
    </row>
    <row r="1139" spans="2:33" hidden="1" x14ac:dyDescent="0.25">
      <c r="B1139">
        <v>20</v>
      </c>
      <c r="C1139" t="s">
        <v>50</v>
      </c>
      <c r="D1139" t="s">
        <v>26</v>
      </c>
      <c r="E1139" t="s">
        <v>67</v>
      </c>
      <c r="F1139">
        <v>218457</v>
      </c>
      <c r="G1139">
        <v>223124</v>
      </c>
      <c r="H1139">
        <v>50</v>
      </c>
      <c r="I1139">
        <v>1258</v>
      </c>
      <c r="J1139">
        <v>0.52731216722539942</v>
      </c>
      <c r="K1139">
        <v>691895</v>
      </c>
      <c r="L1139">
        <v>175487</v>
      </c>
      <c r="M1139">
        <v>34911</v>
      </c>
      <c r="N1139">
        <v>27943</v>
      </c>
      <c r="O1139" s="43">
        <v>150391080</v>
      </c>
      <c r="P1139" s="14">
        <f t="shared" si="53"/>
        <v>2261520</v>
      </c>
      <c r="Q1139" s="14" t="str">
        <f t="shared" si="51"/>
        <v/>
      </c>
      <c r="R1139" s="14" t="str">
        <f t="shared" si="51"/>
        <v/>
      </c>
      <c r="S1139" s="14" t="str">
        <f t="shared" si="52"/>
        <v/>
      </c>
      <c r="T1139" s="14" t="s">
        <v>72</v>
      </c>
      <c r="U1139" s="14">
        <v>1797.710651828299</v>
      </c>
      <c r="V1139">
        <v>2379</v>
      </c>
      <c r="W1139">
        <v>26.307702636718801</v>
      </c>
      <c r="X1139">
        <v>24.755373532233001</v>
      </c>
      <c r="Y1139">
        <v>2.5764752882964799</v>
      </c>
      <c r="Z1139" s="31">
        <v>0.82067820168688899</v>
      </c>
      <c r="AA1139">
        <v>3.7982590222406101</v>
      </c>
      <c r="AB1139">
        <v>7.0000000000000007E-2</v>
      </c>
      <c r="AC1139">
        <v>317917.38548391301</v>
      </c>
      <c r="AD1139">
        <v>359500.97950520879</v>
      </c>
      <c r="AE1139">
        <v>1</v>
      </c>
      <c r="AF1139">
        <v>10575.43902031472</v>
      </c>
      <c r="AG1139">
        <v>22867.08640698314</v>
      </c>
    </row>
    <row r="1140" spans="2:33" hidden="1" x14ac:dyDescent="0.25">
      <c r="B1140">
        <v>20</v>
      </c>
      <c r="C1140" t="s">
        <v>50</v>
      </c>
      <c r="D1140" t="s">
        <v>26</v>
      </c>
      <c r="E1140" t="s">
        <v>67</v>
      </c>
      <c r="F1140">
        <v>218457</v>
      </c>
      <c r="G1140">
        <v>223124</v>
      </c>
      <c r="H1140">
        <v>51</v>
      </c>
      <c r="I1140">
        <v>1199</v>
      </c>
      <c r="J1140">
        <v>0</v>
      </c>
      <c r="K1140">
        <v>691895</v>
      </c>
      <c r="L1140">
        <v>175487</v>
      </c>
      <c r="M1140">
        <v>34911</v>
      </c>
      <c r="N1140">
        <v>27943</v>
      </c>
      <c r="O1140" s="43">
        <v>153783360</v>
      </c>
      <c r="P1140" s="14">
        <f t="shared" si="53"/>
        <v>3392280</v>
      </c>
      <c r="Q1140" s="14" t="str">
        <f t="shared" si="51"/>
        <v/>
      </c>
      <c r="R1140" s="14" t="str">
        <f t="shared" si="51"/>
        <v/>
      </c>
      <c r="S1140" s="14" t="str">
        <f t="shared" si="52"/>
        <v/>
      </c>
      <c r="T1140" s="14" t="s">
        <v>72</v>
      </c>
      <c r="U1140" s="14">
        <v>2829.2577147623019</v>
      </c>
      <c r="V1140">
        <v>2379</v>
      </c>
      <c r="W1140">
        <v>26.267419433593702</v>
      </c>
      <c r="X1140">
        <v>27.982655869652302</v>
      </c>
      <c r="Y1140">
        <v>2.45998519380991</v>
      </c>
      <c r="Z1140" s="31">
        <v>2.0601180159124199</v>
      </c>
      <c r="AA1140">
        <v>7.5999048474641997</v>
      </c>
      <c r="AB1140">
        <v>7.0000000000000007E-2</v>
      </c>
      <c r="AC1140">
        <v>317917.38548391301</v>
      </c>
      <c r="AD1140">
        <v>359500.97950520879</v>
      </c>
      <c r="AE1140">
        <v>1</v>
      </c>
      <c r="AF1140">
        <v>10575.43902031472</v>
      </c>
      <c r="AG1140">
        <v>22867.08640698314</v>
      </c>
    </row>
    <row r="1141" spans="2:33" hidden="1" x14ac:dyDescent="0.25">
      <c r="B1141">
        <v>20</v>
      </c>
      <c r="C1141" t="s">
        <v>50</v>
      </c>
      <c r="D1141" t="s">
        <v>26</v>
      </c>
      <c r="E1141" t="s">
        <v>67</v>
      </c>
      <c r="F1141">
        <v>218444</v>
      </c>
      <c r="G1141">
        <v>223124</v>
      </c>
      <c r="H1141">
        <v>52</v>
      </c>
      <c r="I1141">
        <v>1176</v>
      </c>
      <c r="J1141">
        <v>0</v>
      </c>
      <c r="K1141">
        <v>691895</v>
      </c>
      <c r="L1141">
        <v>175487</v>
      </c>
      <c r="M1141">
        <v>34911</v>
      </c>
      <c r="N1141">
        <v>27943</v>
      </c>
      <c r="O1141" s="43">
        <v>156044880</v>
      </c>
      <c r="P1141" s="14">
        <f t="shared" si="53"/>
        <v>2261520</v>
      </c>
      <c r="Q1141" s="14" t="str">
        <f t="shared" si="51"/>
        <v/>
      </c>
      <c r="R1141" s="14" t="str">
        <f t="shared" si="51"/>
        <v/>
      </c>
      <c r="S1141" s="14" t="str">
        <f t="shared" si="52"/>
        <v/>
      </c>
      <c r="T1141" s="14" t="s">
        <v>72</v>
      </c>
      <c r="U1141" s="14">
        <v>1923.0612244897959</v>
      </c>
      <c r="V1141">
        <v>2379</v>
      </c>
      <c r="W1141">
        <v>13.033349609375</v>
      </c>
      <c r="X1141">
        <v>93.275532069644996</v>
      </c>
      <c r="Y1141">
        <v>0.101049602410845</v>
      </c>
      <c r="Z1141" s="31">
        <v>1.6663811399108901</v>
      </c>
      <c r="AA1141">
        <v>17.9913760403855</v>
      </c>
      <c r="AB1141">
        <v>7.0000000000000007E-2</v>
      </c>
      <c r="AC1141">
        <v>317917.38548391301</v>
      </c>
      <c r="AD1141">
        <v>359500.97950520879</v>
      </c>
      <c r="AE1141">
        <v>1</v>
      </c>
      <c r="AF1141">
        <v>10575.43902031472</v>
      </c>
      <c r="AG1141">
        <v>22867.08640698314</v>
      </c>
    </row>
    <row r="1142" spans="2:33" hidden="1" x14ac:dyDescent="0.25">
      <c r="B1142">
        <v>20</v>
      </c>
      <c r="C1142" t="s">
        <v>50</v>
      </c>
      <c r="D1142" t="s">
        <v>26</v>
      </c>
      <c r="E1142" t="s">
        <v>67</v>
      </c>
      <c r="F1142">
        <v>218666</v>
      </c>
      <c r="G1142">
        <v>223124</v>
      </c>
      <c r="H1142">
        <v>53</v>
      </c>
      <c r="I1142">
        <v>1337</v>
      </c>
      <c r="J1142">
        <v>8.7556694931966092E-2</v>
      </c>
      <c r="K1142">
        <v>691895</v>
      </c>
      <c r="L1142">
        <v>175487</v>
      </c>
      <c r="M1142">
        <v>34911</v>
      </c>
      <c r="N1142">
        <v>27943</v>
      </c>
      <c r="O1142" s="43">
        <v>161698680</v>
      </c>
      <c r="P1142" s="14">
        <f t="shared" si="53"/>
        <v>5653800</v>
      </c>
      <c r="Q1142" s="14" t="str">
        <f t="shared" si="51"/>
        <v/>
      </c>
      <c r="R1142" s="14" t="str">
        <f t="shared" si="51"/>
        <v/>
      </c>
      <c r="S1142" s="14" t="str">
        <f t="shared" si="52"/>
        <v/>
      </c>
      <c r="T1142" s="14" t="s">
        <v>72</v>
      </c>
      <c r="U1142" s="14">
        <v>4228.7210172026926</v>
      </c>
      <c r="V1142">
        <v>2379</v>
      </c>
      <c r="W1142">
        <v>18.333428955078102</v>
      </c>
      <c r="X1142">
        <v>37.832081984038197</v>
      </c>
      <c r="Y1142">
        <v>1.3114043201849499</v>
      </c>
      <c r="Z1142" s="31">
        <v>2.1970911919974001</v>
      </c>
      <c r="AA1142">
        <v>12.167078832644201</v>
      </c>
      <c r="AB1142">
        <v>7.0000000000000007E-2</v>
      </c>
      <c r="AC1142">
        <v>317917.38548391301</v>
      </c>
      <c r="AD1142">
        <v>359500.97950520879</v>
      </c>
      <c r="AE1142">
        <v>1</v>
      </c>
      <c r="AF1142">
        <v>10575.43902031472</v>
      </c>
      <c r="AG1142">
        <v>22867.08640698314</v>
      </c>
    </row>
    <row r="1143" spans="2:33" hidden="1" x14ac:dyDescent="0.25">
      <c r="B1143">
        <v>20</v>
      </c>
      <c r="C1143" t="s">
        <v>50</v>
      </c>
      <c r="D1143" t="s">
        <v>26</v>
      </c>
      <c r="E1143" t="s">
        <v>67</v>
      </c>
      <c r="F1143">
        <v>219254</v>
      </c>
      <c r="G1143">
        <v>223124</v>
      </c>
      <c r="H1143">
        <v>54</v>
      </c>
      <c r="I1143">
        <v>0</v>
      </c>
      <c r="J1143">
        <v>0.231906921711694</v>
      </c>
      <c r="K1143">
        <v>691895</v>
      </c>
      <c r="L1143">
        <v>175487</v>
      </c>
      <c r="M1143">
        <v>34911</v>
      </c>
      <c r="N1143">
        <v>27943</v>
      </c>
      <c r="O1143" s="43">
        <v>160567920</v>
      </c>
      <c r="P1143" s="14">
        <f t="shared" si="53"/>
        <v>-1130760</v>
      </c>
      <c r="Q1143" s="14">
        <f t="shared" si="51"/>
        <v>-1130760</v>
      </c>
      <c r="R1143" s="14">
        <f t="shared" si="51"/>
        <v>-1130760</v>
      </c>
      <c r="S1143" s="14">
        <f t="shared" si="52"/>
        <v>1278618177600</v>
      </c>
      <c r="T1143" s="14">
        <v>1278618177600</v>
      </c>
      <c r="U1143" s="14">
        <v>0</v>
      </c>
      <c r="V1143">
        <v>2379</v>
      </c>
      <c r="W1143">
        <v>26.787805175781301</v>
      </c>
      <c r="X1143">
        <v>22.398652329120399</v>
      </c>
      <c r="Y1143">
        <v>2.7333577057465499</v>
      </c>
      <c r="Z1143" s="31">
        <v>2.5775008418702301</v>
      </c>
      <c r="AA1143">
        <v>5.9301654004037196</v>
      </c>
      <c r="AB1143">
        <v>7.0000000000000007E-2</v>
      </c>
      <c r="AC1143">
        <v>317917.38548391301</v>
      </c>
      <c r="AD1143">
        <v>359500.97950520879</v>
      </c>
      <c r="AE1143">
        <v>1</v>
      </c>
      <c r="AF1143">
        <v>10575.43902031472</v>
      </c>
      <c r="AG1143">
        <v>22867.08640698314</v>
      </c>
    </row>
    <row r="1144" spans="2:33" hidden="1" x14ac:dyDescent="0.25">
      <c r="B1144">
        <v>20</v>
      </c>
      <c r="C1144" t="s">
        <v>50</v>
      </c>
      <c r="D1144" t="s">
        <v>26</v>
      </c>
      <c r="E1144" t="s">
        <v>67</v>
      </c>
      <c r="F1144">
        <v>221723</v>
      </c>
      <c r="G1144">
        <v>223124</v>
      </c>
      <c r="H1144">
        <v>55</v>
      </c>
      <c r="I1144">
        <v>-13</v>
      </c>
      <c r="J1144">
        <v>0.97377243147308234</v>
      </c>
      <c r="K1144">
        <v>691895</v>
      </c>
      <c r="L1144">
        <v>175487</v>
      </c>
      <c r="M1144">
        <v>34911</v>
      </c>
      <c r="N1144">
        <v>27943</v>
      </c>
      <c r="O1144" s="43">
        <v>163960200</v>
      </c>
      <c r="P1144" s="14">
        <f t="shared" si="53"/>
        <v>3392280</v>
      </c>
      <c r="Q1144" s="14" t="str">
        <f t="shared" si="51"/>
        <v/>
      </c>
      <c r="R1144" s="14" t="str">
        <f t="shared" si="51"/>
        <v/>
      </c>
      <c r="S1144" s="14" t="str">
        <f t="shared" si="52"/>
        <v/>
      </c>
      <c r="T1144" s="14" t="s">
        <v>72</v>
      </c>
      <c r="U1144" s="14">
        <v>-260944.61538461538</v>
      </c>
      <c r="V1144">
        <v>2379</v>
      </c>
      <c r="W1144">
        <v>28.821160888671901</v>
      </c>
      <c r="X1144">
        <v>21.9610358187917</v>
      </c>
      <c r="Y1144">
        <v>3.0943968769407699</v>
      </c>
      <c r="Z1144" s="31">
        <v>1.92544678364587</v>
      </c>
      <c r="AA1144">
        <v>8.4140566401751204</v>
      </c>
      <c r="AB1144">
        <v>7.0000000000000007E-2</v>
      </c>
      <c r="AC1144">
        <v>317917.38548391301</v>
      </c>
      <c r="AD1144">
        <v>359500.97950520879</v>
      </c>
      <c r="AE1144">
        <v>1</v>
      </c>
      <c r="AF1144">
        <v>10575.43902031472</v>
      </c>
      <c r="AG1144">
        <v>22867.08640698314</v>
      </c>
    </row>
    <row r="1145" spans="2:33" hidden="1" x14ac:dyDescent="0.25">
      <c r="B1145">
        <v>20</v>
      </c>
      <c r="C1145" t="s">
        <v>50</v>
      </c>
      <c r="D1145" t="s">
        <v>26</v>
      </c>
      <c r="E1145" t="s">
        <v>67</v>
      </c>
      <c r="F1145">
        <v>219329</v>
      </c>
      <c r="G1145">
        <v>223124</v>
      </c>
      <c r="H1145">
        <v>56</v>
      </c>
      <c r="I1145">
        <v>222</v>
      </c>
      <c r="J1145">
        <v>0</v>
      </c>
      <c r="K1145">
        <v>691895</v>
      </c>
      <c r="L1145">
        <v>175487</v>
      </c>
      <c r="M1145">
        <v>34911</v>
      </c>
      <c r="N1145">
        <v>27943</v>
      </c>
      <c r="O1145" s="43">
        <v>165090960</v>
      </c>
      <c r="P1145" s="14">
        <f t="shared" si="53"/>
        <v>1130760</v>
      </c>
      <c r="Q1145" s="14" t="str">
        <f t="shared" si="51"/>
        <v/>
      </c>
      <c r="R1145" s="14" t="str">
        <f t="shared" si="51"/>
        <v/>
      </c>
      <c r="S1145" s="14" t="str">
        <f t="shared" si="52"/>
        <v/>
      </c>
      <c r="T1145" s="14" t="s">
        <v>72</v>
      </c>
      <c r="U1145" s="14">
        <v>5093.5135135135133</v>
      </c>
      <c r="V1145">
        <v>2379</v>
      </c>
      <c r="W1145">
        <v>25.372705078125001</v>
      </c>
      <c r="X1145">
        <v>24.438860546654201</v>
      </c>
      <c r="Y1145">
        <v>2.44820696361373</v>
      </c>
      <c r="Z1145" s="31">
        <v>3.0147086457380801</v>
      </c>
      <c r="AA1145">
        <v>4.2575930552245103</v>
      </c>
      <c r="AB1145">
        <v>7.0000000000000007E-2</v>
      </c>
      <c r="AC1145">
        <v>317917.38548391301</v>
      </c>
      <c r="AD1145">
        <v>359500.97950520879</v>
      </c>
      <c r="AE1145">
        <v>1</v>
      </c>
      <c r="AF1145">
        <v>10575.43902031472</v>
      </c>
      <c r="AG1145">
        <v>22867.08640698314</v>
      </c>
    </row>
    <row r="1146" spans="2:33" hidden="1" x14ac:dyDescent="0.25">
      <c r="B1146">
        <v>20</v>
      </c>
      <c r="C1146" t="s">
        <v>50</v>
      </c>
      <c r="D1146" t="s">
        <v>26</v>
      </c>
      <c r="E1146" t="s">
        <v>67</v>
      </c>
      <c r="F1146">
        <v>219423</v>
      </c>
      <c r="G1146">
        <v>223124</v>
      </c>
      <c r="H1146">
        <v>57</v>
      </c>
      <c r="I1146">
        <v>588</v>
      </c>
      <c r="J1146">
        <v>3.7073555511733393E-2</v>
      </c>
      <c r="K1146">
        <v>691895</v>
      </c>
      <c r="L1146">
        <v>175487</v>
      </c>
      <c r="M1146">
        <v>34911</v>
      </c>
      <c r="N1146">
        <v>27943</v>
      </c>
      <c r="O1146" s="43">
        <v>165090960</v>
      </c>
      <c r="P1146" s="14">
        <f t="shared" si="53"/>
        <v>0</v>
      </c>
      <c r="Q1146" s="14" t="str">
        <f t="shared" si="51"/>
        <v/>
      </c>
      <c r="R1146" s="14" t="str">
        <f t="shared" si="51"/>
        <v/>
      </c>
      <c r="S1146" s="14" t="str">
        <f t="shared" si="52"/>
        <v/>
      </c>
      <c r="T1146" s="14" t="s">
        <v>72</v>
      </c>
      <c r="U1146" s="14">
        <v>-280766.93877551018</v>
      </c>
      <c r="V1146">
        <v>2379</v>
      </c>
      <c r="W1146">
        <v>29.270593261718801</v>
      </c>
      <c r="X1146">
        <v>15.1283122332405</v>
      </c>
      <c r="Y1146">
        <v>3.4542007012609801</v>
      </c>
      <c r="Z1146" s="31">
        <v>0.97134128421445098</v>
      </c>
      <c r="AA1146">
        <v>6.5174989222883202</v>
      </c>
      <c r="AB1146">
        <v>7.0000000000000007E-2</v>
      </c>
      <c r="AC1146">
        <v>317917.38548391301</v>
      </c>
      <c r="AD1146">
        <v>359500.97950520879</v>
      </c>
      <c r="AE1146">
        <v>1</v>
      </c>
      <c r="AF1146">
        <v>10575.43902031472</v>
      </c>
      <c r="AG1146">
        <v>22867.08640698314</v>
      </c>
    </row>
    <row r="1147" spans="2:33" hidden="1" x14ac:dyDescent="0.25">
      <c r="B1147">
        <v>20</v>
      </c>
      <c r="C1147" t="s">
        <v>50</v>
      </c>
      <c r="D1147" t="s">
        <v>26</v>
      </c>
      <c r="E1147" t="s">
        <v>67</v>
      </c>
      <c r="F1147">
        <v>219474</v>
      </c>
      <c r="G1147">
        <v>223124</v>
      </c>
      <c r="H1147">
        <v>58</v>
      </c>
      <c r="I1147" s="2">
        <v>2469</v>
      </c>
      <c r="J1147">
        <v>2.011437586274897E-2</v>
      </c>
      <c r="K1147">
        <v>691895</v>
      </c>
      <c r="L1147">
        <v>175487</v>
      </c>
      <c r="M1147">
        <v>34911</v>
      </c>
      <c r="N1147">
        <v>27943</v>
      </c>
      <c r="O1147" s="43">
        <v>167840207.31852001</v>
      </c>
      <c r="P1147" s="14">
        <f t="shared" si="53"/>
        <v>2749247.3185200095</v>
      </c>
      <c r="Q1147" s="14" t="str">
        <f t="shared" si="51"/>
        <v/>
      </c>
      <c r="R1147" s="14" t="str">
        <f t="shared" si="51"/>
        <v/>
      </c>
      <c r="S1147" s="14" t="str">
        <f t="shared" si="52"/>
        <v/>
      </c>
      <c r="T1147" s="14" t="s">
        <v>72</v>
      </c>
      <c r="U1147" s="14">
        <v>67979.022810255163</v>
      </c>
      <c r="V1147">
        <v>2379</v>
      </c>
      <c r="W1147">
        <v>28.914880371093702</v>
      </c>
      <c r="X1147">
        <v>22.649221548703199</v>
      </c>
      <c r="Y1147">
        <v>3.08371828642177</v>
      </c>
      <c r="Z1147" s="31">
        <v>1.46300753965333</v>
      </c>
      <c r="AA1147">
        <v>2.5055991834542501</v>
      </c>
      <c r="AB1147">
        <v>7.0000000000000007E-2</v>
      </c>
      <c r="AC1147">
        <v>317917.38548391301</v>
      </c>
      <c r="AD1147">
        <v>359500.97950520879</v>
      </c>
      <c r="AE1147">
        <v>1</v>
      </c>
      <c r="AF1147">
        <v>10575.43902031472</v>
      </c>
      <c r="AG1147">
        <v>22867.08640698314</v>
      </c>
    </row>
    <row r="1148" spans="2:33" hidden="1" x14ac:dyDescent="0.25">
      <c r="B1148">
        <v>20</v>
      </c>
      <c r="C1148" t="s">
        <v>50</v>
      </c>
      <c r="D1148" t="s">
        <v>26</v>
      </c>
      <c r="E1148" t="s">
        <v>67</v>
      </c>
      <c r="F1148">
        <v>224103</v>
      </c>
      <c r="G1148">
        <v>223124</v>
      </c>
      <c r="H1148">
        <v>59</v>
      </c>
      <c r="I1148" s="2">
        <v>-2394</v>
      </c>
      <c r="J1148">
        <v>1.8256754091895091</v>
      </c>
      <c r="K1148">
        <v>691895</v>
      </c>
      <c r="L1148">
        <v>175487</v>
      </c>
      <c r="M1148">
        <v>34911</v>
      </c>
      <c r="N1148">
        <v>27943</v>
      </c>
      <c r="O1148" s="43">
        <v>169159434.47999999</v>
      </c>
      <c r="P1148" s="14">
        <f t="shared" si="53"/>
        <v>1319227.1614799798</v>
      </c>
      <c r="Q1148" s="14" t="str">
        <f t="shared" si="51"/>
        <v/>
      </c>
      <c r="R1148" s="14" t="str">
        <f t="shared" si="51"/>
        <v/>
      </c>
      <c r="S1148" s="14" t="str">
        <f t="shared" si="52"/>
        <v/>
      </c>
      <c r="T1148" s="14" t="s">
        <v>72</v>
      </c>
      <c r="U1148" s="14">
        <v>-551.05562300751035</v>
      </c>
      <c r="V1148">
        <v>2379</v>
      </c>
      <c r="W1148">
        <v>26.241723632812501</v>
      </c>
      <c r="X1148">
        <v>23.198203499938401</v>
      </c>
      <c r="Y1148">
        <v>2.6196592861710899</v>
      </c>
      <c r="Z1148" s="31">
        <v>1.6808004243603101</v>
      </c>
      <c r="AA1148">
        <v>8.1467297716719091</v>
      </c>
      <c r="AB1148">
        <v>7.0000000000000007E-2</v>
      </c>
      <c r="AC1148">
        <v>317917.38548391301</v>
      </c>
      <c r="AD1148">
        <v>359500.97950520879</v>
      </c>
      <c r="AE1148">
        <v>1</v>
      </c>
      <c r="AF1148">
        <v>10575.43902031472</v>
      </c>
      <c r="AG1148">
        <v>22867.08640698314</v>
      </c>
    </row>
    <row r="1149" spans="2:33" hidden="1" x14ac:dyDescent="0.25">
      <c r="B1149">
        <v>20</v>
      </c>
      <c r="C1149" t="s">
        <v>50</v>
      </c>
      <c r="D1149" t="s">
        <v>26</v>
      </c>
      <c r="E1149" t="s">
        <v>67</v>
      </c>
      <c r="F1149">
        <v>223137</v>
      </c>
      <c r="G1149">
        <v>223124</v>
      </c>
      <c r="H1149">
        <v>60</v>
      </c>
      <c r="I1149" s="2">
        <v>94</v>
      </c>
      <c r="J1149">
        <v>0</v>
      </c>
      <c r="K1149">
        <v>691895</v>
      </c>
      <c r="L1149">
        <v>175487</v>
      </c>
      <c r="M1149">
        <v>34911</v>
      </c>
      <c r="N1149">
        <v>27943</v>
      </c>
      <c r="O1149" s="43">
        <v>171426608.28</v>
      </c>
      <c r="P1149" s="14">
        <f t="shared" si="53"/>
        <v>2267173.8000000119</v>
      </c>
      <c r="Q1149" s="14" t="str">
        <f t="shared" si="51"/>
        <v/>
      </c>
      <c r="R1149" s="14" t="str">
        <f t="shared" si="51"/>
        <v/>
      </c>
      <c r="S1149" s="14" t="str">
        <f t="shared" si="52"/>
        <v/>
      </c>
      <c r="T1149" s="14" t="s">
        <v>72</v>
      </c>
      <c r="U1149" s="14">
        <v>24118.870212766084</v>
      </c>
      <c r="V1149">
        <v>2379</v>
      </c>
      <c r="W1149">
        <v>22.404016113281301</v>
      </c>
      <c r="X1149">
        <v>26.892551973855099</v>
      </c>
      <c r="Y1149">
        <v>1.9821792533404099</v>
      </c>
      <c r="Z1149" s="31">
        <v>2.2794801737724799</v>
      </c>
      <c r="AA1149">
        <v>9.9947969055015005</v>
      </c>
      <c r="AB1149">
        <v>7.0000000000000007E-2</v>
      </c>
      <c r="AC1149">
        <v>317917.38548391301</v>
      </c>
      <c r="AD1149">
        <v>359500.97950520879</v>
      </c>
      <c r="AE1149">
        <v>1</v>
      </c>
      <c r="AF1149">
        <v>10575.43902031472</v>
      </c>
      <c r="AG1149">
        <v>22867.08640698314</v>
      </c>
    </row>
    <row r="1150" spans="2:33" hidden="1" x14ac:dyDescent="0.25">
      <c r="B1150">
        <v>20</v>
      </c>
      <c r="C1150" t="s">
        <v>50</v>
      </c>
      <c r="D1150" t="s">
        <v>26</v>
      </c>
      <c r="E1150" t="s">
        <v>67</v>
      </c>
      <c r="F1150">
        <v>223137</v>
      </c>
      <c r="G1150">
        <v>223124</v>
      </c>
      <c r="H1150">
        <v>61</v>
      </c>
      <c r="I1150" s="2">
        <v>51</v>
      </c>
      <c r="J1150">
        <v>0</v>
      </c>
      <c r="K1150">
        <v>691895</v>
      </c>
      <c r="L1150">
        <v>175487</v>
      </c>
      <c r="M1150">
        <v>34911</v>
      </c>
      <c r="N1150">
        <v>27943</v>
      </c>
      <c r="O1150" s="43">
        <v>169185441.96000001</v>
      </c>
      <c r="P1150" s="14">
        <f t="shared" si="53"/>
        <v>-2241166.3199999928</v>
      </c>
      <c r="Q1150" s="14">
        <f t="shared" si="51"/>
        <v>-2241166.3199999928</v>
      </c>
      <c r="R1150" s="14">
        <f t="shared" si="51"/>
        <v>-2241166.3199999928</v>
      </c>
      <c r="S1150" s="14">
        <f t="shared" si="52"/>
        <v>5022826473902.3105</v>
      </c>
      <c r="T1150" s="14">
        <v>5022826473902.3105</v>
      </c>
      <c r="U1150" s="14">
        <v>-43944.437647058687</v>
      </c>
      <c r="V1150">
        <v>2379</v>
      </c>
      <c r="W1150">
        <v>10.7432189941406</v>
      </c>
      <c r="X1150">
        <v>92.145475269208504</v>
      </c>
      <c r="Y1150">
        <v>0.101514939056607</v>
      </c>
      <c r="Z1150" s="31">
        <v>2.3778305027150899</v>
      </c>
      <c r="AA1150">
        <v>18.2221319801011</v>
      </c>
      <c r="AB1150">
        <v>7.0000000000000007E-2</v>
      </c>
      <c r="AC1150">
        <v>317917.38548391301</v>
      </c>
      <c r="AD1150">
        <v>359500.97950520879</v>
      </c>
      <c r="AE1150">
        <v>1</v>
      </c>
      <c r="AF1150">
        <v>10575.43902031472</v>
      </c>
      <c r="AG1150">
        <v>22867.08640698314</v>
      </c>
    </row>
    <row r="1151" spans="2:33" hidden="1" x14ac:dyDescent="0.25">
      <c r="B1151">
        <v>20</v>
      </c>
      <c r="C1151" t="s">
        <v>50</v>
      </c>
      <c r="D1151" t="s">
        <v>26</v>
      </c>
      <c r="E1151" t="s">
        <v>67</v>
      </c>
      <c r="F1151">
        <v>223001</v>
      </c>
      <c r="G1151">
        <v>223124</v>
      </c>
      <c r="H1151">
        <v>62</v>
      </c>
      <c r="I1151" s="2">
        <v>4629</v>
      </c>
      <c r="J1151">
        <v>0</v>
      </c>
      <c r="K1151">
        <v>691895</v>
      </c>
      <c r="L1151">
        <v>175487</v>
      </c>
      <c r="M1151">
        <v>34911</v>
      </c>
      <c r="N1151">
        <v>27943</v>
      </c>
      <c r="O1151" s="43">
        <v>170147718.72</v>
      </c>
      <c r="P1151" s="14">
        <f t="shared" si="53"/>
        <v>962276.75999999046</v>
      </c>
      <c r="Q1151" s="14" t="str">
        <f t="shared" si="51"/>
        <v/>
      </c>
      <c r="R1151" s="14" t="str">
        <f t="shared" si="51"/>
        <v/>
      </c>
      <c r="S1151" s="14" t="str">
        <f t="shared" si="52"/>
        <v/>
      </c>
      <c r="T1151" s="14" t="s">
        <v>72</v>
      </c>
      <c r="U1151" s="14">
        <v>207.88005184704915</v>
      </c>
      <c r="V1151">
        <v>2379</v>
      </c>
      <c r="W1151">
        <v>14.8676086425781</v>
      </c>
      <c r="X1151">
        <v>39.809175423799601</v>
      </c>
      <c r="Y1151">
        <v>1.0189707030056601</v>
      </c>
      <c r="Z1151" s="31">
        <v>2.3929925486677699</v>
      </c>
      <c r="AA1151">
        <v>4.5173619328784502</v>
      </c>
      <c r="AB1151">
        <v>7.0000000000000007E-2</v>
      </c>
      <c r="AC1151">
        <v>317917.38548391301</v>
      </c>
      <c r="AD1151">
        <v>359500.97950520879</v>
      </c>
      <c r="AE1151">
        <v>1</v>
      </c>
      <c r="AF1151">
        <v>10575.43902031472</v>
      </c>
      <c r="AG1151">
        <v>22867.08640698314</v>
      </c>
    </row>
    <row r="1152" spans="2:33" hidden="1" x14ac:dyDescent="0.25">
      <c r="B1152">
        <v>20</v>
      </c>
      <c r="C1152" t="s">
        <v>50</v>
      </c>
      <c r="D1152" t="s">
        <v>26</v>
      </c>
      <c r="E1152" t="s">
        <v>67</v>
      </c>
      <c r="F1152">
        <v>223001</v>
      </c>
      <c r="G1152">
        <v>223124</v>
      </c>
      <c r="H1152">
        <v>63</v>
      </c>
      <c r="I1152" s="2">
        <v>-966</v>
      </c>
      <c r="J1152">
        <v>0</v>
      </c>
      <c r="K1152">
        <v>691895</v>
      </c>
      <c r="L1152">
        <v>175487</v>
      </c>
      <c r="M1152">
        <v>34911</v>
      </c>
      <c r="N1152">
        <v>27943</v>
      </c>
      <c r="O1152" s="43">
        <v>169979235.47999999</v>
      </c>
      <c r="P1152" s="14">
        <f t="shared" si="53"/>
        <v>-168483.24000000954</v>
      </c>
      <c r="Q1152" s="14">
        <f t="shared" si="51"/>
        <v>-168483.24000000954</v>
      </c>
      <c r="R1152" s="14">
        <f t="shared" si="51"/>
        <v>-168483.24000000954</v>
      </c>
      <c r="S1152" s="14">
        <f t="shared" si="52"/>
        <v>28386602160.900814</v>
      </c>
      <c r="T1152" s="14">
        <v>28386602160.900814</v>
      </c>
      <c r="U1152" s="14">
        <v>174.4132919254757</v>
      </c>
      <c r="V1152">
        <v>2379</v>
      </c>
      <c r="W1152">
        <v>21.318933105468801</v>
      </c>
      <c r="X1152">
        <v>29.788494193960101</v>
      </c>
      <c r="Y1152">
        <v>1.7818116287755601</v>
      </c>
      <c r="Z1152" s="31">
        <v>1.7844929350982099</v>
      </c>
      <c r="AA1152">
        <v>7.48439005581948</v>
      </c>
      <c r="AB1152">
        <v>7.0000000000000007E-2</v>
      </c>
      <c r="AC1152">
        <v>317917.38548391301</v>
      </c>
      <c r="AD1152">
        <v>359500.97950520879</v>
      </c>
      <c r="AE1152">
        <v>1</v>
      </c>
      <c r="AF1152">
        <v>10575.43902031472</v>
      </c>
      <c r="AG1152">
        <v>22867.08640698314</v>
      </c>
    </row>
    <row r="1153" spans="2:33" hidden="1" x14ac:dyDescent="0.25">
      <c r="B1153">
        <v>20</v>
      </c>
      <c r="C1153" t="s">
        <v>50</v>
      </c>
      <c r="D1153" t="s">
        <v>26</v>
      </c>
      <c r="E1153" t="s">
        <v>67</v>
      </c>
      <c r="F1153">
        <v>223001</v>
      </c>
      <c r="G1153">
        <v>223124</v>
      </c>
      <c r="H1153">
        <v>64</v>
      </c>
      <c r="I1153" s="2">
        <v>0</v>
      </c>
      <c r="J1153">
        <v>0</v>
      </c>
      <c r="K1153">
        <v>691895</v>
      </c>
      <c r="L1153">
        <v>175487</v>
      </c>
      <c r="M1153">
        <v>34911</v>
      </c>
      <c r="N1153">
        <v>27943</v>
      </c>
      <c r="O1153" s="43">
        <v>170929073.88</v>
      </c>
      <c r="P1153" s="14">
        <f t="shared" si="53"/>
        <v>949838.40000000596</v>
      </c>
      <c r="Q1153" s="14" t="str">
        <f t="shared" si="51"/>
        <v/>
      </c>
      <c r="R1153" s="14" t="str">
        <f t="shared" si="51"/>
        <v/>
      </c>
      <c r="S1153" s="14" t="str">
        <f t="shared" si="52"/>
        <v/>
      </c>
      <c r="T1153" s="14" t="s">
        <v>72</v>
      </c>
      <c r="U1153" s="14">
        <v>0</v>
      </c>
      <c r="V1153">
        <v>2379</v>
      </c>
      <c r="W1153">
        <v>24.336694335937501</v>
      </c>
      <c r="X1153">
        <v>32.126654307791704</v>
      </c>
      <c r="Y1153">
        <v>2.06729848491115</v>
      </c>
      <c r="Z1153" s="31">
        <v>1.7423005063405099</v>
      </c>
      <c r="AA1153">
        <v>3.3405289692280502</v>
      </c>
      <c r="AB1153">
        <v>7.0000000000000007E-2</v>
      </c>
      <c r="AC1153">
        <v>317917.38548391301</v>
      </c>
      <c r="AD1153">
        <v>359500.97950520879</v>
      </c>
      <c r="AE1153">
        <v>1</v>
      </c>
      <c r="AF1153">
        <v>10575.43902031472</v>
      </c>
      <c r="AG1153">
        <v>22867.08640698314</v>
      </c>
    </row>
    <row r="1154" spans="2:33" hidden="1" x14ac:dyDescent="0.25">
      <c r="B1154">
        <v>20</v>
      </c>
      <c r="C1154" t="s">
        <v>50</v>
      </c>
      <c r="D1154" t="s">
        <v>26</v>
      </c>
      <c r="E1154" t="s">
        <v>67</v>
      </c>
      <c r="F1154">
        <v>223001</v>
      </c>
      <c r="G1154">
        <v>223124</v>
      </c>
      <c r="H1154">
        <v>65</v>
      </c>
      <c r="I1154" s="2">
        <v>-136</v>
      </c>
      <c r="J1154">
        <v>0</v>
      </c>
      <c r="K1154">
        <v>691895</v>
      </c>
      <c r="L1154">
        <v>175487</v>
      </c>
      <c r="M1154">
        <v>34911</v>
      </c>
      <c r="N1154">
        <v>27943</v>
      </c>
      <c r="O1154" s="43">
        <v>170054996.40000001</v>
      </c>
      <c r="P1154" s="14">
        <f t="shared" si="53"/>
        <v>-874077.47999998927</v>
      </c>
      <c r="Q1154" s="14">
        <f t="shared" si="51"/>
        <v>-874077.47999998927</v>
      </c>
      <c r="R1154" s="14">
        <f t="shared" si="51"/>
        <v>-874077.47999998927</v>
      </c>
      <c r="S1154" s="14">
        <f t="shared" si="52"/>
        <v>764011441043.13159</v>
      </c>
      <c r="T1154" s="14">
        <v>764011441043.13159</v>
      </c>
      <c r="U1154" s="14">
        <v>6427.040294117568</v>
      </c>
      <c r="V1154">
        <v>2379</v>
      </c>
      <c r="W1154">
        <v>24.383874511718801</v>
      </c>
      <c r="X1154">
        <v>29.528497291993201</v>
      </c>
      <c r="Y1154">
        <v>2.1525821829574898</v>
      </c>
      <c r="Z1154" s="31">
        <v>1.76017271805667</v>
      </c>
      <c r="AA1154">
        <v>2.35072898315582</v>
      </c>
      <c r="AB1154">
        <v>7.0000000000000007E-2</v>
      </c>
      <c r="AC1154">
        <v>317917.38548391301</v>
      </c>
      <c r="AD1154">
        <v>359500.97950520879</v>
      </c>
      <c r="AE1154">
        <v>1</v>
      </c>
      <c r="AF1154">
        <v>10575.43902031472</v>
      </c>
      <c r="AG1154">
        <v>22867.08640698314</v>
      </c>
    </row>
    <row r="1155" spans="2:33" hidden="1" x14ac:dyDescent="0.25">
      <c r="B1155">
        <v>20</v>
      </c>
      <c r="C1155" t="s">
        <v>50</v>
      </c>
      <c r="D1155" t="s">
        <v>26</v>
      </c>
      <c r="E1155" t="s">
        <v>67</v>
      </c>
      <c r="F1155">
        <v>223001</v>
      </c>
      <c r="G1155">
        <v>223124</v>
      </c>
      <c r="H1155">
        <v>66</v>
      </c>
      <c r="I1155" s="2">
        <v>0</v>
      </c>
      <c r="J1155">
        <v>0</v>
      </c>
      <c r="K1155">
        <v>691895</v>
      </c>
      <c r="L1155">
        <v>175487</v>
      </c>
      <c r="M1155">
        <v>34911</v>
      </c>
      <c r="N1155">
        <v>27943</v>
      </c>
      <c r="O1155" s="43">
        <v>171293178.59999999</v>
      </c>
      <c r="P1155" s="14">
        <f t="shared" si="53"/>
        <v>1238182.1999999881</v>
      </c>
      <c r="Q1155" s="14" t="str">
        <f t="shared" ref="Q1155:R1218" si="54">IF(P1155&gt;=0,"",P1155)</f>
        <v/>
      </c>
      <c r="R1155" s="14" t="str">
        <f t="shared" si="54"/>
        <v/>
      </c>
      <c r="S1155" s="14" t="str">
        <f t="shared" ref="S1155:S1218" si="55">IFERROR(IF(ISNA(Q1155),NA(),Q1155^2),"")</f>
        <v/>
      </c>
      <c r="T1155" s="14" t="s">
        <v>72</v>
      </c>
      <c r="U1155" s="14">
        <v>0</v>
      </c>
      <c r="V1155">
        <v>2379</v>
      </c>
      <c r="W1155">
        <v>25.542108154296901</v>
      </c>
      <c r="X1155">
        <v>27.864365343260399</v>
      </c>
      <c r="Y1155">
        <v>2.3606800898192799</v>
      </c>
      <c r="Z1155" s="31">
        <v>1.8542949623491201</v>
      </c>
      <c r="AA1155">
        <v>2.7588535320294101</v>
      </c>
      <c r="AB1155">
        <v>7.0000000000000007E-2</v>
      </c>
      <c r="AC1155">
        <v>317917.38548391301</v>
      </c>
      <c r="AD1155">
        <v>359500.97950520879</v>
      </c>
      <c r="AE1155">
        <v>1</v>
      </c>
      <c r="AF1155">
        <v>10575.43902031472</v>
      </c>
      <c r="AG1155">
        <v>22867.08640698314</v>
      </c>
    </row>
    <row r="1156" spans="2:33" hidden="1" x14ac:dyDescent="0.25">
      <c r="B1156">
        <v>20</v>
      </c>
      <c r="C1156" t="s">
        <v>50</v>
      </c>
      <c r="D1156" t="s">
        <v>26</v>
      </c>
      <c r="E1156" t="s">
        <v>67</v>
      </c>
      <c r="F1156">
        <v>223001</v>
      </c>
      <c r="G1156">
        <v>223124</v>
      </c>
      <c r="H1156">
        <v>67</v>
      </c>
      <c r="I1156" s="2">
        <v>0</v>
      </c>
      <c r="J1156">
        <v>0</v>
      </c>
      <c r="K1156">
        <v>691895</v>
      </c>
      <c r="L1156">
        <v>175487</v>
      </c>
      <c r="M1156">
        <v>34911</v>
      </c>
      <c r="N1156">
        <v>27943</v>
      </c>
      <c r="O1156" s="43">
        <v>171423216</v>
      </c>
      <c r="P1156" s="14">
        <f t="shared" ref="P1156:P1219" si="56">O1156-O1155</f>
        <v>130037.40000000596</v>
      </c>
      <c r="Q1156" s="14" t="str">
        <f t="shared" si="54"/>
        <v/>
      </c>
      <c r="R1156" s="14" t="str">
        <f t="shared" si="54"/>
        <v/>
      </c>
      <c r="S1156" s="14" t="str">
        <f t="shared" si="55"/>
        <v/>
      </c>
      <c r="T1156" s="14" t="s">
        <v>72</v>
      </c>
      <c r="U1156" s="14">
        <v>0</v>
      </c>
      <c r="V1156">
        <v>2379</v>
      </c>
      <c r="W1156">
        <v>25.603570556640602</v>
      </c>
      <c r="X1156">
        <v>26.5808160888533</v>
      </c>
      <c r="Y1156">
        <v>2.4114984148376601</v>
      </c>
      <c r="Z1156" s="31">
        <v>1.7495761823396001</v>
      </c>
      <c r="AA1156">
        <v>5.3671098222657303</v>
      </c>
      <c r="AB1156">
        <v>7.0000000000000007E-2</v>
      </c>
      <c r="AC1156">
        <v>317917.38548391301</v>
      </c>
      <c r="AD1156">
        <v>359500.97950520879</v>
      </c>
      <c r="AE1156">
        <v>1</v>
      </c>
      <c r="AF1156">
        <v>10575.43902031472</v>
      </c>
      <c r="AG1156">
        <v>22867.08640698314</v>
      </c>
    </row>
    <row r="1157" spans="2:33" hidden="1" x14ac:dyDescent="0.25">
      <c r="B1157">
        <v>20</v>
      </c>
      <c r="C1157" t="s">
        <v>50</v>
      </c>
      <c r="D1157" t="s">
        <v>26</v>
      </c>
      <c r="E1157" t="s">
        <v>67</v>
      </c>
      <c r="F1157">
        <v>223168</v>
      </c>
      <c r="G1157">
        <v>223124</v>
      </c>
      <c r="H1157">
        <v>68</v>
      </c>
      <c r="I1157" s="2">
        <v>0</v>
      </c>
      <c r="J1157">
        <v>6.5864720962334852E-2</v>
      </c>
      <c r="K1157">
        <v>691895</v>
      </c>
      <c r="L1157">
        <v>175487</v>
      </c>
      <c r="M1157">
        <v>34911</v>
      </c>
      <c r="N1157">
        <v>27943</v>
      </c>
      <c r="O1157" s="43">
        <v>171038757.59999999</v>
      </c>
      <c r="P1157" s="14">
        <f t="shared" si="56"/>
        <v>-384458.40000000596</v>
      </c>
      <c r="Q1157" s="14">
        <f t="shared" si="54"/>
        <v>-384458.40000000596</v>
      </c>
      <c r="R1157" s="14">
        <f t="shared" si="54"/>
        <v>-384458.40000000596</v>
      </c>
      <c r="S1157" s="14">
        <f t="shared" si="55"/>
        <v>147808261330.56458</v>
      </c>
      <c r="T1157" s="14">
        <v>147808261330.56458</v>
      </c>
      <c r="U1157" s="14">
        <v>0</v>
      </c>
      <c r="V1157">
        <v>2379</v>
      </c>
      <c r="W1157">
        <v>24.085168457031301</v>
      </c>
      <c r="X1157">
        <v>18.003845639114498</v>
      </c>
      <c r="Y1157">
        <v>2.4605838899753398</v>
      </c>
      <c r="Z1157" s="31">
        <v>2.4840581925938401</v>
      </c>
      <c r="AA1157">
        <v>11.0981893121143</v>
      </c>
      <c r="AB1157">
        <v>7.0000000000000007E-2</v>
      </c>
      <c r="AC1157">
        <v>317917.38548391301</v>
      </c>
      <c r="AD1157">
        <v>359500.97950520879</v>
      </c>
      <c r="AE1157">
        <v>1</v>
      </c>
      <c r="AF1157">
        <v>10575.43902031472</v>
      </c>
      <c r="AG1157">
        <v>22867.08640698314</v>
      </c>
    </row>
    <row r="1158" spans="2:33" hidden="1" x14ac:dyDescent="0.25">
      <c r="B1158">
        <v>20</v>
      </c>
      <c r="C1158" t="s">
        <v>50</v>
      </c>
      <c r="D1158" t="s">
        <v>26</v>
      </c>
      <c r="E1158" t="s">
        <v>67</v>
      </c>
      <c r="F1158">
        <v>223124</v>
      </c>
      <c r="G1158">
        <v>223124</v>
      </c>
      <c r="H1158">
        <v>69</v>
      </c>
      <c r="I1158" s="2">
        <v>0</v>
      </c>
      <c r="J1158">
        <v>0</v>
      </c>
      <c r="K1158">
        <v>691895</v>
      </c>
      <c r="L1158">
        <v>175487</v>
      </c>
      <c r="M1158">
        <v>34911</v>
      </c>
      <c r="N1158">
        <v>27943</v>
      </c>
      <c r="O1158" s="43">
        <v>171917358.12</v>
      </c>
      <c r="P1158" s="14">
        <f t="shared" si="56"/>
        <v>878600.52000001073</v>
      </c>
      <c r="Q1158" s="14" t="str">
        <f t="shared" si="54"/>
        <v/>
      </c>
      <c r="R1158" s="14" t="str">
        <f t="shared" si="54"/>
        <v/>
      </c>
      <c r="S1158" s="14" t="str">
        <f t="shared" si="55"/>
        <v/>
      </c>
      <c r="T1158" s="14" t="s">
        <v>72</v>
      </c>
      <c r="U1158" s="14">
        <v>0</v>
      </c>
      <c r="V1158">
        <v>2379</v>
      </c>
      <c r="W1158">
        <v>17.557641601562501</v>
      </c>
      <c r="X1158">
        <v>49.976657137840398</v>
      </c>
      <c r="Y1158">
        <v>1.00494163564337</v>
      </c>
      <c r="Z1158" s="31">
        <v>2.8052235129074501</v>
      </c>
      <c r="AA1158">
        <v>11.3922928075527</v>
      </c>
      <c r="AB1158">
        <v>7.0000000000000007E-2</v>
      </c>
      <c r="AC1158">
        <v>317917.38548391301</v>
      </c>
      <c r="AD1158">
        <v>359500.97950520879</v>
      </c>
      <c r="AE1158">
        <v>1</v>
      </c>
      <c r="AF1158">
        <v>10575.43902031472</v>
      </c>
      <c r="AG1158">
        <v>22867.08640698314</v>
      </c>
    </row>
    <row r="1159" spans="2:33" hidden="1" x14ac:dyDescent="0.25">
      <c r="B1159">
        <v>20</v>
      </c>
      <c r="C1159" t="s">
        <v>50</v>
      </c>
      <c r="D1159" t="s">
        <v>26</v>
      </c>
      <c r="E1159" t="s">
        <v>67</v>
      </c>
      <c r="F1159">
        <v>223124</v>
      </c>
      <c r="G1159">
        <v>223124</v>
      </c>
      <c r="H1159">
        <v>70</v>
      </c>
      <c r="I1159" s="2">
        <v>0</v>
      </c>
      <c r="J1159">
        <v>0</v>
      </c>
      <c r="K1159">
        <v>691895</v>
      </c>
      <c r="L1159">
        <v>175487</v>
      </c>
      <c r="M1159">
        <v>34911</v>
      </c>
      <c r="N1159">
        <v>27943</v>
      </c>
      <c r="O1159" s="43">
        <v>171287524.80000001</v>
      </c>
      <c r="P1159" s="14">
        <f t="shared" si="56"/>
        <v>-629833.31999999285</v>
      </c>
      <c r="Q1159" s="14">
        <f t="shared" si="54"/>
        <v>-629833.31999999285</v>
      </c>
      <c r="R1159" s="14">
        <f t="shared" si="54"/>
        <v>-629833.31999999285</v>
      </c>
      <c r="S1159" s="14">
        <f t="shared" si="55"/>
        <v>396690010982.21338</v>
      </c>
      <c r="T1159" s="14">
        <v>396690010982.21338</v>
      </c>
      <c r="U1159" s="14">
        <v>0</v>
      </c>
      <c r="V1159">
        <v>2379</v>
      </c>
      <c r="W1159">
        <v>14.6990600585937</v>
      </c>
      <c r="X1159">
        <v>43.504576084244398</v>
      </c>
      <c r="Y1159">
        <v>0.94607666132379098</v>
      </c>
      <c r="Z1159" s="31">
        <v>1.9603372879782801</v>
      </c>
      <c r="AA1159">
        <v>10.3759858818125</v>
      </c>
      <c r="AB1159">
        <v>7.0000000000000007E-2</v>
      </c>
      <c r="AC1159">
        <v>317917.38548391301</v>
      </c>
      <c r="AD1159">
        <v>359500.97950520879</v>
      </c>
      <c r="AE1159">
        <v>1</v>
      </c>
      <c r="AF1159">
        <v>10575.43902031472</v>
      </c>
      <c r="AG1159">
        <v>22867.08640698314</v>
      </c>
    </row>
    <row r="1160" spans="2:33" hidden="1" x14ac:dyDescent="0.25">
      <c r="B1160">
        <v>20</v>
      </c>
      <c r="C1160" t="s">
        <v>50</v>
      </c>
      <c r="D1160" t="s">
        <v>26</v>
      </c>
      <c r="E1160" t="s">
        <v>67</v>
      </c>
      <c r="F1160">
        <v>223124</v>
      </c>
      <c r="G1160">
        <v>223124</v>
      </c>
      <c r="H1160">
        <v>71</v>
      </c>
      <c r="I1160" s="2">
        <v>167</v>
      </c>
      <c r="J1160">
        <v>0</v>
      </c>
      <c r="K1160">
        <v>691895</v>
      </c>
      <c r="L1160">
        <v>175487</v>
      </c>
      <c r="M1160">
        <v>34911</v>
      </c>
      <c r="N1160">
        <v>27943</v>
      </c>
      <c r="O1160" s="43">
        <v>172327824</v>
      </c>
      <c r="P1160" s="14">
        <f t="shared" si="56"/>
        <v>1040299.1999999881</v>
      </c>
      <c r="Q1160" s="14" t="str">
        <f t="shared" si="54"/>
        <v/>
      </c>
      <c r="R1160" s="14" t="str">
        <f t="shared" si="54"/>
        <v/>
      </c>
      <c r="S1160" s="14" t="str">
        <f t="shared" si="55"/>
        <v/>
      </c>
      <c r="T1160" s="14" t="s">
        <v>72</v>
      </c>
      <c r="U1160" s="14">
        <v>6229.3365269460364</v>
      </c>
      <c r="V1160">
        <v>2379</v>
      </c>
      <c r="W1160">
        <v>15.5100952148437</v>
      </c>
      <c r="X1160">
        <v>41.5636644235787</v>
      </c>
      <c r="Y1160">
        <v>1.03090429181526</v>
      </c>
      <c r="Z1160" s="31">
        <v>1.07163743515802</v>
      </c>
      <c r="AA1160">
        <v>6.4446708201736103</v>
      </c>
      <c r="AB1160">
        <v>7.0000000000000007E-2</v>
      </c>
      <c r="AC1160">
        <v>317917.38548391301</v>
      </c>
      <c r="AD1160">
        <v>359500.97950520879</v>
      </c>
      <c r="AE1160">
        <v>1</v>
      </c>
      <c r="AF1160">
        <v>10575.43902031472</v>
      </c>
      <c r="AG1160">
        <v>22867.08640698314</v>
      </c>
    </row>
    <row r="1161" spans="2:33" hidden="1" x14ac:dyDescent="0.25">
      <c r="B1161">
        <v>20</v>
      </c>
      <c r="C1161" t="s">
        <v>50</v>
      </c>
      <c r="D1161" t="s">
        <v>26</v>
      </c>
      <c r="E1161" t="s">
        <v>67</v>
      </c>
      <c r="F1161">
        <v>223124</v>
      </c>
      <c r="G1161">
        <v>223124</v>
      </c>
      <c r="H1161">
        <v>72</v>
      </c>
      <c r="I1161" s="2">
        <v>-44</v>
      </c>
      <c r="J1161">
        <v>0</v>
      </c>
      <c r="K1161">
        <v>691895</v>
      </c>
      <c r="L1161">
        <v>175487</v>
      </c>
      <c r="M1161">
        <v>34911</v>
      </c>
      <c r="N1161">
        <v>27943</v>
      </c>
      <c r="O1161" s="43">
        <v>173571660</v>
      </c>
      <c r="P1161" s="14">
        <f t="shared" si="56"/>
        <v>1243836</v>
      </c>
      <c r="Q1161" s="14" t="str">
        <f t="shared" si="54"/>
        <v/>
      </c>
      <c r="R1161" s="14" t="str">
        <f t="shared" si="54"/>
        <v/>
      </c>
      <c r="S1161" s="14" t="str">
        <f t="shared" si="55"/>
        <v/>
      </c>
      <c r="T1161" s="14" t="s">
        <v>72</v>
      </c>
      <c r="U1161" s="14">
        <v>-28269</v>
      </c>
      <c r="V1161">
        <v>2379</v>
      </c>
      <c r="W1161">
        <v>12.3522277832031</v>
      </c>
      <c r="X1161">
        <v>41.198452334766699</v>
      </c>
      <c r="Y1161">
        <v>0.84532824856066202</v>
      </c>
      <c r="Z1161" s="31">
        <v>2.03839915043516</v>
      </c>
      <c r="AA1161">
        <v>6.1501013503069704</v>
      </c>
      <c r="AB1161">
        <v>7.0000000000000007E-2</v>
      </c>
      <c r="AC1161">
        <v>317917.38548391301</v>
      </c>
      <c r="AD1161">
        <v>359500.97950520879</v>
      </c>
      <c r="AE1161">
        <v>1</v>
      </c>
      <c r="AF1161">
        <v>10575.43902031472</v>
      </c>
      <c r="AG1161">
        <v>22867.08640698314</v>
      </c>
    </row>
    <row r="1162" spans="2:33" hidden="1" x14ac:dyDescent="0.25">
      <c r="B1162">
        <v>20</v>
      </c>
      <c r="C1162" t="s">
        <v>50</v>
      </c>
      <c r="D1162" t="s">
        <v>26</v>
      </c>
      <c r="E1162" t="s">
        <v>67</v>
      </c>
      <c r="F1162">
        <v>223124</v>
      </c>
      <c r="G1162">
        <v>223124</v>
      </c>
      <c r="H1162">
        <v>73</v>
      </c>
      <c r="I1162" s="2">
        <v>0</v>
      </c>
      <c r="J1162">
        <v>0</v>
      </c>
      <c r="K1162">
        <v>691895</v>
      </c>
      <c r="L1162">
        <v>175487</v>
      </c>
      <c r="M1162">
        <v>34911</v>
      </c>
      <c r="N1162">
        <v>27943</v>
      </c>
      <c r="O1162" s="43">
        <v>174815496</v>
      </c>
      <c r="P1162" s="14">
        <f t="shared" si="56"/>
        <v>1243836</v>
      </c>
      <c r="Q1162" s="14" t="str">
        <f t="shared" si="54"/>
        <v/>
      </c>
      <c r="R1162" s="14" t="str">
        <f t="shared" si="54"/>
        <v/>
      </c>
      <c r="S1162" s="14" t="str">
        <f t="shared" si="55"/>
        <v/>
      </c>
      <c r="T1162" s="14" t="s">
        <v>72</v>
      </c>
      <c r="U1162" s="14">
        <v>0</v>
      </c>
      <c r="V1162">
        <v>2379</v>
      </c>
      <c r="W1162">
        <v>17.374047851562501</v>
      </c>
      <c r="X1162">
        <v>37.490226153305898</v>
      </c>
      <c r="Y1162">
        <v>1.24146295229583</v>
      </c>
      <c r="Z1162" s="31">
        <v>2.0357957703948899</v>
      </c>
      <c r="AA1162">
        <v>4.7758677104358096</v>
      </c>
      <c r="AB1162">
        <v>7.0000000000000007E-2</v>
      </c>
      <c r="AC1162">
        <v>317917.38548391301</v>
      </c>
      <c r="AD1162">
        <v>359500.97950520879</v>
      </c>
      <c r="AE1162">
        <v>1</v>
      </c>
      <c r="AF1162">
        <v>10575.43902031472</v>
      </c>
      <c r="AG1162">
        <v>22867.08640698314</v>
      </c>
    </row>
    <row r="1163" spans="2:33" hidden="1" x14ac:dyDescent="0.25">
      <c r="B1163">
        <v>20</v>
      </c>
      <c r="C1163" t="s">
        <v>50</v>
      </c>
      <c r="D1163" t="s">
        <v>26</v>
      </c>
      <c r="E1163" t="s">
        <v>67</v>
      </c>
      <c r="F1163">
        <v>223124</v>
      </c>
      <c r="G1163">
        <v>223124</v>
      </c>
      <c r="H1163">
        <v>74</v>
      </c>
      <c r="I1163" s="2">
        <v>0</v>
      </c>
      <c r="J1163">
        <v>0</v>
      </c>
      <c r="K1163">
        <v>691895</v>
      </c>
      <c r="L1163">
        <v>175487</v>
      </c>
      <c r="M1163">
        <v>34911</v>
      </c>
      <c r="N1163">
        <v>27943</v>
      </c>
      <c r="O1163" s="43">
        <v>175380876</v>
      </c>
      <c r="P1163" s="14">
        <f t="shared" si="56"/>
        <v>565380</v>
      </c>
      <c r="Q1163" s="14" t="str">
        <f t="shared" si="54"/>
        <v/>
      </c>
      <c r="R1163" s="14" t="str">
        <f t="shared" si="54"/>
        <v/>
      </c>
      <c r="S1163" s="14" t="str">
        <f t="shared" si="55"/>
        <v/>
      </c>
      <c r="T1163" s="14" t="s">
        <v>72</v>
      </c>
      <c r="U1163" s="14">
        <v>0</v>
      </c>
      <c r="V1163">
        <v>2379</v>
      </c>
      <c r="W1163">
        <v>14.376672363281299</v>
      </c>
      <c r="X1163">
        <v>53.054866406118201</v>
      </c>
      <c r="Y1163">
        <v>0.769933307616816</v>
      </c>
      <c r="Z1163" s="31">
        <v>3.5617473533605799</v>
      </c>
      <c r="AA1163">
        <v>16.495851297476001</v>
      </c>
      <c r="AB1163">
        <v>7.0000000000000007E-2</v>
      </c>
      <c r="AC1163">
        <v>317917.38548391301</v>
      </c>
      <c r="AD1163">
        <v>359500.97950520879</v>
      </c>
      <c r="AE1163">
        <v>1</v>
      </c>
      <c r="AF1163">
        <v>10575.43902031472</v>
      </c>
      <c r="AG1163">
        <v>22867.08640698314</v>
      </c>
    </row>
    <row r="1164" spans="2:33" hidden="1" x14ac:dyDescent="0.25">
      <c r="B1164">
        <v>20</v>
      </c>
      <c r="C1164" t="s">
        <v>50</v>
      </c>
      <c r="D1164" t="s">
        <v>26</v>
      </c>
      <c r="E1164" t="s">
        <v>67</v>
      </c>
      <c r="F1164">
        <v>223124</v>
      </c>
      <c r="G1164">
        <v>223124</v>
      </c>
      <c r="H1164">
        <v>75</v>
      </c>
      <c r="I1164" s="2">
        <v>0</v>
      </c>
      <c r="J1164">
        <v>0</v>
      </c>
      <c r="K1164">
        <v>691895</v>
      </c>
      <c r="L1164">
        <v>175487</v>
      </c>
      <c r="M1164">
        <v>34911</v>
      </c>
      <c r="N1164">
        <v>27943</v>
      </c>
      <c r="O1164" s="43">
        <v>176624712</v>
      </c>
      <c r="P1164" s="14">
        <f t="shared" si="56"/>
        <v>1243836</v>
      </c>
      <c r="Q1164" s="14" t="str">
        <f t="shared" si="54"/>
        <v/>
      </c>
      <c r="R1164" s="14" t="str">
        <f t="shared" si="54"/>
        <v/>
      </c>
      <c r="S1164" s="14" t="str">
        <f t="shared" si="55"/>
        <v/>
      </c>
      <c r="T1164" s="14" t="s">
        <v>72</v>
      </c>
      <c r="U1164" s="14">
        <v>0</v>
      </c>
      <c r="V1164">
        <v>2379</v>
      </c>
      <c r="W1164">
        <v>10.3933959960937</v>
      </c>
      <c r="X1164">
        <v>30.389397727504999</v>
      </c>
      <c r="Y1164">
        <v>0.87902195971526698</v>
      </c>
      <c r="Z1164" s="31">
        <v>3.7083704846162902</v>
      </c>
      <c r="AA1164">
        <v>15.344949399012499</v>
      </c>
      <c r="AB1164">
        <v>7.0000000000000007E-2</v>
      </c>
      <c r="AC1164">
        <v>317917.38548391301</v>
      </c>
      <c r="AD1164">
        <v>359500.97950520879</v>
      </c>
      <c r="AE1164">
        <v>1</v>
      </c>
      <c r="AF1164">
        <v>10575.43902031472</v>
      </c>
      <c r="AG1164">
        <v>22867.08640698314</v>
      </c>
    </row>
    <row r="1165" spans="2:33" hidden="1" x14ac:dyDescent="0.25">
      <c r="B1165">
        <v>20</v>
      </c>
      <c r="C1165" t="s">
        <v>50</v>
      </c>
      <c r="D1165" t="s">
        <v>26</v>
      </c>
      <c r="E1165" t="s">
        <v>67</v>
      </c>
      <c r="F1165">
        <v>223124</v>
      </c>
      <c r="G1165">
        <v>223124</v>
      </c>
      <c r="H1165">
        <v>76</v>
      </c>
      <c r="I1165" s="2">
        <v>0</v>
      </c>
      <c r="J1165">
        <v>0</v>
      </c>
      <c r="K1165">
        <v>691895</v>
      </c>
      <c r="L1165">
        <v>175487</v>
      </c>
      <c r="M1165">
        <v>34911</v>
      </c>
      <c r="N1165">
        <v>27943</v>
      </c>
      <c r="O1165" s="43">
        <v>178110772.62264001</v>
      </c>
      <c r="P1165" s="14">
        <f t="shared" si="56"/>
        <v>1486060.6226400137</v>
      </c>
      <c r="Q1165" s="14" t="str">
        <f t="shared" si="54"/>
        <v/>
      </c>
      <c r="R1165" s="14" t="str">
        <f t="shared" si="54"/>
        <v/>
      </c>
      <c r="S1165" s="14" t="str">
        <f t="shared" si="55"/>
        <v/>
      </c>
      <c r="T1165" s="14" t="s">
        <v>72</v>
      </c>
      <c r="U1165" s="14">
        <v>0</v>
      </c>
      <c r="V1165">
        <v>2379</v>
      </c>
      <c r="W1165">
        <v>12.523889160156299</v>
      </c>
      <c r="X1165">
        <v>28.945647522377602</v>
      </c>
      <c r="Y1165">
        <v>1.0330050493303899</v>
      </c>
      <c r="Z1165" s="31">
        <v>2.4708731455221198</v>
      </c>
      <c r="AA1165">
        <v>14.2634861639348</v>
      </c>
      <c r="AB1165">
        <v>7.0000000000000007E-2</v>
      </c>
      <c r="AC1165">
        <v>317917.38548391301</v>
      </c>
      <c r="AD1165">
        <v>359500.97950520879</v>
      </c>
      <c r="AE1165">
        <v>1</v>
      </c>
      <c r="AF1165">
        <v>10575.43902031472</v>
      </c>
      <c r="AG1165">
        <v>22867.08640698314</v>
      </c>
    </row>
    <row r="1166" spans="2:33" hidden="1" x14ac:dyDescent="0.25">
      <c r="B1166">
        <v>20</v>
      </c>
      <c r="C1166" t="s">
        <v>50</v>
      </c>
      <c r="D1166" t="s">
        <v>26</v>
      </c>
      <c r="E1166" t="s">
        <v>67</v>
      </c>
      <c r="F1166">
        <v>223124</v>
      </c>
      <c r="G1166">
        <v>223124</v>
      </c>
      <c r="H1166">
        <v>77</v>
      </c>
      <c r="I1166" s="2">
        <v>0</v>
      </c>
      <c r="J1166">
        <v>0</v>
      </c>
      <c r="K1166">
        <v>691895</v>
      </c>
      <c r="L1166">
        <v>175487</v>
      </c>
      <c r="M1166">
        <v>34911</v>
      </c>
      <c r="N1166">
        <v>27943</v>
      </c>
      <c r="O1166" s="43">
        <v>179204428.99476001</v>
      </c>
      <c r="P1166" s="14">
        <f t="shared" si="56"/>
        <v>1093656.372119993</v>
      </c>
      <c r="Q1166" s="14" t="str">
        <f t="shared" si="54"/>
        <v/>
      </c>
      <c r="R1166" s="14" t="str">
        <f t="shared" si="54"/>
        <v/>
      </c>
      <c r="S1166" s="14" t="str">
        <f t="shared" si="55"/>
        <v/>
      </c>
      <c r="T1166" s="14" t="s">
        <v>72</v>
      </c>
      <c r="U1166" s="14">
        <v>0</v>
      </c>
      <c r="V1166">
        <v>2379</v>
      </c>
      <c r="W1166">
        <v>13.4636779785156</v>
      </c>
      <c r="X1166">
        <v>41.413646199753899</v>
      </c>
      <c r="Y1166">
        <v>0.90568583799785296</v>
      </c>
      <c r="Z1166" s="31">
        <v>3.0033395112292198</v>
      </c>
      <c r="AA1166">
        <v>8.4426659643015896</v>
      </c>
      <c r="AB1166">
        <v>7.0000000000000007E-2</v>
      </c>
      <c r="AC1166">
        <v>317917.38548391301</v>
      </c>
      <c r="AD1166">
        <v>359500.97950520879</v>
      </c>
      <c r="AE1166">
        <v>1</v>
      </c>
      <c r="AF1166">
        <v>10575.43902031472</v>
      </c>
      <c r="AG1166">
        <v>22867.08640698314</v>
      </c>
    </row>
    <row r="1167" spans="2:33" hidden="1" x14ac:dyDescent="0.25">
      <c r="B1167">
        <v>20</v>
      </c>
      <c r="C1167" t="s">
        <v>50</v>
      </c>
      <c r="D1167" t="s">
        <v>26</v>
      </c>
      <c r="E1167" t="s">
        <v>67</v>
      </c>
      <c r="F1167">
        <v>223124</v>
      </c>
      <c r="G1167">
        <v>223124</v>
      </c>
      <c r="H1167">
        <v>78</v>
      </c>
      <c r="I1167" s="2">
        <v>0</v>
      </c>
      <c r="J1167">
        <v>0</v>
      </c>
      <c r="K1167">
        <v>691895</v>
      </c>
      <c r="L1167">
        <v>175487</v>
      </c>
      <c r="M1167">
        <v>34911</v>
      </c>
      <c r="N1167">
        <v>27943</v>
      </c>
      <c r="O1167" s="43">
        <v>180142885.16460001</v>
      </c>
      <c r="P1167" s="14">
        <f t="shared" si="56"/>
        <v>938456.16984000802</v>
      </c>
      <c r="Q1167" s="14" t="str">
        <f t="shared" si="54"/>
        <v/>
      </c>
      <c r="R1167" s="14" t="str">
        <f t="shared" si="54"/>
        <v/>
      </c>
      <c r="S1167" s="14" t="str">
        <f t="shared" si="55"/>
        <v/>
      </c>
      <c r="T1167" s="14" t="s">
        <v>72</v>
      </c>
      <c r="U1167" s="14">
        <v>0</v>
      </c>
      <c r="V1167">
        <v>2379</v>
      </c>
      <c r="W1167">
        <v>17.849542236328102</v>
      </c>
      <c r="X1167">
        <v>30.794341208141201</v>
      </c>
      <c r="Y1167">
        <v>1.4162738763004501</v>
      </c>
      <c r="Z1167" s="31">
        <v>0.86657164400370001</v>
      </c>
      <c r="AA1167">
        <v>11.427189339545</v>
      </c>
      <c r="AB1167">
        <v>7.0000000000000007E-2</v>
      </c>
      <c r="AC1167">
        <v>317917.38548391301</v>
      </c>
      <c r="AD1167">
        <v>359500.97950520879</v>
      </c>
      <c r="AE1167">
        <v>1</v>
      </c>
      <c r="AF1167">
        <v>10575.43902031472</v>
      </c>
      <c r="AG1167">
        <v>22867.08640698314</v>
      </c>
    </row>
    <row r="1168" spans="2:33" hidden="1" x14ac:dyDescent="0.25">
      <c r="B1168">
        <v>20</v>
      </c>
      <c r="C1168" t="s">
        <v>50</v>
      </c>
      <c r="D1168" t="s">
        <v>26</v>
      </c>
      <c r="E1168" t="s">
        <v>67</v>
      </c>
      <c r="F1168">
        <v>223124</v>
      </c>
      <c r="G1168">
        <v>223124</v>
      </c>
      <c r="H1168">
        <v>79</v>
      </c>
      <c r="I1168" s="2">
        <v>0</v>
      </c>
      <c r="J1168">
        <v>0</v>
      </c>
      <c r="K1168">
        <v>691895</v>
      </c>
      <c r="L1168">
        <v>175487</v>
      </c>
      <c r="M1168">
        <v>34911</v>
      </c>
      <c r="N1168">
        <v>27943</v>
      </c>
      <c r="O1168" s="43">
        <v>181548064.78595999</v>
      </c>
      <c r="P1168" s="14">
        <f t="shared" si="56"/>
        <v>1405179.6213599741</v>
      </c>
      <c r="Q1168" s="14" t="str">
        <f t="shared" si="54"/>
        <v/>
      </c>
      <c r="R1168" s="14" t="str">
        <f t="shared" si="54"/>
        <v/>
      </c>
      <c r="S1168" s="14" t="str">
        <f t="shared" si="55"/>
        <v/>
      </c>
      <c r="T1168" s="14" t="s">
        <v>72</v>
      </c>
      <c r="U1168" s="14">
        <v>0</v>
      </c>
      <c r="V1168">
        <v>2379</v>
      </c>
      <c r="W1168">
        <v>22.149865722656301</v>
      </c>
      <c r="X1168">
        <v>24.053822376365101</v>
      </c>
      <c r="Y1168">
        <v>2.02765759346173</v>
      </c>
      <c r="Z1168" s="31">
        <v>0.63170327532453296</v>
      </c>
      <c r="AA1168">
        <v>8.0239686746297494</v>
      </c>
      <c r="AB1168">
        <v>7.0000000000000007E-2</v>
      </c>
      <c r="AC1168">
        <v>317917.38548391301</v>
      </c>
      <c r="AD1168">
        <v>359500.97950520879</v>
      </c>
      <c r="AE1168">
        <v>1</v>
      </c>
      <c r="AF1168">
        <v>10575.43902031472</v>
      </c>
      <c r="AG1168">
        <v>22867.08640698314</v>
      </c>
    </row>
    <row r="1169" spans="2:33" hidden="1" x14ac:dyDescent="0.25">
      <c r="B1169">
        <v>20</v>
      </c>
      <c r="C1169" t="s">
        <v>50</v>
      </c>
      <c r="D1169" t="s">
        <v>26</v>
      </c>
      <c r="E1169" t="s">
        <v>67</v>
      </c>
      <c r="F1169">
        <v>223124</v>
      </c>
      <c r="G1169">
        <v>223124</v>
      </c>
      <c r="H1169">
        <v>80</v>
      </c>
      <c r="I1169" s="2">
        <v>0</v>
      </c>
      <c r="J1169">
        <v>0</v>
      </c>
      <c r="K1169">
        <v>691895</v>
      </c>
      <c r="L1169">
        <v>175487</v>
      </c>
      <c r="M1169">
        <v>34911</v>
      </c>
      <c r="N1169">
        <v>27943</v>
      </c>
      <c r="O1169" s="43">
        <v>181890202.23144001</v>
      </c>
      <c r="P1169" s="14">
        <f t="shared" si="56"/>
        <v>342137.44548001885</v>
      </c>
      <c r="Q1169" s="14" t="str">
        <f t="shared" si="54"/>
        <v/>
      </c>
      <c r="R1169" s="14" t="str">
        <f t="shared" si="54"/>
        <v/>
      </c>
      <c r="S1169" s="14" t="str">
        <f t="shared" si="55"/>
        <v/>
      </c>
      <c r="T1169" s="14" t="s">
        <v>72</v>
      </c>
      <c r="U1169" s="14">
        <v>0</v>
      </c>
      <c r="V1169">
        <v>2379</v>
      </c>
      <c r="W1169">
        <v>22.630242919921901</v>
      </c>
      <c r="X1169">
        <v>24.118148811581602</v>
      </c>
      <c r="Y1169">
        <v>2.0858762745925898</v>
      </c>
      <c r="Z1169" s="31">
        <v>1.59302185503798</v>
      </c>
      <c r="AA1169">
        <v>7.7469946960391596</v>
      </c>
      <c r="AB1169">
        <v>7.0000000000000007E-2</v>
      </c>
      <c r="AC1169">
        <v>317917.38548391301</v>
      </c>
      <c r="AD1169">
        <v>359500.97950520879</v>
      </c>
      <c r="AE1169">
        <v>1</v>
      </c>
      <c r="AF1169">
        <v>10575.43902031472</v>
      </c>
      <c r="AG1169">
        <v>22867.08640698314</v>
      </c>
    </row>
    <row r="1170" spans="2:33" hidden="1" x14ac:dyDescent="0.25">
      <c r="B1170">
        <v>20</v>
      </c>
      <c r="C1170" t="s">
        <v>50</v>
      </c>
      <c r="D1170" t="s">
        <v>26</v>
      </c>
      <c r="E1170" t="s">
        <v>67</v>
      </c>
      <c r="F1170">
        <v>223124</v>
      </c>
      <c r="G1170">
        <v>223124</v>
      </c>
      <c r="H1170">
        <v>81</v>
      </c>
      <c r="I1170" s="2">
        <v>0</v>
      </c>
      <c r="J1170">
        <v>0</v>
      </c>
      <c r="K1170">
        <v>691895</v>
      </c>
      <c r="L1170">
        <v>175487</v>
      </c>
      <c r="M1170">
        <v>34911</v>
      </c>
      <c r="N1170">
        <v>27943</v>
      </c>
      <c r="O1170" s="43">
        <v>182789492.26716</v>
      </c>
      <c r="P1170" s="14">
        <f t="shared" si="56"/>
        <v>899290.03571999073</v>
      </c>
      <c r="Q1170" s="14" t="str">
        <f t="shared" si="54"/>
        <v/>
      </c>
      <c r="R1170" s="14" t="str">
        <f t="shared" si="54"/>
        <v/>
      </c>
      <c r="S1170" s="14" t="str">
        <f t="shared" si="55"/>
        <v/>
      </c>
      <c r="T1170" s="14" t="s">
        <v>72</v>
      </c>
      <c r="U1170" s="14">
        <v>0</v>
      </c>
      <c r="V1170">
        <v>2379</v>
      </c>
      <c r="W1170">
        <v>4.7378173828125201</v>
      </c>
      <c r="X1170">
        <v>99.490762683151701</v>
      </c>
      <c r="Y1170">
        <v>4.3728257650387002E-3</v>
      </c>
      <c r="Z1170" s="31">
        <v>1.97333047364044</v>
      </c>
      <c r="AA1170">
        <v>7.7391726800526301</v>
      </c>
      <c r="AB1170">
        <v>7.0000000000000007E-2</v>
      </c>
      <c r="AC1170">
        <v>317917.38548391301</v>
      </c>
      <c r="AD1170">
        <v>359500.97950520879</v>
      </c>
      <c r="AE1170">
        <v>1</v>
      </c>
      <c r="AF1170">
        <v>10575.43902031472</v>
      </c>
      <c r="AG1170">
        <v>22867.08640698314</v>
      </c>
    </row>
    <row r="1171" spans="2:33" hidden="1" x14ac:dyDescent="0.25">
      <c r="B1171">
        <v>20</v>
      </c>
      <c r="C1171" t="s">
        <v>50</v>
      </c>
      <c r="D1171" t="s">
        <v>26</v>
      </c>
      <c r="E1171" t="s">
        <v>67</v>
      </c>
      <c r="F1171">
        <v>223124</v>
      </c>
      <c r="G1171">
        <v>223124</v>
      </c>
      <c r="H1171">
        <v>82</v>
      </c>
      <c r="I1171" s="2">
        <v>0</v>
      </c>
      <c r="J1171">
        <v>0</v>
      </c>
      <c r="K1171">
        <v>691895</v>
      </c>
      <c r="L1171">
        <v>175487</v>
      </c>
      <c r="M1171">
        <v>34911</v>
      </c>
      <c r="N1171">
        <v>27943</v>
      </c>
      <c r="O1171" s="43">
        <v>183389882.85828</v>
      </c>
      <c r="P1171" s="14">
        <f t="shared" si="56"/>
        <v>600390.59112000465</v>
      </c>
      <c r="Q1171" s="14" t="str">
        <f t="shared" si="54"/>
        <v/>
      </c>
      <c r="R1171" s="14" t="str">
        <f t="shared" si="54"/>
        <v/>
      </c>
      <c r="S1171" s="14" t="str">
        <f t="shared" si="55"/>
        <v/>
      </c>
      <c r="T1171" s="14" t="s">
        <v>72</v>
      </c>
      <c r="U1171" s="14">
        <v>0</v>
      </c>
      <c r="V1171">
        <v>2379</v>
      </c>
      <c r="W1171">
        <v>10.850244140625</v>
      </c>
      <c r="X1171">
        <v>49.838146823048497</v>
      </c>
      <c r="Y1171">
        <v>0.65303614468698301</v>
      </c>
      <c r="Z1171" s="31">
        <v>0.503611641156816</v>
      </c>
      <c r="AA1171">
        <v>3.0433519404701399</v>
      </c>
      <c r="AB1171">
        <v>7.0000000000000007E-2</v>
      </c>
      <c r="AC1171">
        <v>317917.38548391301</v>
      </c>
      <c r="AD1171">
        <v>359500.97950520879</v>
      </c>
      <c r="AE1171">
        <v>1</v>
      </c>
      <c r="AF1171">
        <v>10575.43902031472</v>
      </c>
      <c r="AG1171">
        <v>22867.08640698314</v>
      </c>
    </row>
    <row r="1172" spans="2:33" hidden="1" x14ac:dyDescent="0.25">
      <c r="B1172">
        <v>20</v>
      </c>
      <c r="C1172" t="s">
        <v>50</v>
      </c>
      <c r="D1172" t="s">
        <v>26</v>
      </c>
      <c r="E1172" t="s">
        <v>67</v>
      </c>
      <c r="F1172">
        <v>223124</v>
      </c>
      <c r="G1172">
        <v>223124</v>
      </c>
      <c r="H1172">
        <v>83</v>
      </c>
      <c r="I1172" s="2">
        <v>0</v>
      </c>
      <c r="J1172">
        <v>0</v>
      </c>
      <c r="K1172">
        <v>691895</v>
      </c>
      <c r="L1172">
        <v>175487</v>
      </c>
      <c r="M1172">
        <v>34911</v>
      </c>
      <c r="N1172">
        <v>27943</v>
      </c>
      <c r="O1172" s="43">
        <v>184092963.4188</v>
      </c>
      <c r="P1172" s="14">
        <f t="shared" si="56"/>
        <v>703080.56051999331</v>
      </c>
      <c r="Q1172" s="14" t="str">
        <f t="shared" si="54"/>
        <v/>
      </c>
      <c r="R1172" s="14" t="str">
        <f t="shared" si="54"/>
        <v/>
      </c>
      <c r="S1172" s="14" t="str">
        <f t="shared" si="55"/>
        <v/>
      </c>
      <c r="T1172" s="14" t="s">
        <v>72</v>
      </c>
      <c r="U1172" s="14">
        <v>0</v>
      </c>
      <c r="V1172">
        <v>2379</v>
      </c>
      <c r="W1172">
        <v>9.4673706054687692</v>
      </c>
      <c r="X1172">
        <v>61.665727117312599</v>
      </c>
      <c r="Y1172">
        <v>0.45502526140192101</v>
      </c>
      <c r="Z1172" s="31">
        <v>4.4051950727226998</v>
      </c>
      <c r="AA1172">
        <v>24.722316539619801</v>
      </c>
      <c r="AB1172">
        <v>7.0000000000000007E-2</v>
      </c>
      <c r="AC1172">
        <v>317917.38548391301</v>
      </c>
      <c r="AD1172">
        <v>359500.97950520879</v>
      </c>
      <c r="AE1172">
        <v>1</v>
      </c>
      <c r="AF1172">
        <v>10575.43902031472</v>
      </c>
      <c r="AG1172">
        <v>22867.08640698314</v>
      </c>
    </row>
    <row r="1173" spans="2:33" hidden="1" x14ac:dyDescent="0.25">
      <c r="B1173">
        <v>20</v>
      </c>
      <c r="C1173" t="s">
        <v>50</v>
      </c>
      <c r="D1173" t="s">
        <v>26</v>
      </c>
      <c r="E1173" t="s">
        <v>67</v>
      </c>
      <c r="F1173">
        <v>223124</v>
      </c>
      <c r="G1173">
        <v>223124</v>
      </c>
      <c r="H1173">
        <v>84</v>
      </c>
      <c r="I1173" s="2">
        <v>0</v>
      </c>
      <c r="J1173">
        <v>0</v>
      </c>
      <c r="K1173">
        <v>691895</v>
      </c>
      <c r="L1173">
        <v>175487</v>
      </c>
      <c r="M1173">
        <v>34911</v>
      </c>
      <c r="N1173">
        <v>27943</v>
      </c>
      <c r="O1173" s="43">
        <v>184200804</v>
      </c>
      <c r="P1173" s="14">
        <f t="shared" si="56"/>
        <v>107840.58120000362</v>
      </c>
      <c r="Q1173" s="14" t="str">
        <f t="shared" si="54"/>
        <v/>
      </c>
      <c r="R1173" s="14" t="str">
        <f t="shared" si="54"/>
        <v/>
      </c>
      <c r="S1173" s="14" t="str">
        <f t="shared" si="55"/>
        <v/>
      </c>
      <c r="T1173" s="14" t="s">
        <v>72</v>
      </c>
      <c r="U1173" s="14">
        <v>0</v>
      </c>
      <c r="V1173">
        <v>2379</v>
      </c>
      <c r="W1173">
        <v>10.1775451660156</v>
      </c>
      <c r="X1173">
        <v>88.008342418278701</v>
      </c>
      <c r="Y1173">
        <v>0.149258868671753</v>
      </c>
      <c r="Z1173" s="31">
        <v>2.19301707485381</v>
      </c>
      <c r="AA1173">
        <v>18.230475267211801</v>
      </c>
      <c r="AB1173">
        <v>7.0000000000000007E-2</v>
      </c>
      <c r="AC1173">
        <v>317917.38548391301</v>
      </c>
      <c r="AD1173">
        <v>359500.97950520879</v>
      </c>
      <c r="AE1173">
        <v>1</v>
      </c>
      <c r="AF1173">
        <v>10575.43902031472</v>
      </c>
      <c r="AG1173">
        <v>22867.08640698314</v>
      </c>
    </row>
    <row r="1174" spans="2:33" hidden="1" x14ac:dyDescent="0.25">
      <c r="B1174">
        <v>20</v>
      </c>
      <c r="C1174" t="s">
        <v>50</v>
      </c>
      <c r="D1174" t="s">
        <v>26</v>
      </c>
      <c r="E1174" t="s">
        <v>67</v>
      </c>
      <c r="F1174">
        <v>223124</v>
      </c>
      <c r="G1174">
        <v>223124</v>
      </c>
      <c r="H1174">
        <v>85</v>
      </c>
      <c r="I1174" s="2">
        <v>0</v>
      </c>
      <c r="J1174">
        <v>0</v>
      </c>
      <c r="K1174">
        <v>691895</v>
      </c>
      <c r="L1174">
        <v>175487</v>
      </c>
      <c r="M1174">
        <v>34911</v>
      </c>
      <c r="N1174">
        <v>27943</v>
      </c>
      <c r="O1174" s="43">
        <v>184313880</v>
      </c>
      <c r="P1174" s="14">
        <f t="shared" si="56"/>
        <v>113076</v>
      </c>
      <c r="Q1174" s="14" t="str">
        <f t="shared" si="54"/>
        <v/>
      </c>
      <c r="R1174" s="14" t="str">
        <f t="shared" si="54"/>
        <v/>
      </c>
      <c r="S1174" s="14" t="str">
        <f t="shared" si="55"/>
        <v/>
      </c>
      <c r="T1174" s="14" t="s">
        <v>72</v>
      </c>
      <c r="U1174" s="14">
        <v>0</v>
      </c>
      <c r="V1174">
        <v>2379</v>
      </c>
      <c r="W1174">
        <v>12.0361877441406</v>
      </c>
      <c r="X1174">
        <v>93.924383876267996</v>
      </c>
      <c r="Y1174">
        <v>8.5527609404169494E-2</v>
      </c>
      <c r="Z1174" s="31">
        <v>2.6674612088409799</v>
      </c>
      <c r="AA1174">
        <v>29.1213658228809</v>
      </c>
      <c r="AB1174">
        <v>7.0000000000000007E-2</v>
      </c>
      <c r="AC1174">
        <v>317917.38548391301</v>
      </c>
      <c r="AD1174">
        <v>359500.97950520879</v>
      </c>
      <c r="AE1174">
        <v>1</v>
      </c>
      <c r="AF1174">
        <v>10575.43902031472</v>
      </c>
      <c r="AG1174">
        <v>22867.08640698314</v>
      </c>
    </row>
    <row r="1175" spans="2:33" hidden="1" x14ac:dyDescent="0.25">
      <c r="B1175">
        <v>20</v>
      </c>
      <c r="C1175" t="s">
        <v>50</v>
      </c>
      <c r="D1175" t="s">
        <v>26</v>
      </c>
      <c r="E1175" t="s">
        <v>67</v>
      </c>
      <c r="F1175">
        <v>223124</v>
      </c>
      <c r="G1175">
        <v>223124</v>
      </c>
      <c r="H1175">
        <v>86</v>
      </c>
      <c r="I1175" s="2">
        <v>0</v>
      </c>
      <c r="J1175">
        <v>0</v>
      </c>
      <c r="K1175">
        <v>691895</v>
      </c>
      <c r="L1175">
        <v>175487</v>
      </c>
      <c r="M1175">
        <v>34911</v>
      </c>
      <c r="N1175">
        <v>27943</v>
      </c>
      <c r="O1175" s="43">
        <v>185566206.87684</v>
      </c>
      <c r="P1175" s="14">
        <f t="shared" si="56"/>
        <v>1252326.8768399954</v>
      </c>
      <c r="Q1175" s="14" t="str">
        <f t="shared" si="54"/>
        <v/>
      </c>
      <c r="R1175" s="14" t="str">
        <f t="shared" si="54"/>
        <v/>
      </c>
      <c r="S1175" s="14" t="str">
        <f t="shared" si="55"/>
        <v/>
      </c>
      <c r="T1175" s="14" t="s">
        <v>72</v>
      </c>
      <c r="U1175" s="14">
        <v>0</v>
      </c>
      <c r="V1175">
        <v>2379</v>
      </c>
      <c r="W1175">
        <v>10.0486694335937</v>
      </c>
      <c r="X1175">
        <v>67.862972890473699</v>
      </c>
      <c r="Y1175">
        <v>0.39660883491396898</v>
      </c>
      <c r="Z1175" s="31">
        <v>1.81821987307651</v>
      </c>
      <c r="AA1175">
        <v>8.4933315037362895</v>
      </c>
      <c r="AB1175">
        <v>7.0000000000000007E-2</v>
      </c>
      <c r="AC1175">
        <v>317917.38548391301</v>
      </c>
      <c r="AD1175">
        <v>359500.97950520879</v>
      </c>
      <c r="AE1175">
        <v>1</v>
      </c>
      <c r="AF1175">
        <v>10575.43902031472</v>
      </c>
      <c r="AG1175">
        <v>22867.08640698314</v>
      </c>
    </row>
    <row r="1176" spans="2:33" hidden="1" x14ac:dyDescent="0.25">
      <c r="B1176">
        <v>20</v>
      </c>
      <c r="C1176" t="s">
        <v>50</v>
      </c>
      <c r="D1176" t="s">
        <v>26</v>
      </c>
      <c r="E1176" t="s">
        <v>67</v>
      </c>
      <c r="F1176">
        <v>223124</v>
      </c>
      <c r="G1176">
        <v>223124</v>
      </c>
      <c r="H1176">
        <v>87</v>
      </c>
      <c r="I1176" s="2">
        <v>0</v>
      </c>
      <c r="J1176">
        <v>0</v>
      </c>
      <c r="K1176">
        <v>691895</v>
      </c>
      <c r="L1176">
        <v>175487</v>
      </c>
      <c r="M1176">
        <v>34911</v>
      </c>
      <c r="N1176">
        <v>27943</v>
      </c>
      <c r="O1176" s="43">
        <v>185149840.69115999</v>
      </c>
      <c r="P1176" s="14">
        <f t="shared" si="56"/>
        <v>-416366.18568000197</v>
      </c>
      <c r="Q1176" s="14">
        <f t="shared" si="54"/>
        <v>-416366.18568000197</v>
      </c>
      <c r="R1176" s="14">
        <f t="shared" si="54"/>
        <v>-416366.18568000197</v>
      </c>
      <c r="S1176" s="14">
        <f t="shared" si="55"/>
        <v>173360800577.71387</v>
      </c>
      <c r="T1176" s="14">
        <v>173360800577.71387</v>
      </c>
      <c r="U1176" s="14">
        <v>0</v>
      </c>
      <c r="V1176">
        <v>2379</v>
      </c>
      <c r="W1176">
        <v>7.5253234863281504</v>
      </c>
      <c r="X1176">
        <v>99.5051131345366</v>
      </c>
      <c r="Y1176">
        <v>5.1504294989968002E-3</v>
      </c>
      <c r="Z1176" s="31">
        <v>2.4873030353719598</v>
      </c>
      <c r="AA1176">
        <v>18.051775616722701</v>
      </c>
      <c r="AB1176">
        <v>7.0000000000000007E-2</v>
      </c>
      <c r="AC1176">
        <v>317917.38548391301</v>
      </c>
      <c r="AD1176">
        <v>359500.97950520879</v>
      </c>
      <c r="AE1176">
        <v>1</v>
      </c>
      <c r="AF1176">
        <v>10575.43902031472</v>
      </c>
      <c r="AG1176">
        <v>22867.08640698314</v>
      </c>
    </row>
    <row r="1177" spans="2:33" hidden="1" x14ac:dyDescent="0.25">
      <c r="B1177">
        <v>21</v>
      </c>
      <c r="C1177" t="s">
        <v>51</v>
      </c>
      <c r="D1177" t="s">
        <v>30</v>
      </c>
      <c r="E1177" t="s">
        <v>68</v>
      </c>
      <c r="F1177">
        <v>1532</v>
      </c>
      <c r="G1177">
        <v>130205</v>
      </c>
      <c r="H1177">
        <v>1</v>
      </c>
      <c r="I1177" s="2">
        <v>0</v>
      </c>
      <c r="J1177">
        <v>0.94498126602248078</v>
      </c>
      <c r="K1177">
        <v>374412</v>
      </c>
      <c r="L1177">
        <v>74724</v>
      </c>
      <c r="M1177">
        <v>1717</v>
      </c>
      <c r="N1177">
        <v>128800</v>
      </c>
      <c r="O1177" s="43">
        <v>200000</v>
      </c>
      <c r="P1177" s="14">
        <v>0</v>
      </c>
      <c r="Q1177" s="14" t="str">
        <f t="shared" si="54"/>
        <v/>
      </c>
      <c r="R1177" s="14" t="str">
        <f t="shared" si="54"/>
        <v/>
      </c>
      <c r="S1177" s="14" t="str">
        <f t="shared" si="55"/>
        <v/>
      </c>
      <c r="T1177" s="14" t="s">
        <v>72</v>
      </c>
      <c r="U1177" s="14">
        <v>0</v>
      </c>
      <c r="V1177">
        <v>7674</v>
      </c>
      <c r="W1177">
        <v>28.955712890625001</v>
      </c>
      <c r="X1177">
        <v>20.923779411645199</v>
      </c>
      <c r="Y1177">
        <v>3.1600610381125498</v>
      </c>
      <c r="Z1177" s="31">
        <v>3.094980418</v>
      </c>
      <c r="AA1177">
        <v>9.1669949600838905</v>
      </c>
      <c r="AB1177">
        <v>0.06</v>
      </c>
      <c r="AC1177">
        <v>362659.31849936</v>
      </c>
      <c r="AD1177">
        <v>410095.15735907631</v>
      </c>
      <c r="AE1177">
        <v>1</v>
      </c>
      <c r="AF1177">
        <v>4334.2023541625531</v>
      </c>
      <c r="AG1177">
        <v>6151.2723429234411</v>
      </c>
    </row>
    <row r="1178" spans="2:33" hidden="1" x14ac:dyDescent="0.25">
      <c r="B1178">
        <v>21</v>
      </c>
      <c r="C1178" t="s">
        <v>51</v>
      </c>
      <c r="D1178" t="s">
        <v>30</v>
      </c>
      <c r="E1178" t="s">
        <v>68</v>
      </c>
      <c r="F1178">
        <v>12282</v>
      </c>
      <c r="G1178">
        <v>130205</v>
      </c>
      <c r="H1178">
        <v>2</v>
      </c>
      <c r="I1178" s="2">
        <v>0</v>
      </c>
      <c r="J1178">
        <v>0.66969039637152439</v>
      </c>
      <c r="K1178">
        <v>374412</v>
      </c>
      <c r="L1178">
        <v>74724</v>
      </c>
      <c r="M1178">
        <v>1717</v>
      </c>
      <c r="N1178">
        <v>128800</v>
      </c>
      <c r="O1178" s="43">
        <v>200000</v>
      </c>
      <c r="P1178" s="14">
        <f t="shared" si="56"/>
        <v>0</v>
      </c>
      <c r="Q1178" s="14" t="str">
        <f t="shared" si="54"/>
        <v/>
      </c>
      <c r="R1178" s="14" t="str">
        <f t="shared" si="54"/>
        <v/>
      </c>
      <c r="S1178" s="14" t="str">
        <f t="shared" si="55"/>
        <v/>
      </c>
      <c r="T1178" s="14" t="s">
        <v>72</v>
      </c>
      <c r="U1178" s="14">
        <v>0</v>
      </c>
      <c r="V1178">
        <v>7674</v>
      </c>
      <c r="W1178">
        <v>23.803125000000001</v>
      </c>
      <c r="X1178">
        <v>42.578022784107503</v>
      </c>
      <c r="Y1178">
        <v>1.69366810917737</v>
      </c>
      <c r="Z1178" s="31">
        <v>2.6522828159720699</v>
      </c>
      <c r="AA1178">
        <v>10.3304922251367</v>
      </c>
      <c r="AB1178">
        <v>0.06</v>
      </c>
      <c r="AC1178">
        <v>362659.31849936</v>
      </c>
      <c r="AD1178">
        <v>410095.15735907631</v>
      </c>
      <c r="AE1178">
        <v>1</v>
      </c>
      <c r="AF1178">
        <v>4334.2023541625531</v>
      </c>
      <c r="AG1178">
        <v>6151.2723429234411</v>
      </c>
    </row>
    <row r="1179" spans="2:33" hidden="1" x14ac:dyDescent="0.25">
      <c r="B1179">
        <v>21</v>
      </c>
      <c r="C1179" t="s">
        <v>51</v>
      </c>
      <c r="D1179" t="s">
        <v>30</v>
      </c>
      <c r="E1179" t="s">
        <v>68</v>
      </c>
      <c r="F1179">
        <v>16578</v>
      </c>
      <c r="G1179">
        <v>130205</v>
      </c>
      <c r="H1179">
        <v>3</v>
      </c>
      <c r="I1179" s="2">
        <v>0</v>
      </c>
      <c r="J1179">
        <v>0.84164859002169201</v>
      </c>
      <c r="K1179">
        <v>374412</v>
      </c>
      <c r="L1179">
        <v>74724</v>
      </c>
      <c r="M1179">
        <v>1717</v>
      </c>
      <c r="N1179">
        <v>128800</v>
      </c>
      <c r="O1179" s="43">
        <v>750000</v>
      </c>
      <c r="P1179" s="14">
        <f t="shared" si="56"/>
        <v>550000</v>
      </c>
      <c r="Q1179" s="14" t="str">
        <f t="shared" si="54"/>
        <v/>
      </c>
      <c r="R1179" s="14" t="str">
        <f t="shared" si="54"/>
        <v/>
      </c>
      <c r="S1179" s="14" t="str">
        <f t="shared" si="55"/>
        <v/>
      </c>
      <c r="T1179" s="14" t="s">
        <v>72</v>
      </c>
      <c r="U1179" s="14">
        <v>0</v>
      </c>
      <c r="V1179">
        <v>7674</v>
      </c>
      <c r="W1179">
        <v>23.143701171875001</v>
      </c>
      <c r="X1179">
        <v>21.892878880943599</v>
      </c>
      <c r="Y1179">
        <v>2.2147945675107699</v>
      </c>
      <c r="Z1179" s="31">
        <v>4.3756539375474599</v>
      </c>
      <c r="AA1179">
        <v>10.281709149519999</v>
      </c>
      <c r="AB1179">
        <v>0.06</v>
      </c>
      <c r="AC1179">
        <v>362659.31849936</v>
      </c>
      <c r="AD1179">
        <v>410095.15735907631</v>
      </c>
      <c r="AE1179">
        <v>1</v>
      </c>
      <c r="AF1179">
        <v>4334.2023541625531</v>
      </c>
      <c r="AG1179">
        <v>6151.2723429234411</v>
      </c>
    </row>
    <row r="1180" spans="2:33" hidden="1" x14ac:dyDescent="0.25">
      <c r="B1180">
        <v>21</v>
      </c>
      <c r="C1180" t="s">
        <v>51</v>
      </c>
      <c r="D1180" t="s">
        <v>30</v>
      </c>
      <c r="E1180" t="s">
        <v>68</v>
      </c>
      <c r="F1180">
        <v>20644</v>
      </c>
      <c r="G1180">
        <v>130205</v>
      </c>
      <c r="H1180">
        <v>4</v>
      </c>
      <c r="I1180">
        <v>2396</v>
      </c>
      <c r="J1180">
        <v>1.5227765726681131</v>
      </c>
      <c r="K1180">
        <v>374412</v>
      </c>
      <c r="L1180">
        <v>74724</v>
      </c>
      <c r="M1180">
        <v>1717</v>
      </c>
      <c r="N1180">
        <v>128800</v>
      </c>
      <c r="O1180" s="43">
        <v>466601</v>
      </c>
      <c r="P1180" s="14">
        <f t="shared" si="56"/>
        <v>-283399</v>
      </c>
      <c r="Q1180" s="14">
        <f t="shared" si="54"/>
        <v>-283399</v>
      </c>
      <c r="R1180" s="14">
        <f t="shared" si="54"/>
        <v>-283399</v>
      </c>
      <c r="S1180" s="14">
        <f t="shared" si="55"/>
        <v>80314993201</v>
      </c>
      <c r="T1180" s="14">
        <v>80314993201</v>
      </c>
      <c r="U1180" s="14">
        <v>-118.28005008347246</v>
      </c>
      <c r="V1180">
        <v>7674</v>
      </c>
      <c r="W1180">
        <v>28.298242187500001</v>
      </c>
      <c r="X1180">
        <v>15.950182952058899</v>
      </c>
      <c r="Y1180">
        <v>3.2336677741921802</v>
      </c>
      <c r="Z1180" s="31">
        <v>3.08323409344694</v>
      </c>
      <c r="AA1180">
        <v>6.9804368979823197</v>
      </c>
      <c r="AB1180">
        <v>0.06</v>
      </c>
      <c r="AC1180">
        <v>362659.31849936</v>
      </c>
      <c r="AD1180">
        <v>410095.15735907631</v>
      </c>
      <c r="AE1180">
        <v>1</v>
      </c>
      <c r="AF1180">
        <v>4334.2023541625531</v>
      </c>
      <c r="AG1180">
        <v>6151.2723429234411</v>
      </c>
    </row>
    <row r="1181" spans="2:33" hidden="1" x14ac:dyDescent="0.25">
      <c r="B1181">
        <v>21</v>
      </c>
      <c r="C1181" t="s">
        <v>51</v>
      </c>
      <c r="D1181" t="s">
        <v>30</v>
      </c>
      <c r="E1181" t="s">
        <v>68</v>
      </c>
      <c r="F1181">
        <v>23615</v>
      </c>
      <c r="G1181">
        <v>130205</v>
      </c>
      <c r="H1181">
        <v>5</v>
      </c>
      <c r="I1181">
        <v>1698</v>
      </c>
      <c r="J1181">
        <v>4.9702228357325966</v>
      </c>
      <c r="K1181">
        <v>374412</v>
      </c>
      <c r="L1181">
        <v>74724</v>
      </c>
      <c r="M1181">
        <v>1717</v>
      </c>
      <c r="N1181">
        <v>128800</v>
      </c>
      <c r="O1181" s="43">
        <v>2133070</v>
      </c>
      <c r="P1181" s="14">
        <f t="shared" si="56"/>
        <v>1666469</v>
      </c>
      <c r="Q1181" s="14" t="str">
        <f t="shared" si="54"/>
        <v/>
      </c>
      <c r="R1181" s="14" t="str">
        <f t="shared" si="54"/>
        <v/>
      </c>
      <c r="S1181" s="14" t="str">
        <f t="shared" si="55"/>
        <v/>
      </c>
      <c r="T1181" s="14" t="s">
        <v>72</v>
      </c>
      <c r="U1181" s="14">
        <v>981.43050647820962</v>
      </c>
      <c r="V1181">
        <v>7674</v>
      </c>
      <c r="W1181">
        <v>29.882470703125001</v>
      </c>
      <c r="X1181">
        <v>15.7547415050896</v>
      </c>
      <c r="Y1181">
        <v>3.5514150981927899</v>
      </c>
      <c r="Z1181" s="31">
        <v>3.5810816173851601</v>
      </c>
      <c r="AA1181">
        <v>7.3109724478184202</v>
      </c>
      <c r="AB1181">
        <v>0.06</v>
      </c>
      <c r="AC1181">
        <v>362659.31849936</v>
      </c>
      <c r="AD1181">
        <v>410095.15735907631</v>
      </c>
      <c r="AE1181">
        <v>1</v>
      </c>
      <c r="AF1181">
        <v>4334.2023541625531</v>
      </c>
      <c r="AG1181">
        <v>6151.2723429234411</v>
      </c>
    </row>
    <row r="1182" spans="2:33" hidden="1" x14ac:dyDescent="0.25">
      <c r="B1182">
        <v>21</v>
      </c>
      <c r="C1182" t="s">
        <v>51</v>
      </c>
      <c r="D1182" t="s">
        <v>30</v>
      </c>
      <c r="E1182" t="s">
        <v>68</v>
      </c>
      <c r="F1182">
        <v>28834</v>
      </c>
      <c r="G1182">
        <v>130205</v>
      </c>
      <c r="H1182">
        <v>6</v>
      </c>
      <c r="I1182">
        <v>2134</v>
      </c>
      <c r="J1182">
        <v>0</v>
      </c>
      <c r="K1182">
        <v>374412</v>
      </c>
      <c r="L1182">
        <v>74724</v>
      </c>
      <c r="M1182">
        <v>1717</v>
      </c>
      <c r="N1182">
        <v>128800</v>
      </c>
      <c r="O1182" s="43">
        <v>3162167</v>
      </c>
      <c r="P1182" s="14">
        <f t="shared" si="56"/>
        <v>1029097</v>
      </c>
      <c r="Q1182" s="14" t="str">
        <f t="shared" si="54"/>
        <v/>
      </c>
      <c r="R1182" s="14" t="str">
        <f t="shared" si="54"/>
        <v/>
      </c>
      <c r="S1182" s="14" t="str">
        <f t="shared" si="55"/>
        <v/>
      </c>
      <c r="T1182" s="14" t="s">
        <v>72</v>
      </c>
      <c r="U1182" s="14">
        <v>482.23851921274604</v>
      </c>
      <c r="V1182">
        <v>7674</v>
      </c>
      <c r="W1182">
        <v>29.451806640625001</v>
      </c>
      <c r="X1182">
        <v>16.996970092797099</v>
      </c>
      <c r="Y1182">
        <v>3.4134654977451402</v>
      </c>
      <c r="Z1182" s="31">
        <v>1.80267961855199</v>
      </c>
      <c r="AA1182">
        <v>5.27713326748525</v>
      </c>
      <c r="AB1182">
        <v>0.06</v>
      </c>
      <c r="AC1182">
        <v>362659.31849936</v>
      </c>
      <c r="AD1182">
        <v>410095.15735907631</v>
      </c>
      <c r="AE1182">
        <v>1</v>
      </c>
      <c r="AF1182">
        <v>4334.2023541625531</v>
      </c>
      <c r="AG1182">
        <v>6151.2723429234411</v>
      </c>
    </row>
    <row r="1183" spans="2:33" hidden="1" x14ac:dyDescent="0.25">
      <c r="B1183">
        <v>21</v>
      </c>
      <c r="C1183" t="s">
        <v>51</v>
      </c>
      <c r="D1183" t="s">
        <v>30</v>
      </c>
      <c r="E1183" t="s">
        <v>68</v>
      </c>
      <c r="F1183">
        <v>32326</v>
      </c>
      <c r="G1183">
        <v>130205</v>
      </c>
      <c r="H1183">
        <v>7</v>
      </c>
      <c r="I1183">
        <v>3861</v>
      </c>
      <c r="J1183">
        <v>1.88168014198383</v>
      </c>
      <c r="K1183">
        <v>374412</v>
      </c>
      <c r="L1183">
        <v>74724</v>
      </c>
      <c r="M1183">
        <v>1717</v>
      </c>
      <c r="N1183">
        <v>128800</v>
      </c>
      <c r="O1183" s="43">
        <v>4849055</v>
      </c>
      <c r="P1183" s="14">
        <f t="shared" si="56"/>
        <v>1686888</v>
      </c>
      <c r="Q1183" s="14" t="str">
        <f t="shared" si="54"/>
        <v/>
      </c>
      <c r="R1183" s="14" t="str">
        <f t="shared" si="54"/>
        <v/>
      </c>
      <c r="S1183" s="14" t="str">
        <f t="shared" si="55"/>
        <v/>
      </c>
      <c r="T1183" s="14" t="s">
        <v>72</v>
      </c>
      <c r="U1183" s="14">
        <v>436.90442890442893</v>
      </c>
      <c r="V1183">
        <v>7674</v>
      </c>
      <c r="W1183">
        <v>26.718408203125001</v>
      </c>
      <c r="X1183">
        <v>20.515661188204302</v>
      </c>
      <c r="Y1183">
        <v>2.7883841392570301</v>
      </c>
      <c r="Z1183" s="31">
        <v>3.8758770760101702</v>
      </c>
      <c r="AA1183">
        <v>7.8500956362688301</v>
      </c>
      <c r="AB1183">
        <v>0.06</v>
      </c>
      <c r="AC1183">
        <v>362659.31849936</v>
      </c>
      <c r="AD1183">
        <v>410095.15735907631</v>
      </c>
      <c r="AE1183">
        <v>1</v>
      </c>
      <c r="AF1183">
        <v>4334.2023541625531</v>
      </c>
      <c r="AG1183">
        <v>6151.2723429234411</v>
      </c>
    </row>
    <row r="1184" spans="2:33" hidden="1" x14ac:dyDescent="0.25">
      <c r="B1184">
        <v>21</v>
      </c>
      <c r="C1184" t="s">
        <v>51</v>
      </c>
      <c r="D1184" t="s">
        <v>30</v>
      </c>
      <c r="E1184" t="s">
        <v>68</v>
      </c>
      <c r="F1184">
        <v>35735</v>
      </c>
      <c r="G1184">
        <v>130205</v>
      </c>
      <c r="H1184">
        <v>8</v>
      </c>
      <c r="I1184">
        <v>12602</v>
      </c>
      <c r="J1184">
        <v>1.425359889568133</v>
      </c>
      <c r="K1184">
        <v>374412</v>
      </c>
      <c r="L1184">
        <v>74724</v>
      </c>
      <c r="M1184">
        <v>1717</v>
      </c>
      <c r="N1184">
        <v>128800</v>
      </c>
      <c r="O1184" s="43">
        <v>6529020</v>
      </c>
      <c r="P1184" s="14">
        <f t="shared" si="56"/>
        <v>1679965</v>
      </c>
      <c r="Q1184" s="14" t="str">
        <f t="shared" si="54"/>
        <v/>
      </c>
      <c r="R1184" s="14" t="str">
        <f t="shared" si="54"/>
        <v/>
      </c>
      <c r="S1184" s="14" t="str">
        <f t="shared" si="55"/>
        <v/>
      </c>
      <c r="T1184" s="14" t="s">
        <v>72</v>
      </c>
      <c r="U1184" s="14">
        <v>133.30939533407397</v>
      </c>
      <c r="V1184">
        <v>7674</v>
      </c>
      <c r="W1184">
        <v>28.009179687500001</v>
      </c>
      <c r="X1184">
        <v>14.8264446315764</v>
      </c>
      <c r="Y1184">
        <v>3.22237583231925</v>
      </c>
      <c r="Z1184" s="31">
        <v>0.83008211878208504</v>
      </c>
      <c r="AA1184">
        <v>2.2962445332282502</v>
      </c>
      <c r="AB1184">
        <v>0.06</v>
      </c>
      <c r="AC1184">
        <v>362659.31849936</v>
      </c>
      <c r="AD1184">
        <v>410095.15735907631</v>
      </c>
      <c r="AE1184">
        <v>1</v>
      </c>
      <c r="AF1184">
        <v>4334.2023541625531</v>
      </c>
      <c r="AG1184">
        <v>6151.2723429234411</v>
      </c>
    </row>
    <row r="1185" spans="2:33" hidden="1" x14ac:dyDescent="0.25">
      <c r="B1185">
        <v>21</v>
      </c>
      <c r="C1185" t="s">
        <v>51</v>
      </c>
      <c r="D1185" t="s">
        <v>30</v>
      </c>
      <c r="E1185" t="s">
        <v>68</v>
      </c>
      <c r="F1185">
        <v>37260</v>
      </c>
      <c r="G1185">
        <v>130205</v>
      </c>
      <c r="H1185">
        <v>9</v>
      </c>
      <c r="I1185">
        <v>0</v>
      </c>
      <c r="J1185">
        <v>0.85348057582330905</v>
      </c>
      <c r="K1185">
        <v>374412</v>
      </c>
      <c r="L1185">
        <v>74724</v>
      </c>
      <c r="M1185">
        <v>1717</v>
      </c>
      <c r="N1185">
        <v>128800</v>
      </c>
      <c r="O1185" s="43">
        <v>7699190</v>
      </c>
      <c r="P1185" s="14">
        <f t="shared" si="56"/>
        <v>1170170</v>
      </c>
      <c r="Q1185" s="14" t="str">
        <f t="shared" si="54"/>
        <v/>
      </c>
      <c r="R1185" s="14" t="str">
        <f t="shared" si="54"/>
        <v/>
      </c>
      <c r="S1185" s="14" t="str">
        <f t="shared" si="55"/>
        <v/>
      </c>
      <c r="T1185" s="14" t="s">
        <v>72</v>
      </c>
      <c r="U1185" s="14">
        <v>0</v>
      </c>
      <c r="V1185">
        <v>7674</v>
      </c>
      <c r="W1185">
        <v>22.700097656250001</v>
      </c>
      <c r="X1185">
        <v>31.155537385867699</v>
      </c>
      <c r="Y1185">
        <v>1.9002984493962001</v>
      </c>
      <c r="Z1185" s="31">
        <v>2.82683687955788</v>
      </c>
      <c r="AA1185">
        <v>5.1003724716936301</v>
      </c>
      <c r="AB1185">
        <v>0.06</v>
      </c>
      <c r="AC1185">
        <v>362659.31849936</v>
      </c>
      <c r="AD1185">
        <v>410095.15735907631</v>
      </c>
      <c r="AE1185">
        <v>1</v>
      </c>
      <c r="AF1185">
        <v>4334.2023541625531</v>
      </c>
      <c r="AG1185">
        <v>6151.2723429234411</v>
      </c>
    </row>
    <row r="1186" spans="2:33" hidden="1" x14ac:dyDescent="0.25">
      <c r="B1186">
        <v>21</v>
      </c>
      <c r="C1186" t="s">
        <v>51</v>
      </c>
      <c r="D1186" t="s">
        <v>30</v>
      </c>
      <c r="E1186" t="s">
        <v>68</v>
      </c>
      <c r="F1186">
        <v>38317</v>
      </c>
      <c r="G1186">
        <v>130205</v>
      </c>
      <c r="H1186">
        <v>10</v>
      </c>
      <c r="I1186">
        <v>4771</v>
      </c>
      <c r="J1186">
        <v>0.3825675409189509</v>
      </c>
      <c r="K1186">
        <v>374412</v>
      </c>
      <c r="L1186">
        <v>74724</v>
      </c>
      <c r="M1186">
        <v>1717</v>
      </c>
      <c r="N1186">
        <v>128800</v>
      </c>
      <c r="O1186" s="43">
        <v>9090569</v>
      </c>
      <c r="P1186" s="14">
        <f t="shared" si="56"/>
        <v>1391379</v>
      </c>
      <c r="Q1186" s="14" t="str">
        <f t="shared" si="54"/>
        <v/>
      </c>
      <c r="R1186" s="14" t="str">
        <f t="shared" si="54"/>
        <v/>
      </c>
      <c r="S1186" s="14" t="str">
        <f t="shared" si="55"/>
        <v/>
      </c>
      <c r="T1186" s="14" t="s">
        <v>72</v>
      </c>
      <c r="U1186" s="14">
        <v>291.63257178788513</v>
      </c>
      <c r="V1186">
        <v>7674</v>
      </c>
      <c r="W1186">
        <v>28.052880859375001</v>
      </c>
      <c r="X1186">
        <v>20.927323761222102</v>
      </c>
      <c r="Y1186">
        <v>2.9988740986595501</v>
      </c>
      <c r="Z1186" s="31">
        <v>1.99954220127909</v>
      </c>
      <c r="AA1186">
        <v>3.8213684565243802</v>
      </c>
      <c r="AB1186">
        <v>0.06</v>
      </c>
      <c r="AC1186">
        <v>362659.31849936</v>
      </c>
      <c r="AD1186">
        <v>410095.15735907631</v>
      </c>
      <c r="AE1186">
        <v>1</v>
      </c>
      <c r="AF1186">
        <v>4334.2023541625531</v>
      </c>
      <c r="AG1186">
        <v>6151.2723429234411</v>
      </c>
    </row>
    <row r="1187" spans="2:33" hidden="1" x14ac:dyDescent="0.25">
      <c r="B1187">
        <v>21</v>
      </c>
      <c r="C1187" t="s">
        <v>51</v>
      </c>
      <c r="D1187" t="s">
        <v>30</v>
      </c>
      <c r="E1187" t="s">
        <v>68</v>
      </c>
      <c r="F1187">
        <v>40384</v>
      </c>
      <c r="G1187">
        <v>130205</v>
      </c>
      <c r="H1187">
        <v>11</v>
      </c>
      <c r="I1187">
        <v>3614</v>
      </c>
      <c r="J1187">
        <v>0.49615460461447453</v>
      </c>
      <c r="K1187">
        <v>374412</v>
      </c>
      <c r="L1187">
        <v>74724</v>
      </c>
      <c r="M1187">
        <v>1717</v>
      </c>
      <c r="N1187">
        <v>128800</v>
      </c>
      <c r="O1187" s="43">
        <v>10757273</v>
      </c>
      <c r="P1187" s="14">
        <f t="shared" si="56"/>
        <v>1666704</v>
      </c>
      <c r="Q1187" s="14" t="str">
        <f t="shared" si="54"/>
        <v/>
      </c>
      <c r="R1187" s="14" t="str">
        <f t="shared" si="54"/>
        <v/>
      </c>
      <c r="S1187" s="14" t="str">
        <f t="shared" si="55"/>
        <v/>
      </c>
      <c r="T1187" s="14" t="s">
        <v>72</v>
      </c>
      <c r="U1187" s="14">
        <v>461.1798561151079</v>
      </c>
      <c r="V1187">
        <v>7674</v>
      </c>
      <c r="W1187">
        <v>30.265527343750001</v>
      </c>
      <c r="X1187">
        <v>20.215170507508901</v>
      </c>
      <c r="Y1187">
        <v>3.4376594341862701</v>
      </c>
      <c r="Z1187" s="31">
        <v>2.2281887283685502</v>
      </c>
      <c r="AA1187">
        <v>4.0460865764313603</v>
      </c>
      <c r="AB1187">
        <v>0.06</v>
      </c>
      <c r="AC1187">
        <v>362659.31849936</v>
      </c>
      <c r="AD1187">
        <v>410095.15735907631</v>
      </c>
      <c r="AE1187">
        <v>1</v>
      </c>
      <c r="AF1187">
        <v>4334.2023541625531</v>
      </c>
      <c r="AG1187">
        <v>6151.2723429234411</v>
      </c>
    </row>
    <row r="1188" spans="2:33" hidden="1" x14ac:dyDescent="0.25">
      <c r="B1188">
        <v>21</v>
      </c>
      <c r="C1188" t="s">
        <v>51</v>
      </c>
      <c r="D1188" t="s">
        <v>30</v>
      </c>
      <c r="E1188" t="s">
        <v>68</v>
      </c>
      <c r="F1188">
        <v>43222</v>
      </c>
      <c r="G1188">
        <v>130205</v>
      </c>
      <c r="H1188">
        <v>12</v>
      </c>
      <c r="I1188">
        <v>2164</v>
      </c>
      <c r="J1188">
        <v>0.47288503253796099</v>
      </c>
      <c r="K1188">
        <v>374412</v>
      </c>
      <c r="L1188">
        <v>74724</v>
      </c>
      <c r="M1188">
        <v>1717</v>
      </c>
      <c r="N1188">
        <v>128800</v>
      </c>
      <c r="O1188" s="43">
        <v>12034934</v>
      </c>
      <c r="P1188" s="14">
        <f t="shared" si="56"/>
        <v>1277661</v>
      </c>
      <c r="Q1188" s="14" t="str">
        <f t="shared" si="54"/>
        <v/>
      </c>
      <c r="R1188" s="14" t="str">
        <f t="shared" si="54"/>
        <v/>
      </c>
      <c r="S1188" s="14" t="str">
        <f t="shared" si="55"/>
        <v/>
      </c>
      <c r="T1188" s="14" t="s">
        <v>72</v>
      </c>
      <c r="U1188" s="14">
        <v>590.41635859519408</v>
      </c>
      <c r="V1188">
        <v>7674</v>
      </c>
      <c r="W1188">
        <v>28.545312500000001</v>
      </c>
      <c r="X1188">
        <v>31.0885450667312</v>
      </c>
      <c r="Y1188">
        <v>2.688682043</v>
      </c>
      <c r="Z1188" s="31">
        <v>2.85002458106027</v>
      </c>
      <c r="AA1188">
        <v>5.1110221626956198</v>
      </c>
      <c r="AB1188">
        <v>0.06</v>
      </c>
      <c r="AC1188">
        <v>362659.31849936</v>
      </c>
      <c r="AD1188">
        <v>410095.15735907631</v>
      </c>
      <c r="AE1188">
        <v>1</v>
      </c>
      <c r="AF1188">
        <v>4334.2023541625531</v>
      </c>
      <c r="AG1188">
        <v>6151.2723429234411</v>
      </c>
    </row>
    <row r="1189" spans="2:33" hidden="1" x14ac:dyDescent="0.25">
      <c r="B1189">
        <v>21</v>
      </c>
      <c r="C1189" t="s">
        <v>51</v>
      </c>
      <c r="D1189" t="s">
        <v>30</v>
      </c>
      <c r="E1189" t="s">
        <v>68</v>
      </c>
      <c r="F1189">
        <v>45109</v>
      </c>
      <c r="G1189">
        <v>130205</v>
      </c>
      <c r="H1189">
        <v>13</v>
      </c>
      <c r="I1189">
        <v>970</v>
      </c>
      <c r="J1189">
        <v>0.46381384342338788</v>
      </c>
      <c r="K1189">
        <v>374412</v>
      </c>
      <c r="L1189">
        <v>74724</v>
      </c>
      <c r="M1189">
        <v>1717</v>
      </c>
      <c r="N1189">
        <v>128800</v>
      </c>
      <c r="O1189" s="43">
        <v>13450194</v>
      </c>
      <c r="P1189" s="14">
        <f t="shared" si="56"/>
        <v>1415260</v>
      </c>
      <c r="Q1189" s="14" t="str">
        <f t="shared" si="54"/>
        <v/>
      </c>
      <c r="R1189" s="14" t="str">
        <f t="shared" si="54"/>
        <v/>
      </c>
      <c r="S1189" s="14" t="str">
        <f t="shared" si="55"/>
        <v/>
      </c>
      <c r="T1189" s="14" t="s">
        <v>72</v>
      </c>
      <c r="U1189" s="14">
        <v>1459.0309278350514</v>
      </c>
      <c r="V1189">
        <v>7674</v>
      </c>
      <c r="W1189">
        <v>30.012109375000001</v>
      </c>
      <c r="X1189">
        <v>22.590332516442398</v>
      </c>
      <c r="Y1189">
        <v>3.28711853236512</v>
      </c>
      <c r="Z1189" s="31">
        <v>2.2071343457461401</v>
      </c>
      <c r="AA1189">
        <v>3.8301167123845601</v>
      </c>
      <c r="AB1189">
        <v>0.06</v>
      </c>
      <c r="AC1189">
        <v>362659.31849936</v>
      </c>
      <c r="AD1189">
        <v>410095.15735907631</v>
      </c>
      <c r="AE1189">
        <v>1</v>
      </c>
      <c r="AF1189">
        <v>4334.2023541625531</v>
      </c>
      <c r="AG1189">
        <v>6151.2723429234411</v>
      </c>
    </row>
    <row r="1190" spans="2:33" hidden="1" x14ac:dyDescent="0.25">
      <c r="B1190">
        <v>21</v>
      </c>
      <c r="C1190" t="s">
        <v>51</v>
      </c>
      <c r="D1190" t="s">
        <v>30</v>
      </c>
      <c r="E1190" t="s">
        <v>68</v>
      </c>
      <c r="F1190">
        <v>48529</v>
      </c>
      <c r="G1190">
        <v>130205</v>
      </c>
      <c r="H1190">
        <v>14</v>
      </c>
      <c r="I1190">
        <v>1258</v>
      </c>
      <c r="J1190">
        <v>0.52731216722539942</v>
      </c>
      <c r="K1190">
        <v>374412</v>
      </c>
      <c r="L1190">
        <v>74724</v>
      </c>
      <c r="M1190">
        <v>1717</v>
      </c>
      <c r="N1190">
        <v>128800</v>
      </c>
      <c r="O1190" s="43">
        <v>14869896</v>
      </c>
      <c r="P1190" s="14">
        <f t="shared" si="56"/>
        <v>1419702</v>
      </c>
      <c r="Q1190" s="14" t="str">
        <f t="shared" si="54"/>
        <v/>
      </c>
      <c r="R1190" s="14" t="str">
        <f t="shared" si="54"/>
        <v/>
      </c>
      <c r="S1190" s="14" t="str">
        <f t="shared" si="55"/>
        <v/>
      </c>
      <c r="T1190" s="14" t="s">
        <v>72</v>
      </c>
      <c r="U1190" s="14">
        <v>1128.5389507154214</v>
      </c>
      <c r="V1190">
        <v>7674</v>
      </c>
      <c r="W1190">
        <v>30.147851562500001</v>
      </c>
      <c r="X1190">
        <v>20.2209897530111</v>
      </c>
      <c r="Y1190">
        <v>3.41434636066831</v>
      </c>
      <c r="Z1190" s="31">
        <v>0.554188195719725</v>
      </c>
      <c r="AA1190">
        <v>2.5914630041072599</v>
      </c>
      <c r="AB1190">
        <v>0.06</v>
      </c>
      <c r="AC1190">
        <v>362659.31849936</v>
      </c>
      <c r="AD1190">
        <v>410095.15735907631</v>
      </c>
      <c r="AE1190">
        <v>1</v>
      </c>
      <c r="AF1190">
        <v>4334.2023541625531</v>
      </c>
      <c r="AG1190">
        <v>6151.2723429234411</v>
      </c>
    </row>
    <row r="1191" spans="2:33" hidden="1" x14ac:dyDescent="0.25">
      <c r="B1191">
        <v>21</v>
      </c>
      <c r="C1191" t="s">
        <v>51</v>
      </c>
      <c r="D1191" t="s">
        <v>30</v>
      </c>
      <c r="E1191" t="s">
        <v>68</v>
      </c>
      <c r="F1191">
        <v>56044</v>
      </c>
      <c r="G1191">
        <v>130205</v>
      </c>
      <c r="H1191">
        <v>15</v>
      </c>
      <c r="I1191">
        <v>1199</v>
      </c>
      <c r="J1191">
        <v>0</v>
      </c>
      <c r="K1191">
        <v>374412</v>
      </c>
      <c r="L1191">
        <v>74724</v>
      </c>
      <c r="M1191">
        <v>1717</v>
      </c>
      <c r="N1191">
        <v>128800</v>
      </c>
      <c r="O1191" s="43">
        <v>16635080</v>
      </c>
      <c r="P1191" s="14">
        <f t="shared" si="56"/>
        <v>1765184</v>
      </c>
      <c r="Q1191" s="14" t="str">
        <f t="shared" si="54"/>
        <v/>
      </c>
      <c r="R1191" s="14" t="str">
        <f t="shared" si="54"/>
        <v/>
      </c>
      <c r="S1191" s="14" t="str">
        <f t="shared" si="55"/>
        <v/>
      </c>
      <c r="T1191" s="14" t="s">
        <v>72</v>
      </c>
      <c r="U1191" s="14">
        <v>1472.2135112593828</v>
      </c>
      <c r="V1191">
        <v>7674</v>
      </c>
      <c r="W1191">
        <v>31.234765625000001</v>
      </c>
      <c r="X1191">
        <v>14.588713018849299</v>
      </c>
      <c r="Y1191">
        <v>3.8895194785885399</v>
      </c>
      <c r="Z1191" s="31">
        <v>2.1939257243428201</v>
      </c>
      <c r="AA1191">
        <v>4.5104088459999998</v>
      </c>
      <c r="AB1191">
        <v>0.06</v>
      </c>
      <c r="AC1191">
        <v>362659.31849936</v>
      </c>
      <c r="AD1191">
        <v>410095.15735907631</v>
      </c>
      <c r="AE1191">
        <v>1</v>
      </c>
      <c r="AF1191">
        <v>4334.2023541625531</v>
      </c>
      <c r="AG1191">
        <v>6151.2723429234411</v>
      </c>
    </row>
    <row r="1192" spans="2:33" hidden="1" x14ac:dyDescent="0.25">
      <c r="B1192">
        <v>21</v>
      </c>
      <c r="C1192" t="s">
        <v>51</v>
      </c>
      <c r="D1192" t="s">
        <v>30</v>
      </c>
      <c r="E1192" t="s">
        <v>68</v>
      </c>
      <c r="F1192">
        <v>58163</v>
      </c>
      <c r="G1192">
        <v>130205</v>
      </c>
      <c r="H1192">
        <v>16</v>
      </c>
      <c r="I1192">
        <v>1176</v>
      </c>
      <c r="J1192">
        <v>0</v>
      </c>
      <c r="K1192">
        <v>374412</v>
      </c>
      <c r="L1192">
        <v>74724</v>
      </c>
      <c r="M1192">
        <v>1717</v>
      </c>
      <c r="N1192">
        <v>128800</v>
      </c>
      <c r="O1192" s="43">
        <v>18346092</v>
      </c>
      <c r="P1192" s="14">
        <f t="shared" si="56"/>
        <v>1711012</v>
      </c>
      <c r="Q1192" s="14" t="str">
        <f t="shared" si="54"/>
        <v/>
      </c>
      <c r="R1192" s="14" t="str">
        <f t="shared" si="54"/>
        <v/>
      </c>
      <c r="S1192" s="14" t="str">
        <f t="shared" si="55"/>
        <v/>
      </c>
      <c r="T1192" s="14" t="s">
        <v>72</v>
      </c>
      <c r="U1192" s="14">
        <v>1454.9421768707482</v>
      </c>
      <c r="V1192">
        <v>7674</v>
      </c>
      <c r="W1192">
        <v>30.399804687500001</v>
      </c>
      <c r="X1192">
        <v>19.649201929417401</v>
      </c>
      <c r="Y1192">
        <v>3.4887603744901798</v>
      </c>
      <c r="Z1192" s="31">
        <v>3.2281522431327798</v>
      </c>
      <c r="AA1192">
        <v>7.4037493679197599</v>
      </c>
      <c r="AB1192">
        <v>0.06</v>
      </c>
      <c r="AC1192">
        <v>362659.31849936</v>
      </c>
      <c r="AD1192">
        <v>410095.15735907631</v>
      </c>
      <c r="AE1192">
        <v>1</v>
      </c>
      <c r="AF1192">
        <v>4334.2023541625531</v>
      </c>
      <c r="AG1192">
        <v>6151.2723429234411</v>
      </c>
    </row>
    <row r="1193" spans="2:33" hidden="1" x14ac:dyDescent="0.25">
      <c r="B1193">
        <v>21</v>
      </c>
      <c r="C1193" t="s">
        <v>51</v>
      </c>
      <c r="D1193" t="s">
        <v>30</v>
      </c>
      <c r="E1193" t="s">
        <v>68</v>
      </c>
      <c r="F1193">
        <v>62406</v>
      </c>
      <c r="G1193">
        <v>130205</v>
      </c>
      <c r="H1193">
        <v>17</v>
      </c>
      <c r="I1193">
        <v>1337</v>
      </c>
      <c r="J1193">
        <v>8.7556694931966092E-2</v>
      </c>
      <c r="K1193">
        <v>374412</v>
      </c>
      <c r="L1193">
        <v>74724</v>
      </c>
      <c r="M1193">
        <v>1717</v>
      </c>
      <c r="N1193">
        <v>128800</v>
      </c>
      <c r="O1193" s="43">
        <v>22900000</v>
      </c>
      <c r="P1193" s="14">
        <f t="shared" si="56"/>
        <v>4553908</v>
      </c>
      <c r="Q1193" s="14" t="str">
        <f t="shared" si="54"/>
        <v/>
      </c>
      <c r="R1193" s="14" t="str">
        <f t="shared" si="54"/>
        <v/>
      </c>
      <c r="S1193" s="14" t="str">
        <f t="shared" si="55"/>
        <v/>
      </c>
      <c r="T1193" s="14" t="s">
        <v>72</v>
      </c>
      <c r="U1193" s="14">
        <v>3406.0643231114436</v>
      </c>
      <c r="V1193">
        <v>7674</v>
      </c>
      <c r="W1193">
        <v>26.634667968750001</v>
      </c>
      <c r="X1193">
        <v>31.297356147724599</v>
      </c>
      <c r="Y1193">
        <v>2.3978650234328902</v>
      </c>
      <c r="Z1193" s="31">
        <v>1.7581711416486101</v>
      </c>
      <c r="AA1193">
        <v>4.4420469499999999</v>
      </c>
      <c r="AB1193">
        <v>0.06</v>
      </c>
      <c r="AC1193">
        <v>362659.31849936</v>
      </c>
      <c r="AD1193">
        <v>410095.15735907631</v>
      </c>
      <c r="AE1193">
        <v>1</v>
      </c>
      <c r="AF1193">
        <v>4334.2023541625531</v>
      </c>
      <c r="AG1193">
        <v>6151.2723429234411</v>
      </c>
    </row>
    <row r="1194" spans="2:33" hidden="1" x14ac:dyDescent="0.25">
      <c r="B1194">
        <v>21</v>
      </c>
      <c r="C1194" t="s">
        <v>51</v>
      </c>
      <c r="D1194" t="s">
        <v>30</v>
      </c>
      <c r="E1194" t="s">
        <v>68</v>
      </c>
      <c r="F1194">
        <v>64075</v>
      </c>
      <c r="G1194">
        <v>130205</v>
      </c>
      <c r="H1194">
        <v>18</v>
      </c>
      <c r="I1194">
        <v>0</v>
      </c>
      <c r="J1194">
        <v>0.231906921711694</v>
      </c>
      <c r="K1194">
        <v>374412</v>
      </c>
      <c r="L1194">
        <v>74724</v>
      </c>
      <c r="M1194">
        <v>1717</v>
      </c>
      <c r="N1194">
        <v>128800</v>
      </c>
      <c r="O1194" s="43">
        <v>21700000</v>
      </c>
      <c r="P1194" s="14">
        <f t="shared" si="56"/>
        <v>-1200000</v>
      </c>
      <c r="Q1194" s="14">
        <f t="shared" si="54"/>
        <v>-1200000</v>
      </c>
      <c r="R1194" s="14">
        <f t="shared" si="54"/>
        <v>-1200000</v>
      </c>
      <c r="S1194" s="14">
        <f t="shared" si="55"/>
        <v>1440000000000</v>
      </c>
      <c r="T1194" s="14">
        <v>1440000000000</v>
      </c>
      <c r="U1194" s="14">
        <v>0</v>
      </c>
      <c r="V1194">
        <v>7674</v>
      </c>
      <c r="W1194">
        <v>27.245507812500001</v>
      </c>
      <c r="X1194">
        <v>17.698138850003499</v>
      </c>
      <c r="Y1194">
        <v>2.9779445987622499</v>
      </c>
      <c r="Z1194" s="31">
        <v>3.35994723236885</v>
      </c>
      <c r="AA1194">
        <v>7.9380444986325296</v>
      </c>
      <c r="AB1194">
        <v>0.06</v>
      </c>
      <c r="AC1194">
        <v>362659.31849936</v>
      </c>
      <c r="AD1194">
        <v>410095.15735907631</v>
      </c>
      <c r="AE1194">
        <v>1</v>
      </c>
      <c r="AF1194">
        <v>4334.2023541625531</v>
      </c>
      <c r="AG1194">
        <v>6151.2723429234411</v>
      </c>
    </row>
    <row r="1195" spans="2:33" hidden="1" x14ac:dyDescent="0.25">
      <c r="B1195">
        <v>21</v>
      </c>
      <c r="C1195" t="s">
        <v>51</v>
      </c>
      <c r="D1195" t="s">
        <v>30</v>
      </c>
      <c r="E1195" t="s">
        <v>68</v>
      </c>
      <c r="F1195">
        <v>67423</v>
      </c>
      <c r="G1195">
        <v>130205</v>
      </c>
      <c r="H1195">
        <v>19</v>
      </c>
      <c r="I1195">
        <v>-13</v>
      </c>
      <c r="J1195">
        <v>0.97377243147308234</v>
      </c>
      <c r="K1195">
        <v>374412</v>
      </c>
      <c r="L1195">
        <v>74724</v>
      </c>
      <c r="M1195">
        <v>1717</v>
      </c>
      <c r="N1195">
        <v>128800</v>
      </c>
      <c r="O1195" s="43">
        <v>23700000</v>
      </c>
      <c r="P1195" s="14">
        <f t="shared" si="56"/>
        <v>2000000</v>
      </c>
      <c r="Q1195" s="14" t="str">
        <f t="shared" si="54"/>
        <v/>
      </c>
      <c r="R1195" s="14" t="str">
        <f t="shared" si="54"/>
        <v/>
      </c>
      <c r="S1195" s="14" t="str">
        <f t="shared" si="55"/>
        <v/>
      </c>
      <c r="T1195" s="14" t="s">
        <v>72</v>
      </c>
      <c r="U1195" s="14">
        <v>-153846.15384615384</v>
      </c>
      <c r="V1195">
        <v>7674</v>
      </c>
      <c r="W1195">
        <v>28.112939453125001</v>
      </c>
      <c r="X1195">
        <v>20.760490596614599</v>
      </c>
      <c r="Y1195">
        <v>3.0157195915694799</v>
      </c>
      <c r="Z1195" s="31">
        <v>3.0182013199921598</v>
      </c>
      <c r="AA1195">
        <v>6.50899251267903</v>
      </c>
      <c r="AB1195">
        <v>0.06</v>
      </c>
      <c r="AC1195">
        <v>362659.31849936</v>
      </c>
      <c r="AD1195">
        <v>410095.15735907631</v>
      </c>
      <c r="AE1195">
        <v>1</v>
      </c>
      <c r="AF1195">
        <v>4334.2023541625531</v>
      </c>
      <c r="AG1195">
        <v>6151.2723429234411</v>
      </c>
    </row>
    <row r="1196" spans="2:33" hidden="1" x14ac:dyDescent="0.25">
      <c r="B1196">
        <v>21</v>
      </c>
      <c r="C1196" t="s">
        <v>51</v>
      </c>
      <c r="D1196" t="s">
        <v>30</v>
      </c>
      <c r="E1196" t="s">
        <v>68</v>
      </c>
      <c r="F1196">
        <v>68148</v>
      </c>
      <c r="G1196">
        <v>130205</v>
      </c>
      <c r="H1196">
        <v>20</v>
      </c>
      <c r="I1196">
        <v>222</v>
      </c>
      <c r="J1196">
        <v>0</v>
      </c>
      <c r="K1196">
        <v>374412</v>
      </c>
      <c r="L1196">
        <v>74724</v>
      </c>
      <c r="M1196">
        <v>1717</v>
      </c>
      <c r="N1196">
        <v>128800</v>
      </c>
      <c r="O1196" s="43">
        <v>25400000</v>
      </c>
      <c r="P1196" s="14">
        <f t="shared" si="56"/>
        <v>1700000</v>
      </c>
      <c r="Q1196" s="14" t="str">
        <f t="shared" si="54"/>
        <v/>
      </c>
      <c r="R1196" s="14" t="str">
        <f t="shared" si="54"/>
        <v/>
      </c>
      <c r="S1196" s="14" t="str">
        <f t="shared" si="55"/>
        <v/>
      </c>
      <c r="T1196" s="14" t="s">
        <v>72</v>
      </c>
      <c r="U1196" s="14">
        <v>7657.6576576576581</v>
      </c>
      <c r="V1196">
        <v>7674</v>
      </c>
      <c r="W1196">
        <v>29.565332031250001</v>
      </c>
      <c r="X1196">
        <v>18.837328116570301</v>
      </c>
      <c r="Y1196">
        <v>3.3595231689037499</v>
      </c>
      <c r="Z1196" s="31">
        <v>3.9080482527109801</v>
      </c>
      <c r="AA1196">
        <v>10.567351873430299</v>
      </c>
      <c r="AB1196">
        <v>0.06</v>
      </c>
      <c r="AC1196">
        <v>362659.31849936</v>
      </c>
      <c r="AD1196">
        <v>410095.15735907631</v>
      </c>
      <c r="AE1196">
        <v>1</v>
      </c>
      <c r="AF1196">
        <v>4334.2023541625531</v>
      </c>
      <c r="AG1196">
        <v>6151.2723429234411</v>
      </c>
    </row>
    <row r="1197" spans="2:33" hidden="1" x14ac:dyDescent="0.25">
      <c r="B1197">
        <v>21</v>
      </c>
      <c r="C1197" t="s">
        <v>51</v>
      </c>
      <c r="D1197" t="s">
        <v>30</v>
      </c>
      <c r="E1197" t="s">
        <v>68</v>
      </c>
      <c r="F1197">
        <v>68333</v>
      </c>
      <c r="G1197">
        <v>130205</v>
      </c>
      <c r="H1197">
        <v>21</v>
      </c>
      <c r="I1197">
        <v>588</v>
      </c>
      <c r="J1197">
        <v>3.7073555511733393E-2</v>
      </c>
      <c r="K1197">
        <v>374412</v>
      </c>
      <c r="L1197">
        <v>74724</v>
      </c>
      <c r="M1197">
        <v>1717</v>
      </c>
      <c r="N1197">
        <v>128800</v>
      </c>
      <c r="O1197" s="43">
        <v>27300000</v>
      </c>
      <c r="P1197" s="14">
        <f t="shared" si="56"/>
        <v>1900000</v>
      </c>
      <c r="Q1197" s="14" t="str">
        <f t="shared" si="54"/>
        <v/>
      </c>
      <c r="R1197" s="14" t="str">
        <f t="shared" si="54"/>
        <v/>
      </c>
      <c r="S1197" s="14" t="str">
        <f t="shared" si="55"/>
        <v/>
      </c>
      <c r="T1197" s="14" t="s">
        <v>72</v>
      </c>
      <c r="U1197" s="14">
        <v>3231.2925170068029</v>
      </c>
      <c r="V1197">
        <v>7674</v>
      </c>
      <c r="W1197">
        <v>26.571679687500001</v>
      </c>
      <c r="X1197">
        <v>23.361450176539702</v>
      </c>
      <c r="Y1197">
        <v>2.6653489715810501</v>
      </c>
      <c r="Z1197" s="31">
        <v>2.41715606793736</v>
      </c>
      <c r="AA1197">
        <v>5.7757865360185301</v>
      </c>
      <c r="AB1197">
        <v>0.06</v>
      </c>
      <c r="AC1197">
        <v>362659.31849936</v>
      </c>
      <c r="AD1197">
        <v>410095.15735907631</v>
      </c>
      <c r="AE1197">
        <v>1</v>
      </c>
      <c r="AF1197">
        <v>4334.2023541625531</v>
      </c>
      <c r="AG1197">
        <v>6151.2723429234411</v>
      </c>
    </row>
    <row r="1198" spans="2:33" hidden="1" x14ac:dyDescent="0.25">
      <c r="B1198">
        <v>21</v>
      </c>
      <c r="C1198" t="s">
        <v>51</v>
      </c>
      <c r="D1198" t="s">
        <v>30</v>
      </c>
      <c r="E1198" t="s">
        <v>68</v>
      </c>
      <c r="F1198">
        <v>68750</v>
      </c>
      <c r="G1198">
        <v>130205</v>
      </c>
      <c r="H1198">
        <v>22</v>
      </c>
      <c r="I1198">
        <v>2469</v>
      </c>
      <c r="J1198">
        <v>2.011437586274897E-2</v>
      </c>
      <c r="K1198">
        <v>374412</v>
      </c>
      <c r="L1198">
        <v>74724</v>
      </c>
      <c r="M1198">
        <v>1717</v>
      </c>
      <c r="N1198">
        <v>128800</v>
      </c>
      <c r="O1198" s="43">
        <v>29300000</v>
      </c>
      <c r="P1198" s="14">
        <f t="shared" si="56"/>
        <v>2000000</v>
      </c>
      <c r="Q1198" s="14" t="str">
        <f t="shared" si="54"/>
        <v/>
      </c>
      <c r="R1198" s="14" t="str">
        <f t="shared" si="54"/>
        <v/>
      </c>
      <c r="S1198" s="14" t="str">
        <f t="shared" si="55"/>
        <v/>
      </c>
      <c r="T1198" s="14" t="s">
        <v>72</v>
      </c>
      <c r="U1198" s="14">
        <v>810.0445524503848</v>
      </c>
      <c r="V1198">
        <v>7674</v>
      </c>
      <c r="W1198">
        <v>22.495263671875001</v>
      </c>
      <c r="X1198">
        <v>23.561581066329399</v>
      </c>
      <c r="Y1198">
        <v>2.0840656911396498</v>
      </c>
      <c r="Z1198" s="31">
        <v>3.4037929654463701</v>
      </c>
      <c r="AA1198">
        <v>6.5110939250785096</v>
      </c>
      <c r="AB1198">
        <v>0.06</v>
      </c>
      <c r="AC1198">
        <v>362659.31849936</v>
      </c>
      <c r="AD1198">
        <v>410095.15735907631</v>
      </c>
      <c r="AE1198">
        <v>1</v>
      </c>
      <c r="AF1198">
        <v>4334.2023541625531</v>
      </c>
      <c r="AG1198">
        <v>6151.2723429234411</v>
      </c>
    </row>
    <row r="1199" spans="2:33" hidden="1" x14ac:dyDescent="0.25">
      <c r="B1199">
        <v>21</v>
      </c>
      <c r="C1199" t="s">
        <v>51</v>
      </c>
      <c r="D1199" t="s">
        <v>30</v>
      </c>
      <c r="E1199" t="s">
        <v>68</v>
      </c>
      <c r="F1199">
        <v>72689</v>
      </c>
      <c r="G1199">
        <v>130205</v>
      </c>
      <c r="H1199">
        <v>23</v>
      </c>
      <c r="I1199">
        <v>-2394</v>
      </c>
      <c r="J1199">
        <v>1.8256754091895091</v>
      </c>
      <c r="K1199">
        <v>374412</v>
      </c>
      <c r="L1199">
        <v>74724</v>
      </c>
      <c r="M1199">
        <v>1717</v>
      </c>
      <c r="N1199">
        <v>128800</v>
      </c>
      <c r="O1199" s="43">
        <v>31600000</v>
      </c>
      <c r="P1199" s="14">
        <f t="shared" si="56"/>
        <v>2300000</v>
      </c>
      <c r="Q1199" s="14" t="str">
        <f t="shared" si="54"/>
        <v/>
      </c>
      <c r="R1199" s="14" t="str">
        <f t="shared" si="54"/>
        <v/>
      </c>
      <c r="S1199" s="14" t="str">
        <f t="shared" si="55"/>
        <v/>
      </c>
      <c r="T1199" s="14" t="s">
        <v>72</v>
      </c>
      <c r="U1199" s="14">
        <v>-960.73517126148704</v>
      </c>
      <c r="V1199">
        <v>7674</v>
      </c>
      <c r="W1199">
        <v>28.486962890625001</v>
      </c>
      <c r="X1199">
        <v>13.5923555400851</v>
      </c>
      <c r="Y1199">
        <v>3.3610834221268902</v>
      </c>
      <c r="Z1199" s="31">
        <v>1.4818523649455499</v>
      </c>
      <c r="AA1199">
        <v>3.4393206030000001</v>
      </c>
      <c r="AB1199">
        <v>0.06</v>
      </c>
      <c r="AC1199">
        <v>362659.31849936</v>
      </c>
      <c r="AD1199">
        <v>410095.15735907631</v>
      </c>
      <c r="AE1199">
        <v>1</v>
      </c>
      <c r="AF1199">
        <v>4334.2023541625531</v>
      </c>
      <c r="AG1199">
        <v>6151.2723429234411</v>
      </c>
    </row>
    <row r="1200" spans="2:33" hidden="1" x14ac:dyDescent="0.25">
      <c r="B1200">
        <v>21</v>
      </c>
      <c r="C1200" t="s">
        <v>51</v>
      </c>
      <c r="D1200" t="s">
        <v>30</v>
      </c>
      <c r="E1200" t="s">
        <v>68</v>
      </c>
      <c r="F1200">
        <v>74448</v>
      </c>
      <c r="G1200">
        <v>130205</v>
      </c>
      <c r="H1200">
        <v>24</v>
      </c>
      <c r="I1200">
        <v>94</v>
      </c>
      <c r="J1200">
        <v>0</v>
      </c>
      <c r="K1200">
        <v>374412</v>
      </c>
      <c r="L1200">
        <v>74724</v>
      </c>
      <c r="M1200">
        <v>1717</v>
      </c>
      <c r="N1200">
        <v>128800</v>
      </c>
      <c r="O1200" s="43">
        <v>33600000</v>
      </c>
      <c r="P1200" s="14">
        <f t="shared" si="56"/>
        <v>2000000</v>
      </c>
      <c r="Q1200" s="14" t="str">
        <f t="shared" si="54"/>
        <v/>
      </c>
      <c r="R1200" s="14" t="str">
        <f t="shared" si="54"/>
        <v/>
      </c>
      <c r="S1200" s="14" t="str">
        <f t="shared" si="55"/>
        <v/>
      </c>
      <c r="T1200" s="14" t="s">
        <v>72</v>
      </c>
      <c r="U1200" s="14">
        <v>21276.59574468085</v>
      </c>
      <c r="V1200">
        <v>7674</v>
      </c>
      <c r="W1200">
        <v>30.080468750000001</v>
      </c>
      <c r="X1200">
        <v>14.7960204797219</v>
      </c>
      <c r="Y1200">
        <v>3.63288661705062</v>
      </c>
      <c r="Z1200" s="31">
        <v>2.7755597870000002</v>
      </c>
      <c r="AA1200">
        <v>5.6399990226511498</v>
      </c>
      <c r="AB1200">
        <v>0.06</v>
      </c>
      <c r="AC1200">
        <v>362659.31849936</v>
      </c>
      <c r="AD1200">
        <v>410095.15735907631</v>
      </c>
      <c r="AE1200">
        <v>1</v>
      </c>
      <c r="AF1200">
        <v>4334.2023541625531</v>
      </c>
      <c r="AG1200">
        <v>6151.2723429234411</v>
      </c>
    </row>
    <row r="1201" spans="2:33" hidden="1" x14ac:dyDescent="0.25">
      <c r="B1201">
        <v>21</v>
      </c>
      <c r="C1201" t="s">
        <v>51</v>
      </c>
      <c r="D1201" t="s">
        <v>30</v>
      </c>
      <c r="E1201" t="s">
        <v>68</v>
      </c>
      <c r="F1201">
        <v>74930</v>
      </c>
      <c r="G1201">
        <v>130205</v>
      </c>
      <c r="H1201">
        <v>25</v>
      </c>
      <c r="I1201">
        <v>51</v>
      </c>
      <c r="J1201">
        <v>0</v>
      </c>
      <c r="K1201">
        <v>374412</v>
      </c>
      <c r="L1201">
        <v>74724</v>
      </c>
      <c r="M1201">
        <v>1717</v>
      </c>
      <c r="N1201">
        <v>128800</v>
      </c>
      <c r="O1201" s="43">
        <v>35600000</v>
      </c>
      <c r="P1201" s="14">
        <f t="shared" si="56"/>
        <v>2000000</v>
      </c>
      <c r="Q1201" s="14" t="str">
        <f t="shared" si="54"/>
        <v/>
      </c>
      <c r="R1201" s="14" t="str">
        <f t="shared" si="54"/>
        <v/>
      </c>
      <c r="S1201" s="14" t="str">
        <f t="shared" si="55"/>
        <v/>
      </c>
      <c r="T1201" s="14" t="s">
        <v>72</v>
      </c>
      <c r="U1201" s="14">
        <v>39215.686274509804</v>
      </c>
      <c r="V1201">
        <v>7674</v>
      </c>
      <c r="W1201">
        <v>28.223046875000001</v>
      </c>
      <c r="X1201">
        <v>24.378225619214099</v>
      </c>
      <c r="Y1201">
        <v>2.8962957816598598</v>
      </c>
      <c r="Z1201" s="31">
        <v>1.6793733775756501</v>
      </c>
      <c r="AA1201">
        <v>4.4126297731234301</v>
      </c>
      <c r="AB1201">
        <v>0.06</v>
      </c>
      <c r="AC1201">
        <v>362659.31849936</v>
      </c>
      <c r="AD1201">
        <v>410095.15735907631</v>
      </c>
      <c r="AE1201">
        <v>1</v>
      </c>
      <c r="AF1201">
        <v>4334.2023541625531</v>
      </c>
      <c r="AG1201">
        <v>6151.2723429234411</v>
      </c>
    </row>
    <row r="1202" spans="2:33" hidden="1" x14ac:dyDescent="0.25">
      <c r="B1202">
        <v>21</v>
      </c>
      <c r="C1202" t="s">
        <v>51</v>
      </c>
      <c r="D1202" t="s">
        <v>30</v>
      </c>
      <c r="E1202" t="s">
        <v>68</v>
      </c>
      <c r="F1202">
        <v>75456</v>
      </c>
      <c r="G1202">
        <v>130205</v>
      </c>
      <c r="H1202">
        <v>26</v>
      </c>
      <c r="I1202">
        <v>4629</v>
      </c>
      <c r="J1202">
        <v>0</v>
      </c>
      <c r="K1202">
        <v>374412</v>
      </c>
      <c r="L1202">
        <v>74724</v>
      </c>
      <c r="M1202">
        <v>1717</v>
      </c>
      <c r="N1202">
        <v>128800</v>
      </c>
      <c r="O1202" s="43">
        <v>38400000</v>
      </c>
      <c r="P1202" s="14">
        <f t="shared" si="56"/>
        <v>2800000</v>
      </c>
      <c r="Q1202" s="14" t="str">
        <f t="shared" si="54"/>
        <v/>
      </c>
      <c r="R1202" s="14" t="str">
        <f t="shared" si="54"/>
        <v/>
      </c>
      <c r="S1202" s="14" t="str">
        <f t="shared" si="55"/>
        <v/>
      </c>
      <c r="T1202" s="14" t="s">
        <v>72</v>
      </c>
      <c r="U1202" s="14">
        <v>604.88226398790232</v>
      </c>
      <c r="V1202">
        <v>7674</v>
      </c>
      <c r="W1202">
        <v>22.016015625000001</v>
      </c>
      <c r="X1202">
        <v>54.882959541775499</v>
      </c>
      <c r="Y1202">
        <v>1.1943041417870901</v>
      </c>
      <c r="Z1202" s="31">
        <v>1.1436429311387599</v>
      </c>
      <c r="AA1202">
        <v>8.8019886596705597</v>
      </c>
      <c r="AB1202">
        <v>0.06</v>
      </c>
      <c r="AC1202">
        <v>362659.31849936</v>
      </c>
      <c r="AD1202">
        <v>410095.15735907631</v>
      </c>
      <c r="AE1202">
        <v>1</v>
      </c>
      <c r="AF1202">
        <v>4334.2023541625531</v>
      </c>
      <c r="AG1202">
        <v>6151.2723429234411</v>
      </c>
    </row>
    <row r="1203" spans="2:33" hidden="1" x14ac:dyDescent="0.25">
      <c r="B1203">
        <v>21</v>
      </c>
      <c r="C1203" t="s">
        <v>51</v>
      </c>
      <c r="D1203" t="s">
        <v>30</v>
      </c>
      <c r="E1203" t="s">
        <v>68</v>
      </c>
      <c r="F1203">
        <v>77278</v>
      </c>
      <c r="G1203">
        <v>130205</v>
      </c>
      <c r="H1203">
        <v>27</v>
      </c>
      <c r="I1203">
        <v>-966</v>
      </c>
      <c r="J1203">
        <v>0</v>
      </c>
      <c r="K1203">
        <v>374412</v>
      </c>
      <c r="L1203">
        <v>74724</v>
      </c>
      <c r="M1203">
        <v>1717</v>
      </c>
      <c r="N1203">
        <v>128800</v>
      </c>
      <c r="O1203" s="43">
        <v>39300000</v>
      </c>
      <c r="P1203" s="14">
        <f t="shared" si="56"/>
        <v>900000</v>
      </c>
      <c r="Q1203" s="14" t="str">
        <f t="shared" si="54"/>
        <v/>
      </c>
      <c r="R1203" s="14" t="str">
        <f t="shared" si="54"/>
        <v/>
      </c>
      <c r="S1203" s="14" t="str">
        <f t="shared" si="55"/>
        <v/>
      </c>
      <c r="T1203" s="14" t="s">
        <v>72</v>
      </c>
      <c r="U1203" s="14">
        <v>-931.67701863354034</v>
      </c>
      <c r="V1203">
        <v>7674</v>
      </c>
      <c r="W1203">
        <v>26.597314453125001</v>
      </c>
      <c r="X1203">
        <v>32.529760449176798</v>
      </c>
      <c r="Y1203">
        <v>2.34963276919181</v>
      </c>
      <c r="Z1203" s="31">
        <v>1.9268422067201401</v>
      </c>
      <c r="AA1203">
        <v>2.81770299434229</v>
      </c>
      <c r="AB1203">
        <v>0.06</v>
      </c>
      <c r="AC1203">
        <v>362659.31849936</v>
      </c>
      <c r="AD1203">
        <v>410095.15735907631</v>
      </c>
      <c r="AE1203">
        <v>1</v>
      </c>
      <c r="AF1203">
        <v>4334.2023541625531</v>
      </c>
      <c r="AG1203">
        <v>6151.2723429234411</v>
      </c>
    </row>
    <row r="1204" spans="2:33" hidden="1" x14ac:dyDescent="0.25">
      <c r="B1204">
        <v>21</v>
      </c>
      <c r="C1204" t="s">
        <v>51</v>
      </c>
      <c r="D1204" t="s">
        <v>30</v>
      </c>
      <c r="E1204" t="s">
        <v>68</v>
      </c>
      <c r="F1204">
        <v>78061</v>
      </c>
      <c r="G1204">
        <v>130205</v>
      </c>
      <c r="H1204">
        <v>28</v>
      </c>
      <c r="I1204">
        <v>0</v>
      </c>
      <c r="J1204">
        <v>0</v>
      </c>
      <c r="K1204">
        <v>374412</v>
      </c>
      <c r="L1204">
        <v>74724</v>
      </c>
      <c r="M1204">
        <v>1717</v>
      </c>
      <c r="N1204">
        <v>128800</v>
      </c>
      <c r="O1204" s="43">
        <v>41100000</v>
      </c>
      <c r="P1204" s="14">
        <f t="shared" si="56"/>
        <v>1800000</v>
      </c>
      <c r="Q1204" s="14" t="str">
        <f t="shared" si="54"/>
        <v/>
      </c>
      <c r="R1204" s="14" t="str">
        <f t="shared" si="54"/>
        <v/>
      </c>
      <c r="S1204" s="14" t="str">
        <f t="shared" si="55"/>
        <v/>
      </c>
      <c r="T1204" s="14" t="s">
        <v>72</v>
      </c>
      <c r="U1204" s="14">
        <v>0</v>
      </c>
      <c r="V1204">
        <v>7674</v>
      </c>
      <c r="W1204">
        <v>20.473779296875001</v>
      </c>
      <c r="X1204">
        <v>69.632321726622806</v>
      </c>
      <c r="Y1204">
        <v>0.73133076111044104</v>
      </c>
      <c r="Z1204" s="31">
        <v>1.80430982841711</v>
      </c>
      <c r="AA1204">
        <v>2.53894249196897</v>
      </c>
      <c r="AB1204">
        <v>0.06</v>
      </c>
      <c r="AC1204">
        <v>362659.31849936</v>
      </c>
      <c r="AD1204">
        <v>410095.15735907631</v>
      </c>
      <c r="AE1204">
        <v>1</v>
      </c>
      <c r="AF1204">
        <v>4334.2023541625531</v>
      </c>
      <c r="AG1204">
        <v>6151.2723429234411</v>
      </c>
    </row>
    <row r="1205" spans="2:33" hidden="1" x14ac:dyDescent="0.25">
      <c r="B1205">
        <v>21</v>
      </c>
      <c r="C1205" t="s">
        <v>51</v>
      </c>
      <c r="D1205" t="s">
        <v>30</v>
      </c>
      <c r="E1205" t="s">
        <v>68</v>
      </c>
      <c r="F1205">
        <v>78706</v>
      </c>
      <c r="G1205">
        <v>130205</v>
      </c>
      <c r="H1205">
        <v>29</v>
      </c>
      <c r="I1205">
        <v>-136</v>
      </c>
      <c r="J1205">
        <v>0</v>
      </c>
      <c r="K1205">
        <v>374412</v>
      </c>
      <c r="L1205">
        <v>74724</v>
      </c>
      <c r="M1205">
        <v>1717</v>
      </c>
      <c r="N1205">
        <v>128800</v>
      </c>
      <c r="O1205" s="43">
        <v>42900000</v>
      </c>
      <c r="P1205" s="14">
        <f t="shared" si="56"/>
        <v>1800000</v>
      </c>
      <c r="Q1205" s="14" t="str">
        <f t="shared" si="54"/>
        <v/>
      </c>
      <c r="R1205" s="14" t="str">
        <f t="shared" si="54"/>
        <v/>
      </c>
      <c r="S1205" s="14" t="str">
        <f t="shared" si="55"/>
        <v/>
      </c>
      <c r="T1205" s="14" t="s">
        <v>72</v>
      </c>
      <c r="U1205" s="14">
        <v>-13235.294117647059</v>
      </c>
      <c r="V1205">
        <v>7674</v>
      </c>
      <c r="W1205">
        <v>28.340234375000001</v>
      </c>
      <c r="X1205">
        <v>20.330317064918599</v>
      </c>
      <c r="Y1205">
        <v>3.0723956790666298</v>
      </c>
      <c r="Z1205" s="31">
        <v>2.9134560409700798</v>
      </c>
      <c r="AA1205">
        <v>6.2883562439472902</v>
      </c>
      <c r="AB1205">
        <v>0.06</v>
      </c>
      <c r="AC1205">
        <v>362659.31849936</v>
      </c>
      <c r="AD1205">
        <v>410095.15735907631</v>
      </c>
      <c r="AE1205">
        <v>1</v>
      </c>
      <c r="AF1205">
        <v>4334.2023541625531</v>
      </c>
      <c r="AG1205">
        <v>6151.2723429234411</v>
      </c>
    </row>
    <row r="1206" spans="2:33" hidden="1" x14ac:dyDescent="0.25">
      <c r="B1206">
        <v>21</v>
      </c>
      <c r="C1206" t="s">
        <v>51</v>
      </c>
      <c r="D1206" t="s">
        <v>30</v>
      </c>
      <c r="E1206" t="s">
        <v>68</v>
      </c>
      <c r="F1206">
        <v>80073</v>
      </c>
      <c r="G1206">
        <v>130205</v>
      </c>
      <c r="H1206">
        <v>30</v>
      </c>
      <c r="I1206">
        <v>0</v>
      </c>
      <c r="J1206">
        <v>0</v>
      </c>
      <c r="K1206">
        <v>374412</v>
      </c>
      <c r="L1206">
        <v>74724</v>
      </c>
      <c r="M1206">
        <v>1717</v>
      </c>
      <c r="N1206">
        <v>128800</v>
      </c>
      <c r="O1206" s="43">
        <v>44500000</v>
      </c>
      <c r="P1206" s="14">
        <f t="shared" si="56"/>
        <v>1600000</v>
      </c>
      <c r="Q1206" s="14" t="str">
        <f t="shared" si="54"/>
        <v/>
      </c>
      <c r="R1206" s="14" t="str">
        <f t="shared" si="54"/>
        <v/>
      </c>
      <c r="S1206" s="14" t="str">
        <f t="shared" si="55"/>
        <v/>
      </c>
      <c r="T1206" s="14" t="s">
        <v>72</v>
      </c>
      <c r="U1206" s="14">
        <v>0</v>
      </c>
      <c r="V1206">
        <v>7674</v>
      </c>
      <c r="W1206">
        <v>27.635400390625001</v>
      </c>
      <c r="X1206">
        <v>16.472958585615899</v>
      </c>
      <c r="Y1206">
        <v>3.0919532519207098</v>
      </c>
      <c r="Z1206" s="31">
        <v>2.4962959719265201</v>
      </c>
      <c r="AA1206">
        <v>4.6615577011227298</v>
      </c>
      <c r="AB1206">
        <v>0.06</v>
      </c>
      <c r="AC1206">
        <v>362659.31849936</v>
      </c>
      <c r="AD1206">
        <v>410095.15735907631</v>
      </c>
      <c r="AE1206">
        <v>1</v>
      </c>
      <c r="AF1206">
        <v>4334.2023541625531</v>
      </c>
      <c r="AG1206">
        <v>6151.2723429234411</v>
      </c>
    </row>
    <row r="1207" spans="2:33" hidden="1" x14ac:dyDescent="0.25">
      <c r="B1207">
        <v>21</v>
      </c>
      <c r="C1207" t="s">
        <v>51</v>
      </c>
      <c r="D1207" t="s">
        <v>30</v>
      </c>
      <c r="E1207" t="s">
        <v>68</v>
      </c>
      <c r="F1207">
        <v>82951</v>
      </c>
      <c r="G1207">
        <v>130205</v>
      </c>
      <c r="H1207">
        <v>31</v>
      </c>
      <c r="I1207">
        <v>0</v>
      </c>
      <c r="J1207">
        <v>0</v>
      </c>
      <c r="K1207">
        <v>374412</v>
      </c>
      <c r="L1207">
        <v>74724</v>
      </c>
      <c r="M1207">
        <v>1717</v>
      </c>
      <c r="N1207">
        <v>128800</v>
      </c>
      <c r="O1207" s="43">
        <v>46100000</v>
      </c>
      <c r="P1207" s="14">
        <f t="shared" si="56"/>
        <v>1600000</v>
      </c>
      <c r="Q1207" s="14" t="str">
        <f t="shared" si="54"/>
        <v/>
      </c>
      <c r="R1207" s="14" t="str">
        <f t="shared" si="54"/>
        <v/>
      </c>
      <c r="S1207" s="14" t="str">
        <f t="shared" si="55"/>
        <v/>
      </c>
      <c r="T1207" s="14" t="s">
        <v>72</v>
      </c>
      <c r="U1207" s="14">
        <v>0</v>
      </c>
      <c r="V1207">
        <v>7674</v>
      </c>
      <c r="W1207">
        <v>29.229882812500001</v>
      </c>
      <c r="X1207">
        <v>16.0932015010243</v>
      </c>
      <c r="Y1207">
        <v>3.40687188842438</v>
      </c>
      <c r="Z1207" s="31">
        <v>1.5301666310739299</v>
      </c>
      <c r="AA1207">
        <v>2.7539897156978799</v>
      </c>
      <c r="AB1207">
        <v>0.06</v>
      </c>
      <c r="AC1207">
        <v>362659.31849936</v>
      </c>
      <c r="AD1207">
        <v>410095.15735907631</v>
      </c>
      <c r="AE1207">
        <v>1</v>
      </c>
      <c r="AF1207">
        <v>4334.2023541625531</v>
      </c>
      <c r="AG1207">
        <v>6151.2723429234411</v>
      </c>
    </row>
    <row r="1208" spans="2:33" hidden="1" x14ac:dyDescent="0.25">
      <c r="B1208">
        <v>21</v>
      </c>
      <c r="C1208" t="s">
        <v>51</v>
      </c>
      <c r="D1208" t="s">
        <v>30</v>
      </c>
      <c r="E1208" t="s">
        <v>68</v>
      </c>
      <c r="F1208">
        <v>86079</v>
      </c>
      <c r="G1208">
        <v>130205</v>
      </c>
      <c r="H1208">
        <v>32</v>
      </c>
      <c r="I1208">
        <v>0</v>
      </c>
      <c r="J1208">
        <v>6.5864720962334852E-2</v>
      </c>
      <c r="K1208">
        <v>374412</v>
      </c>
      <c r="L1208">
        <v>74724</v>
      </c>
      <c r="M1208">
        <v>1717</v>
      </c>
      <c r="N1208">
        <v>128800</v>
      </c>
      <c r="O1208" s="43">
        <v>47500000</v>
      </c>
      <c r="P1208" s="14">
        <f t="shared" si="56"/>
        <v>1400000</v>
      </c>
      <c r="Q1208" s="14" t="str">
        <f t="shared" si="54"/>
        <v/>
      </c>
      <c r="R1208" s="14" t="str">
        <f t="shared" si="54"/>
        <v/>
      </c>
      <c r="S1208" s="14" t="str">
        <f t="shared" si="55"/>
        <v/>
      </c>
      <c r="T1208" s="14" t="s">
        <v>72</v>
      </c>
      <c r="U1208" s="14">
        <v>0</v>
      </c>
      <c r="V1208">
        <v>7674</v>
      </c>
      <c r="W1208">
        <v>30.284570312500001</v>
      </c>
      <c r="X1208">
        <v>15.470097130707201</v>
      </c>
      <c r="Y1208">
        <v>3.6464425956454001</v>
      </c>
      <c r="Z1208" s="31">
        <v>1.75191360939928</v>
      </c>
      <c r="AA1208">
        <v>3.1216209074824999</v>
      </c>
      <c r="AB1208">
        <v>0.06</v>
      </c>
      <c r="AC1208">
        <v>362659.31849936</v>
      </c>
      <c r="AD1208">
        <v>410095.15735907631</v>
      </c>
      <c r="AE1208">
        <v>1</v>
      </c>
      <c r="AF1208">
        <v>4334.2023541625531</v>
      </c>
      <c r="AG1208">
        <v>6151.2723429234411</v>
      </c>
    </row>
    <row r="1209" spans="2:33" hidden="1" x14ac:dyDescent="0.25">
      <c r="B1209">
        <v>21</v>
      </c>
      <c r="C1209" t="s">
        <v>51</v>
      </c>
      <c r="D1209" t="s">
        <v>30</v>
      </c>
      <c r="E1209" t="s">
        <v>68</v>
      </c>
      <c r="F1209">
        <v>89321</v>
      </c>
      <c r="G1209">
        <v>130205</v>
      </c>
      <c r="H1209">
        <v>33</v>
      </c>
      <c r="I1209">
        <v>0</v>
      </c>
      <c r="J1209">
        <v>0</v>
      </c>
      <c r="K1209">
        <v>374412</v>
      </c>
      <c r="L1209">
        <v>74724</v>
      </c>
      <c r="M1209">
        <v>1717</v>
      </c>
      <c r="N1209">
        <v>128800</v>
      </c>
      <c r="O1209" s="43">
        <v>46800000</v>
      </c>
      <c r="P1209" s="14">
        <f t="shared" si="56"/>
        <v>-700000</v>
      </c>
      <c r="Q1209" s="14">
        <f t="shared" si="54"/>
        <v>-700000</v>
      </c>
      <c r="R1209" s="14">
        <f t="shared" si="54"/>
        <v>-700000</v>
      </c>
      <c r="S1209" s="14">
        <f t="shared" si="55"/>
        <v>490000000000</v>
      </c>
      <c r="T1209" s="14">
        <v>490000000000</v>
      </c>
      <c r="U1209" s="14">
        <v>0</v>
      </c>
      <c r="V1209">
        <v>7674</v>
      </c>
      <c r="W1209">
        <v>31.584619140625001</v>
      </c>
      <c r="X1209">
        <v>14.3986925091454</v>
      </c>
      <c r="Y1209">
        <v>3.9762967324362899</v>
      </c>
      <c r="Z1209" s="31">
        <v>1.62481287892727</v>
      </c>
      <c r="AA1209">
        <v>2.7806040749999998</v>
      </c>
      <c r="AB1209">
        <v>0.06</v>
      </c>
      <c r="AC1209">
        <v>362659.31849936</v>
      </c>
      <c r="AD1209">
        <v>410095.15735907631</v>
      </c>
      <c r="AE1209">
        <v>1</v>
      </c>
      <c r="AF1209">
        <v>4334.2023541625531</v>
      </c>
      <c r="AG1209">
        <v>6151.2723429234411</v>
      </c>
    </row>
    <row r="1210" spans="2:33" hidden="1" x14ac:dyDescent="0.25">
      <c r="B1210">
        <v>21</v>
      </c>
      <c r="C1210" t="s">
        <v>51</v>
      </c>
      <c r="D1210" t="s">
        <v>30</v>
      </c>
      <c r="E1210" t="s">
        <v>68</v>
      </c>
      <c r="F1210">
        <v>92215</v>
      </c>
      <c r="G1210">
        <v>130205</v>
      </c>
      <c r="H1210">
        <v>34</v>
      </c>
      <c r="I1210">
        <v>0</v>
      </c>
      <c r="J1210">
        <v>0</v>
      </c>
      <c r="K1210">
        <v>374412</v>
      </c>
      <c r="L1210">
        <v>74724</v>
      </c>
      <c r="M1210">
        <v>1717</v>
      </c>
      <c r="N1210">
        <v>128800</v>
      </c>
      <c r="O1210" s="43">
        <v>47900000</v>
      </c>
      <c r="P1210" s="14">
        <f t="shared" si="56"/>
        <v>1100000</v>
      </c>
      <c r="Q1210" s="14" t="str">
        <f t="shared" si="54"/>
        <v/>
      </c>
      <c r="R1210" s="14" t="str">
        <f t="shared" si="54"/>
        <v/>
      </c>
      <c r="S1210" s="14" t="str">
        <f t="shared" si="55"/>
        <v/>
      </c>
      <c r="T1210" s="14" t="s">
        <v>72</v>
      </c>
      <c r="U1210" s="14">
        <v>0</v>
      </c>
      <c r="V1210">
        <v>7674</v>
      </c>
      <c r="W1210">
        <v>30.154687500000001</v>
      </c>
      <c r="X1210">
        <v>18.631531603991899</v>
      </c>
      <c r="Y1210">
        <v>3.4838551625125498</v>
      </c>
      <c r="Z1210" s="31">
        <v>0.77235074830748096</v>
      </c>
      <c r="AA1210">
        <v>0.88873282055893299</v>
      </c>
      <c r="AB1210">
        <v>0.06</v>
      </c>
      <c r="AC1210">
        <v>362659.31849936</v>
      </c>
      <c r="AD1210">
        <v>410095.15735907631</v>
      </c>
      <c r="AE1210">
        <v>1</v>
      </c>
      <c r="AF1210">
        <v>4334.2023541625531</v>
      </c>
      <c r="AG1210">
        <v>6151.2723429234411</v>
      </c>
    </row>
    <row r="1211" spans="2:33" hidden="1" x14ac:dyDescent="0.25">
      <c r="B1211">
        <v>21</v>
      </c>
      <c r="C1211" t="s">
        <v>51</v>
      </c>
      <c r="D1211" t="s">
        <v>30</v>
      </c>
      <c r="E1211" t="s">
        <v>68</v>
      </c>
      <c r="F1211">
        <v>92855</v>
      </c>
      <c r="G1211">
        <v>130205</v>
      </c>
      <c r="H1211">
        <v>35</v>
      </c>
      <c r="I1211">
        <v>167</v>
      </c>
      <c r="J1211">
        <v>0</v>
      </c>
      <c r="K1211">
        <v>374412</v>
      </c>
      <c r="L1211">
        <v>74724</v>
      </c>
      <c r="M1211">
        <v>1717</v>
      </c>
      <c r="N1211">
        <v>128800</v>
      </c>
      <c r="O1211" s="43">
        <v>49200000</v>
      </c>
      <c r="P1211" s="14">
        <f t="shared" si="56"/>
        <v>1300000</v>
      </c>
      <c r="Q1211" s="14" t="str">
        <f t="shared" si="54"/>
        <v/>
      </c>
      <c r="R1211" s="14" t="str">
        <f t="shared" si="54"/>
        <v/>
      </c>
      <c r="S1211" s="14" t="str">
        <f t="shared" si="55"/>
        <v/>
      </c>
      <c r="T1211" s="14" t="s">
        <v>72</v>
      </c>
      <c r="U1211" s="14">
        <v>7784.4311377245513</v>
      </c>
      <c r="V1211">
        <v>7674</v>
      </c>
      <c r="W1211">
        <v>30.143701171875001</v>
      </c>
      <c r="X1211">
        <v>19.403324881482401</v>
      </c>
      <c r="Y1211">
        <v>3.44858344041269</v>
      </c>
      <c r="Z1211" s="31">
        <v>1.54361195452004</v>
      </c>
      <c r="AA1211">
        <v>1.30190746709159</v>
      </c>
      <c r="AB1211">
        <v>0.06</v>
      </c>
      <c r="AC1211">
        <v>362659.31849936</v>
      </c>
      <c r="AD1211">
        <v>410095.15735907631</v>
      </c>
      <c r="AE1211">
        <v>1</v>
      </c>
      <c r="AF1211">
        <v>4334.2023541625531</v>
      </c>
      <c r="AG1211">
        <v>6151.2723429234411</v>
      </c>
    </row>
    <row r="1212" spans="2:33" hidden="1" x14ac:dyDescent="0.25">
      <c r="B1212">
        <v>21</v>
      </c>
      <c r="C1212" t="s">
        <v>51</v>
      </c>
      <c r="D1212" t="s">
        <v>30</v>
      </c>
      <c r="E1212" t="s">
        <v>68</v>
      </c>
      <c r="F1212">
        <v>94740</v>
      </c>
      <c r="G1212">
        <v>130205</v>
      </c>
      <c r="H1212">
        <v>36</v>
      </c>
      <c r="I1212">
        <v>-44</v>
      </c>
      <c r="J1212">
        <v>0</v>
      </c>
      <c r="K1212">
        <v>374412</v>
      </c>
      <c r="L1212">
        <v>74724</v>
      </c>
      <c r="M1212">
        <v>1717</v>
      </c>
      <c r="N1212">
        <v>128800</v>
      </c>
      <c r="O1212" s="43">
        <v>50400000</v>
      </c>
      <c r="P1212" s="14">
        <f t="shared" si="56"/>
        <v>1200000</v>
      </c>
      <c r="Q1212" s="14" t="str">
        <f t="shared" si="54"/>
        <v/>
      </c>
      <c r="R1212" s="14" t="str">
        <f t="shared" si="54"/>
        <v/>
      </c>
      <c r="S1212" s="14" t="str">
        <f t="shared" si="55"/>
        <v/>
      </c>
      <c r="T1212" s="14" t="s">
        <v>72</v>
      </c>
      <c r="U1212" s="14">
        <v>-27272.727272727272</v>
      </c>
      <c r="V1212">
        <v>7674</v>
      </c>
      <c r="W1212">
        <v>23.003076171875001</v>
      </c>
      <c r="X1212">
        <v>51.166525411812003</v>
      </c>
      <c r="Y1212">
        <v>1.3724386629727401</v>
      </c>
      <c r="Z1212" s="31">
        <v>0.19008483105246901</v>
      </c>
      <c r="AA1212">
        <v>0.28922424792976698</v>
      </c>
      <c r="AB1212">
        <v>0.06</v>
      </c>
      <c r="AC1212">
        <v>362659.31849936</v>
      </c>
      <c r="AD1212">
        <v>410095.15735907631</v>
      </c>
      <c r="AE1212">
        <v>1</v>
      </c>
      <c r="AF1212">
        <v>4334.2023541625531</v>
      </c>
      <c r="AG1212">
        <v>6151.2723429234411</v>
      </c>
    </row>
    <row r="1213" spans="2:33" hidden="1" x14ac:dyDescent="0.25">
      <c r="B1213">
        <v>21</v>
      </c>
      <c r="C1213" t="s">
        <v>51</v>
      </c>
      <c r="D1213" t="s">
        <v>30</v>
      </c>
      <c r="E1213" t="s">
        <v>68</v>
      </c>
      <c r="F1213">
        <v>95520</v>
      </c>
      <c r="G1213">
        <v>130205</v>
      </c>
      <c r="H1213">
        <v>37</v>
      </c>
      <c r="I1213">
        <v>0</v>
      </c>
      <c r="J1213">
        <v>0</v>
      </c>
      <c r="K1213">
        <v>374412</v>
      </c>
      <c r="L1213">
        <v>74724</v>
      </c>
      <c r="M1213">
        <v>1717</v>
      </c>
      <c r="N1213">
        <v>128800</v>
      </c>
      <c r="O1213" s="43">
        <v>51800000</v>
      </c>
      <c r="P1213" s="14">
        <f t="shared" si="56"/>
        <v>1400000</v>
      </c>
      <c r="Q1213" s="14" t="str">
        <f t="shared" si="54"/>
        <v/>
      </c>
      <c r="R1213" s="14" t="str">
        <f t="shared" si="54"/>
        <v/>
      </c>
      <c r="S1213" s="14" t="str">
        <f t="shared" si="55"/>
        <v/>
      </c>
      <c r="T1213" s="14" t="s">
        <v>72</v>
      </c>
      <c r="U1213" s="14">
        <v>0</v>
      </c>
      <c r="V1213">
        <v>7674</v>
      </c>
      <c r="W1213">
        <v>27.341455078125001</v>
      </c>
      <c r="X1213">
        <v>32.248892499617902</v>
      </c>
      <c r="Y1213">
        <v>2.4645792640000002</v>
      </c>
      <c r="Z1213" s="31">
        <v>1.72995134718618</v>
      </c>
      <c r="AA1213">
        <v>3.48444525703052</v>
      </c>
      <c r="AB1213">
        <v>0.06</v>
      </c>
      <c r="AC1213">
        <v>362659.31849936</v>
      </c>
      <c r="AD1213">
        <v>410095.15735907631</v>
      </c>
      <c r="AE1213">
        <v>1</v>
      </c>
      <c r="AF1213">
        <v>4334.2023541625531</v>
      </c>
      <c r="AG1213">
        <v>6151.2723429234411</v>
      </c>
    </row>
    <row r="1214" spans="2:33" hidden="1" x14ac:dyDescent="0.25">
      <c r="B1214">
        <v>21</v>
      </c>
      <c r="C1214" t="s">
        <v>51</v>
      </c>
      <c r="D1214" t="s">
        <v>30</v>
      </c>
      <c r="E1214" t="s">
        <v>68</v>
      </c>
      <c r="F1214">
        <v>95520</v>
      </c>
      <c r="G1214">
        <v>130205</v>
      </c>
      <c r="H1214">
        <v>38</v>
      </c>
      <c r="I1214">
        <v>0</v>
      </c>
      <c r="J1214">
        <v>0</v>
      </c>
      <c r="K1214">
        <v>374412</v>
      </c>
      <c r="L1214">
        <v>74724</v>
      </c>
      <c r="M1214">
        <v>1717</v>
      </c>
      <c r="N1214">
        <v>128800</v>
      </c>
      <c r="O1214" s="43">
        <v>52900000</v>
      </c>
      <c r="P1214" s="14">
        <f t="shared" si="56"/>
        <v>1100000</v>
      </c>
      <c r="Q1214" s="14" t="str">
        <f t="shared" si="54"/>
        <v/>
      </c>
      <c r="R1214" s="14" t="str">
        <f t="shared" si="54"/>
        <v/>
      </c>
      <c r="S1214" s="14" t="str">
        <f t="shared" si="55"/>
        <v/>
      </c>
      <c r="T1214" s="14" t="s">
        <v>72</v>
      </c>
      <c r="U1214" s="14">
        <v>0</v>
      </c>
      <c r="V1214">
        <v>7674</v>
      </c>
      <c r="W1214">
        <v>23.170556640625001</v>
      </c>
      <c r="X1214">
        <v>42.789734697777298</v>
      </c>
      <c r="Y1214">
        <v>1.6244153401094401</v>
      </c>
      <c r="Z1214" s="31">
        <v>1.576458175</v>
      </c>
      <c r="AA1214">
        <v>0.57796934990988402</v>
      </c>
      <c r="AB1214">
        <v>0.06</v>
      </c>
      <c r="AC1214">
        <v>362659.31849936</v>
      </c>
      <c r="AD1214">
        <v>410095.15735907631</v>
      </c>
      <c r="AE1214">
        <v>1</v>
      </c>
      <c r="AF1214">
        <v>4334.2023541625531</v>
      </c>
      <c r="AG1214">
        <v>6151.2723429234411</v>
      </c>
    </row>
    <row r="1215" spans="2:33" hidden="1" x14ac:dyDescent="0.25">
      <c r="B1215">
        <v>21</v>
      </c>
      <c r="C1215" t="s">
        <v>51</v>
      </c>
      <c r="D1215" t="s">
        <v>30</v>
      </c>
      <c r="E1215" t="s">
        <v>68</v>
      </c>
      <c r="F1215">
        <v>96445</v>
      </c>
      <c r="G1215">
        <v>130205</v>
      </c>
      <c r="H1215">
        <v>39</v>
      </c>
      <c r="I1215">
        <v>0</v>
      </c>
      <c r="J1215">
        <v>0</v>
      </c>
      <c r="K1215">
        <v>374412</v>
      </c>
      <c r="L1215">
        <v>74724</v>
      </c>
      <c r="M1215">
        <v>1717</v>
      </c>
      <c r="N1215">
        <v>128800</v>
      </c>
      <c r="O1215" s="43">
        <v>54200000</v>
      </c>
      <c r="P1215" s="14">
        <f t="shared" si="56"/>
        <v>1300000</v>
      </c>
      <c r="Q1215" s="14" t="str">
        <f t="shared" si="54"/>
        <v/>
      </c>
      <c r="R1215" s="14" t="str">
        <f t="shared" si="54"/>
        <v/>
      </c>
      <c r="S1215" s="14" t="str">
        <f t="shared" si="55"/>
        <v/>
      </c>
      <c r="T1215" s="14" t="s">
        <v>72</v>
      </c>
      <c r="U1215" s="14">
        <v>0</v>
      </c>
      <c r="V1215">
        <v>7674</v>
      </c>
      <c r="W1215">
        <v>27.032373046875001</v>
      </c>
      <c r="X1215">
        <v>28.118690866795799</v>
      </c>
      <c r="Y1215">
        <v>2.5681810109478702</v>
      </c>
      <c r="Z1215" s="31">
        <v>1.30837277932711</v>
      </c>
      <c r="AA1215">
        <v>2.48123102649661</v>
      </c>
      <c r="AB1215">
        <v>0.06</v>
      </c>
      <c r="AC1215">
        <v>362659.31849936</v>
      </c>
      <c r="AD1215">
        <v>410095.15735907631</v>
      </c>
      <c r="AE1215">
        <v>1</v>
      </c>
      <c r="AF1215">
        <v>4334.2023541625531</v>
      </c>
      <c r="AG1215">
        <v>6151.2723429234411</v>
      </c>
    </row>
    <row r="1216" spans="2:33" hidden="1" x14ac:dyDescent="0.25">
      <c r="B1216">
        <v>21</v>
      </c>
      <c r="C1216" t="s">
        <v>51</v>
      </c>
      <c r="D1216" t="s">
        <v>30</v>
      </c>
      <c r="E1216" t="s">
        <v>68</v>
      </c>
      <c r="F1216">
        <v>96576</v>
      </c>
      <c r="G1216">
        <v>130205</v>
      </c>
      <c r="H1216">
        <v>40</v>
      </c>
      <c r="I1216">
        <v>0</v>
      </c>
      <c r="J1216">
        <v>0</v>
      </c>
      <c r="K1216">
        <v>374412</v>
      </c>
      <c r="L1216">
        <v>74724</v>
      </c>
      <c r="M1216">
        <v>1717</v>
      </c>
      <c r="N1216">
        <v>128800</v>
      </c>
      <c r="O1216" s="43">
        <v>54100000</v>
      </c>
      <c r="P1216" s="14">
        <f t="shared" si="56"/>
        <v>-100000</v>
      </c>
      <c r="Q1216" s="14">
        <f t="shared" si="54"/>
        <v>-100000</v>
      </c>
      <c r="R1216" s="14">
        <f t="shared" si="54"/>
        <v>-100000</v>
      </c>
      <c r="S1216" s="14">
        <f t="shared" si="55"/>
        <v>10000000000</v>
      </c>
      <c r="T1216" s="14">
        <v>10000000000</v>
      </c>
      <c r="U1216" s="14">
        <v>0</v>
      </c>
      <c r="V1216">
        <v>7674</v>
      </c>
      <c r="W1216">
        <v>19.586572265625001</v>
      </c>
      <c r="X1216">
        <v>64.652040723736704</v>
      </c>
      <c r="Y1216">
        <v>0.80594174417447695</v>
      </c>
      <c r="Z1216" s="31">
        <v>1.58150074976942</v>
      </c>
      <c r="AA1216">
        <v>6.5399528563847102</v>
      </c>
      <c r="AB1216">
        <v>0.06</v>
      </c>
      <c r="AC1216">
        <v>362659.31849936</v>
      </c>
      <c r="AD1216">
        <v>410095.15735907631</v>
      </c>
      <c r="AE1216">
        <v>1</v>
      </c>
      <c r="AF1216">
        <v>4334.2023541625531</v>
      </c>
      <c r="AG1216">
        <v>6151.2723429234411</v>
      </c>
    </row>
    <row r="1217" spans="2:33" hidden="1" x14ac:dyDescent="0.25">
      <c r="B1217">
        <v>21</v>
      </c>
      <c r="C1217" t="s">
        <v>51</v>
      </c>
      <c r="D1217" t="s">
        <v>30</v>
      </c>
      <c r="E1217" t="s">
        <v>68</v>
      </c>
      <c r="F1217">
        <v>96681</v>
      </c>
      <c r="G1217">
        <v>130205</v>
      </c>
      <c r="H1217">
        <v>41</v>
      </c>
      <c r="I1217">
        <v>0</v>
      </c>
      <c r="J1217">
        <v>0</v>
      </c>
      <c r="K1217">
        <v>374412</v>
      </c>
      <c r="L1217">
        <v>74724</v>
      </c>
      <c r="M1217">
        <v>1717</v>
      </c>
      <c r="N1217">
        <v>128800</v>
      </c>
      <c r="O1217" s="43">
        <v>54100000</v>
      </c>
      <c r="P1217" s="14">
        <f t="shared" si="56"/>
        <v>0</v>
      </c>
      <c r="Q1217" s="14" t="str">
        <f t="shared" si="54"/>
        <v/>
      </c>
      <c r="R1217" s="14" t="str">
        <f t="shared" si="54"/>
        <v/>
      </c>
      <c r="S1217" s="14" t="str">
        <f t="shared" si="55"/>
        <v/>
      </c>
      <c r="T1217" s="14" t="s">
        <v>72</v>
      </c>
      <c r="U1217" s="14">
        <v>0</v>
      </c>
      <c r="V1217">
        <v>7674</v>
      </c>
      <c r="W1217">
        <v>19.042871093750001</v>
      </c>
      <c r="X1217">
        <v>70.816460373559806</v>
      </c>
      <c r="Y1217">
        <v>0.64325019275342399</v>
      </c>
      <c r="Z1217" s="31">
        <v>0.20425892483340299</v>
      </c>
      <c r="AA1217">
        <v>8.17838899606509</v>
      </c>
      <c r="AB1217">
        <v>0.06</v>
      </c>
      <c r="AC1217">
        <v>362659.31849936</v>
      </c>
      <c r="AD1217">
        <v>410095.15735907631</v>
      </c>
      <c r="AE1217">
        <v>1</v>
      </c>
      <c r="AF1217">
        <v>4334.2023541625531</v>
      </c>
      <c r="AG1217">
        <v>6151.2723429234411</v>
      </c>
    </row>
    <row r="1218" spans="2:33" hidden="1" x14ac:dyDescent="0.25">
      <c r="B1218">
        <v>21</v>
      </c>
      <c r="C1218" t="s">
        <v>51</v>
      </c>
      <c r="D1218" t="s">
        <v>30</v>
      </c>
      <c r="E1218" t="s">
        <v>68</v>
      </c>
      <c r="F1218">
        <v>96681</v>
      </c>
      <c r="G1218">
        <v>130205</v>
      </c>
      <c r="H1218">
        <v>42</v>
      </c>
      <c r="I1218">
        <v>0</v>
      </c>
      <c r="J1218">
        <v>0</v>
      </c>
      <c r="K1218">
        <v>374412</v>
      </c>
      <c r="L1218">
        <v>74724</v>
      </c>
      <c r="M1218">
        <v>1717</v>
      </c>
      <c r="N1218">
        <v>128800</v>
      </c>
      <c r="O1218" s="43">
        <v>55300000</v>
      </c>
      <c r="P1218" s="14">
        <f t="shared" si="56"/>
        <v>1200000</v>
      </c>
      <c r="Q1218" s="14" t="str">
        <f t="shared" si="54"/>
        <v/>
      </c>
      <c r="R1218" s="14" t="str">
        <f t="shared" si="54"/>
        <v/>
      </c>
      <c r="S1218" s="14" t="str">
        <f t="shared" si="55"/>
        <v/>
      </c>
      <c r="T1218" s="14" t="s">
        <v>72</v>
      </c>
      <c r="U1218" s="14">
        <v>0</v>
      </c>
      <c r="V1218">
        <v>7674</v>
      </c>
      <c r="W1218">
        <v>23.379296875000001</v>
      </c>
      <c r="X1218">
        <v>31.122883103347</v>
      </c>
      <c r="Y1218">
        <v>1.9807876147318799</v>
      </c>
      <c r="Z1218" s="31">
        <v>2.5613767109999999</v>
      </c>
      <c r="AA1218">
        <v>6.8236870964766903</v>
      </c>
      <c r="AB1218">
        <v>0.06</v>
      </c>
      <c r="AC1218">
        <v>362659.31849936</v>
      </c>
      <c r="AD1218">
        <v>410095.15735907631</v>
      </c>
      <c r="AE1218">
        <v>1</v>
      </c>
      <c r="AF1218">
        <v>4334.2023541625531</v>
      </c>
      <c r="AG1218">
        <v>6151.2723429234411</v>
      </c>
    </row>
    <row r="1219" spans="2:33" hidden="1" x14ac:dyDescent="0.25">
      <c r="B1219">
        <v>21</v>
      </c>
      <c r="C1219" t="s">
        <v>51</v>
      </c>
      <c r="D1219" t="s">
        <v>30</v>
      </c>
      <c r="E1219" t="s">
        <v>68</v>
      </c>
      <c r="F1219">
        <v>96821</v>
      </c>
      <c r="G1219">
        <v>130205</v>
      </c>
      <c r="H1219">
        <v>43</v>
      </c>
      <c r="I1219">
        <v>0</v>
      </c>
      <c r="J1219">
        <v>0</v>
      </c>
      <c r="K1219">
        <v>374412</v>
      </c>
      <c r="L1219">
        <v>74724</v>
      </c>
      <c r="M1219">
        <v>1717</v>
      </c>
      <c r="N1219">
        <v>128800</v>
      </c>
      <c r="O1219" s="43">
        <v>58100000</v>
      </c>
      <c r="P1219" s="14">
        <f t="shared" si="56"/>
        <v>2800000</v>
      </c>
      <c r="Q1219" s="14" t="str">
        <f t="shared" ref="Q1219:R1282" si="57">IF(P1219&gt;=0,"",P1219)</f>
        <v/>
      </c>
      <c r="R1219" s="14" t="str">
        <f t="shared" si="57"/>
        <v/>
      </c>
      <c r="S1219" s="14" t="str">
        <f t="shared" ref="S1219:S1282" si="58">IFERROR(IF(ISNA(Q1219),NA(),Q1219^2),"")</f>
        <v/>
      </c>
      <c r="T1219" s="14" t="s">
        <v>72</v>
      </c>
      <c r="U1219" s="14">
        <v>0</v>
      </c>
      <c r="V1219">
        <v>7674</v>
      </c>
      <c r="W1219">
        <v>21.056054687500001</v>
      </c>
      <c r="X1219">
        <v>24.486878009449399</v>
      </c>
      <c r="Y1219">
        <v>1.8858300312465199</v>
      </c>
      <c r="Z1219" s="31">
        <v>3.9768963065745</v>
      </c>
      <c r="AA1219">
        <v>10.0590106460252</v>
      </c>
      <c r="AB1219">
        <v>0.06</v>
      </c>
      <c r="AC1219">
        <v>362659.31849936</v>
      </c>
      <c r="AD1219">
        <v>410095.15735907631</v>
      </c>
      <c r="AE1219">
        <v>1</v>
      </c>
      <c r="AF1219">
        <v>4334.2023541625531</v>
      </c>
      <c r="AG1219">
        <v>6151.2723429234411</v>
      </c>
    </row>
    <row r="1220" spans="2:33" hidden="1" x14ac:dyDescent="0.25">
      <c r="B1220">
        <v>21</v>
      </c>
      <c r="C1220" t="s">
        <v>51</v>
      </c>
      <c r="D1220" t="s">
        <v>30</v>
      </c>
      <c r="E1220" t="s">
        <v>68</v>
      </c>
      <c r="F1220">
        <v>96821</v>
      </c>
      <c r="G1220">
        <v>130205</v>
      </c>
      <c r="H1220">
        <v>44</v>
      </c>
      <c r="I1220">
        <v>0</v>
      </c>
      <c r="J1220">
        <v>0</v>
      </c>
      <c r="K1220">
        <v>374412</v>
      </c>
      <c r="L1220">
        <v>74724</v>
      </c>
      <c r="M1220">
        <v>1717</v>
      </c>
      <c r="N1220">
        <v>128800</v>
      </c>
      <c r="O1220" s="43">
        <v>59280000</v>
      </c>
      <c r="P1220" s="14">
        <f t="shared" ref="P1220:P1283" si="59">O1220-O1219</f>
        <v>1180000</v>
      </c>
      <c r="Q1220" s="14" t="str">
        <f t="shared" si="57"/>
        <v/>
      </c>
      <c r="R1220" s="14" t="str">
        <f t="shared" si="57"/>
        <v/>
      </c>
      <c r="S1220" s="14" t="str">
        <f t="shared" si="58"/>
        <v/>
      </c>
      <c r="T1220" s="14" t="s">
        <v>72</v>
      </c>
      <c r="U1220" s="14">
        <v>0</v>
      </c>
      <c r="V1220">
        <v>7674</v>
      </c>
      <c r="W1220">
        <v>22.382958984375001</v>
      </c>
      <c r="X1220">
        <v>25.937046173722798</v>
      </c>
      <c r="Y1220">
        <v>2.0055416963604098</v>
      </c>
      <c r="Z1220" s="31">
        <v>2.5377365136796599</v>
      </c>
      <c r="AA1220">
        <v>5.1315639120908996</v>
      </c>
      <c r="AB1220">
        <v>0.06</v>
      </c>
      <c r="AC1220">
        <v>362659.31849936</v>
      </c>
      <c r="AD1220">
        <v>410095.15735907631</v>
      </c>
      <c r="AE1220">
        <v>1</v>
      </c>
      <c r="AF1220">
        <v>4334.2023541625531</v>
      </c>
      <c r="AG1220">
        <v>6151.2723429234411</v>
      </c>
    </row>
    <row r="1221" spans="2:33" hidden="1" x14ac:dyDescent="0.25">
      <c r="B1221">
        <v>21</v>
      </c>
      <c r="C1221" t="s">
        <v>51</v>
      </c>
      <c r="D1221" t="s">
        <v>30</v>
      </c>
      <c r="E1221" t="s">
        <v>68</v>
      </c>
      <c r="F1221">
        <v>98677</v>
      </c>
      <c r="G1221">
        <v>130205</v>
      </c>
      <c r="H1221">
        <v>45</v>
      </c>
      <c r="I1221">
        <v>0</v>
      </c>
      <c r="J1221">
        <v>0</v>
      </c>
      <c r="K1221">
        <v>374412</v>
      </c>
      <c r="L1221">
        <v>74724</v>
      </c>
      <c r="M1221">
        <v>1717</v>
      </c>
      <c r="N1221">
        <v>128800</v>
      </c>
      <c r="O1221" s="43">
        <v>60550000</v>
      </c>
      <c r="P1221" s="14">
        <f t="shared" si="59"/>
        <v>1270000</v>
      </c>
      <c r="Q1221" s="14" t="str">
        <f t="shared" si="57"/>
        <v/>
      </c>
      <c r="R1221" s="14" t="str">
        <f t="shared" si="57"/>
        <v/>
      </c>
      <c r="S1221" s="14" t="str">
        <f t="shared" si="58"/>
        <v/>
      </c>
      <c r="T1221" s="14" t="s">
        <v>72</v>
      </c>
      <c r="U1221" s="14">
        <v>0</v>
      </c>
      <c r="V1221">
        <v>7674</v>
      </c>
      <c r="W1221">
        <v>27.200585937500001</v>
      </c>
      <c r="X1221">
        <v>21.8440040339013</v>
      </c>
      <c r="Y1221">
        <v>2.8203233678043</v>
      </c>
      <c r="Z1221" s="31">
        <v>1.56348332011081</v>
      </c>
      <c r="AA1221">
        <v>1.85388637943305</v>
      </c>
      <c r="AB1221">
        <v>0.06</v>
      </c>
      <c r="AC1221">
        <v>362659.31849936</v>
      </c>
      <c r="AD1221">
        <v>410095.15735907631</v>
      </c>
      <c r="AE1221">
        <v>1</v>
      </c>
      <c r="AF1221">
        <v>4334.2023541625531</v>
      </c>
      <c r="AG1221">
        <v>6151.2723429234411</v>
      </c>
    </row>
    <row r="1222" spans="2:33" hidden="1" x14ac:dyDescent="0.25">
      <c r="B1222">
        <v>21</v>
      </c>
      <c r="C1222" t="s">
        <v>51</v>
      </c>
      <c r="D1222" t="s">
        <v>30</v>
      </c>
      <c r="E1222" t="s">
        <v>68</v>
      </c>
      <c r="F1222">
        <v>99232</v>
      </c>
      <c r="G1222">
        <v>130205</v>
      </c>
      <c r="H1222">
        <v>46</v>
      </c>
      <c r="I1222">
        <v>0</v>
      </c>
      <c r="J1222">
        <v>0</v>
      </c>
      <c r="K1222">
        <v>374412</v>
      </c>
      <c r="L1222">
        <v>74724</v>
      </c>
      <c r="M1222">
        <v>1717</v>
      </c>
      <c r="N1222">
        <v>128800</v>
      </c>
      <c r="O1222" s="43">
        <v>61575000</v>
      </c>
      <c r="P1222" s="14">
        <f t="shared" si="59"/>
        <v>1025000</v>
      </c>
      <c r="Q1222" s="14" t="str">
        <f t="shared" si="57"/>
        <v/>
      </c>
      <c r="R1222" s="14" t="str">
        <f t="shared" si="57"/>
        <v/>
      </c>
      <c r="S1222" s="14" t="str">
        <f t="shared" si="58"/>
        <v/>
      </c>
      <c r="T1222" s="14" t="s">
        <v>72</v>
      </c>
      <c r="U1222" s="14">
        <v>0</v>
      </c>
      <c r="V1222">
        <v>7674</v>
      </c>
      <c r="W1222">
        <v>29.204492187500001</v>
      </c>
      <c r="X1222">
        <v>17.014856739999999</v>
      </c>
      <c r="Y1222">
        <v>3.3644665204402</v>
      </c>
      <c r="Z1222" s="31">
        <v>2.19119173970285</v>
      </c>
      <c r="AA1222">
        <v>4.4352835781678799</v>
      </c>
      <c r="AB1222">
        <v>0.06</v>
      </c>
      <c r="AC1222">
        <v>362659.31849936</v>
      </c>
      <c r="AD1222">
        <v>410095.15735907631</v>
      </c>
      <c r="AE1222">
        <v>1</v>
      </c>
      <c r="AF1222">
        <v>4334.2023541625531</v>
      </c>
      <c r="AG1222">
        <v>6151.2723429234411</v>
      </c>
    </row>
    <row r="1223" spans="2:33" hidden="1" x14ac:dyDescent="0.25">
      <c r="B1223">
        <v>21</v>
      </c>
      <c r="C1223" t="s">
        <v>51</v>
      </c>
      <c r="D1223" t="s">
        <v>30</v>
      </c>
      <c r="E1223" t="s">
        <v>68</v>
      </c>
      <c r="F1223">
        <v>100029</v>
      </c>
      <c r="G1223">
        <v>130205</v>
      </c>
      <c r="H1223">
        <v>47</v>
      </c>
      <c r="I1223">
        <v>0</v>
      </c>
      <c r="J1223">
        <v>0</v>
      </c>
      <c r="K1223">
        <v>374412</v>
      </c>
      <c r="L1223">
        <v>74724</v>
      </c>
      <c r="M1223">
        <v>1717</v>
      </c>
      <c r="N1223">
        <v>128800</v>
      </c>
      <c r="O1223" s="43">
        <v>62813000</v>
      </c>
      <c r="P1223" s="14">
        <f t="shared" si="59"/>
        <v>1238000</v>
      </c>
      <c r="Q1223" s="14" t="str">
        <f t="shared" si="57"/>
        <v/>
      </c>
      <c r="R1223" s="14" t="str">
        <f t="shared" si="57"/>
        <v/>
      </c>
      <c r="S1223" s="14" t="str">
        <f t="shared" si="58"/>
        <v/>
      </c>
      <c r="T1223" s="14" t="s">
        <v>72</v>
      </c>
      <c r="U1223" s="14">
        <v>0</v>
      </c>
      <c r="V1223">
        <v>7674</v>
      </c>
      <c r="W1223">
        <v>30.402734375000001</v>
      </c>
      <c r="X1223">
        <v>19.718346152704999</v>
      </c>
      <c r="Y1223">
        <v>3.4863361652462399</v>
      </c>
      <c r="Z1223" s="31">
        <v>0.95547686399999998</v>
      </c>
      <c r="AA1223">
        <v>2.6289923868656402</v>
      </c>
      <c r="AB1223">
        <v>0.06</v>
      </c>
      <c r="AC1223">
        <v>362659.31849936</v>
      </c>
      <c r="AD1223">
        <v>410095.15735907631</v>
      </c>
      <c r="AE1223">
        <v>1</v>
      </c>
      <c r="AF1223">
        <v>4334.2023541625531</v>
      </c>
      <c r="AG1223">
        <v>6151.2723429234411</v>
      </c>
    </row>
    <row r="1224" spans="2:33" hidden="1" x14ac:dyDescent="0.25">
      <c r="B1224">
        <v>21</v>
      </c>
      <c r="C1224" t="s">
        <v>51</v>
      </c>
      <c r="D1224" t="s">
        <v>30</v>
      </c>
      <c r="E1224" t="s">
        <v>68</v>
      </c>
      <c r="F1224">
        <v>101269</v>
      </c>
      <c r="G1224">
        <v>130205</v>
      </c>
      <c r="H1224">
        <v>48</v>
      </c>
      <c r="I1224">
        <v>0</v>
      </c>
      <c r="J1224">
        <v>0</v>
      </c>
      <c r="K1224">
        <v>374412</v>
      </c>
      <c r="L1224">
        <v>74724</v>
      </c>
      <c r="M1224">
        <v>1717</v>
      </c>
      <c r="N1224">
        <v>128800</v>
      </c>
      <c r="O1224" s="43">
        <v>64372000</v>
      </c>
      <c r="P1224" s="14">
        <f t="shared" si="59"/>
        <v>1559000</v>
      </c>
      <c r="Q1224" s="14" t="str">
        <f t="shared" si="57"/>
        <v/>
      </c>
      <c r="R1224" s="14" t="str">
        <f t="shared" si="57"/>
        <v/>
      </c>
      <c r="S1224" s="14" t="str">
        <f t="shared" si="58"/>
        <v/>
      </c>
      <c r="T1224" s="14" t="s">
        <v>72</v>
      </c>
      <c r="U1224" s="14">
        <v>0</v>
      </c>
      <c r="V1224">
        <v>7674</v>
      </c>
      <c r="W1224">
        <v>28.015039062500001</v>
      </c>
      <c r="X1224">
        <v>15.247571984578901</v>
      </c>
      <c r="Y1224">
        <v>3.20751765519447</v>
      </c>
      <c r="Z1224" s="31">
        <v>2.8231199987565501</v>
      </c>
      <c r="AA1224">
        <v>5.9119880340963897</v>
      </c>
      <c r="AB1224">
        <v>0.06</v>
      </c>
      <c r="AC1224">
        <v>362659.31849936</v>
      </c>
      <c r="AD1224">
        <v>410095.15735907631</v>
      </c>
      <c r="AE1224">
        <v>1</v>
      </c>
      <c r="AF1224">
        <v>4334.2023541625531</v>
      </c>
      <c r="AG1224">
        <v>6151.2723429234411</v>
      </c>
    </row>
    <row r="1225" spans="2:33" hidden="1" x14ac:dyDescent="0.25">
      <c r="B1225">
        <v>21</v>
      </c>
      <c r="C1225" t="s">
        <v>51</v>
      </c>
      <c r="D1225" t="s">
        <v>30</v>
      </c>
      <c r="E1225" t="s">
        <v>68</v>
      </c>
      <c r="F1225">
        <v>102103</v>
      </c>
      <c r="G1225">
        <v>130205</v>
      </c>
      <c r="H1225">
        <v>49</v>
      </c>
      <c r="I1225">
        <v>0</v>
      </c>
      <c r="J1225">
        <v>0</v>
      </c>
      <c r="K1225">
        <v>374412</v>
      </c>
      <c r="L1225">
        <v>74724</v>
      </c>
      <c r="M1225">
        <v>1717</v>
      </c>
      <c r="N1225">
        <v>128800</v>
      </c>
      <c r="O1225" s="43">
        <v>65751000</v>
      </c>
      <c r="P1225" s="14">
        <f t="shared" si="59"/>
        <v>1379000</v>
      </c>
      <c r="Q1225" s="14" t="str">
        <f t="shared" si="57"/>
        <v/>
      </c>
      <c r="R1225" s="14" t="str">
        <f t="shared" si="57"/>
        <v/>
      </c>
      <c r="S1225" s="14" t="str">
        <f t="shared" si="58"/>
        <v/>
      </c>
      <c r="T1225" s="14" t="s">
        <v>72</v>
      </c>
      <c r="U1225" s="14">
        <v>0</v>
      </c>
      <c r="V1225">
        <v>7674</v>
      </c>
      <c r="W1225">
        <v>29.364160156250001</v>
      </c>
      <c r="X1225">
        <v>16.693314715187899</v>
      </c>
      <c r="Y1225">
        <v>3.4087336388937799</v>
      </c>
      <c r="Z1225" s="31">
        <v>0.66690565199970597</v>
      </c>
      <c r="AA1225">
        <v>1.5574877067041</v>
      </c>
      <c r="AB1225">
        <v>0.06</v>
      </c>
      <c r="AC1225">
        <v>362659.31849936</v>
      </c>
      <c r="AD1225">
        <v>410095.15735907631</v>
      </c>
      <c r="AE1225">
        <v>1</v>
      </c>
      <c r="AF1225">
        <v>4334.2023541625531</v>
      </c>
      <c r="AG1225">
        <v>6151.2723429234411</v>
      </c>
    </row>
    <row r="1226" spans="2:33" hidden="1" x14ac:dyDescent="0.25">
      <c r="B1226">
        <v>21</v>
      </c>
      <c r="C1226" t="s">
        <v>51</v>
      </c>
      <c r="D1226" t="s">
        <v>30</v>
      </c>
      <c r="E1226" t="s">
        <v>68</v>
      </c>
      <c r="F1226">
        <v>103922</v>
      </c>
      <c r="G1226">
        <v>130205</v>
      </c>
      <c r="H1226">
        <v>50</v>
      </c>
      <c r="I1226">
        <v>0</v>
      </c>
      <c r="J1226">
        <v>0</v>
      </c>
      <c r="K1226">
        <v>374412</v>
      </c>
      <c r="L1226">
        <v>74724</v>
      </c>
      <c r="M1226">
        <v>1717</v>
      </c>
      <c r="N1226">
        <v>128800</v>
      </c>
      <c r="O1226" s="43">
        <v>67084000</v>
      </c>
      <c r="P1226" s="14">
        <f t="shared" si="59"/>
        <v>1333000</v>
      </c>
      <c r="Q1226" s="14" t="str">
        <f t="shared" si="57"/>
        <v/>
      </c>
      <c r="R1226" s="14" t="str">
        <f t="shared" si="57"/>
        <v/>
      </c>
      <c r="S1226" s="14" t="str">
        <f t="shared" si="58"/>
        <v/>
      </c>
      <c r="T1226" s="14" t="s">
        <v>72</v>
      </c>
      <c r="U1226" s="14">
        <v>0</v>
      </c>
      <c r="V1226">
        <v>7674</v>
      </c>
      <c r="W1226">
        <v>29.444238281250001</v>
      </c>
      <c r="X1226">
        <v>20.5006122014921</v>
      </c>
      <c r="Y1226">
        <v>3.2677269461825098</v>
      </c>
      <c r="Z1226" s="31">
        <v>2.19056923849466</v>
      </c>
      <c r="AA1226">
        <v>9.6916419965600706</v>
      </c>
      <c r="AB1226">
        <v>0.06</v>
      </c>
      <c r="AC1226">
        <v>362659.31849936</v>
      </c>
      <c r="AD1226">
        <v>410095.15735907631</v>
      </c>
      <c r="AE1226">
        <v>1</v>
      </c>
      <c r="AF1226">
        <v>4334.2023541625531</v>
      </c>
      <c r="AG1226">
        <v>6151.2723429234411</v>
      </c>
    </row>
    <row r="1227" spans="2:33" hidden="1" x14ac:dyDescent="0.25">
      <c r="B1227">
        <v>21</v>
      </c>
      <c r="C1227" t="s">
        <v>51</v>
      </c>
      <c r="D1227" t="s">
        <v>30</v>
      </c>
      <c r="E1227" t="s">
        <v>68</v>
      </c>
      <c r="F1227">
        <v>105322</v>
      </c>
      <c r="G1227">
        <v>130205</v>
      </c>
      <c r="H1227">
        <v>51</v>
      </c>
      <c r="I1227">
        <v>0</v>
      </c>
      <c r="J1227">
        <v>0</v>
      </c>
      <c r="K1227">
        <v>374412</v>
      </c>
      <c r="L1227">
        <v>74724</v>
      </c>
      <c r="M1227">
        <v>1717</v>
      </c>
      <c r="N1227">
        <v>128800</v>
      </c>
      <c r="O1227" s="43">
        <v>68350000</v>
      </c>
      <c r="P1227" s="14">
        <f t="shared" si="59"/>
        <v>1266000</v>
      </c>
      <c r="Q1227" s="14" t="str">
        <f t="shared" si="57"/>
        <v/>
      </c>
      <c r="R1227" s="14" t="str">
        <f t="shared" si="57"/>
        <v/>
      </c>
      <c r="S1227" s="14" t="str">
        <f t="shared" si="58"/>
        <v/>
      </c>
      <c r="T1227" s="14" t="s">
        <v>72</v>
      </c>
      <c r="U1227" s="14">
        <v>0</v>
      </c>
      <c r="V1227">
        <v>7674</v>
      </c>
      <c r="W1227">
        <v>29.496240234375001</v>
      </c>
      <c r="X1227">
        <v>14.454924062951401</v>
      </c>
      <c r="Y1227">
        <v>3.5271702312268101</v>
      </c>
      <c r="Z1227" s="31">
        <v>2.4127613912758599</v>
      </c>
      <c r="AA1227">
        <v>6.1870946473299098</v>
      </c>
      <c r="AB1227">
        <v>0.06</v>
      </c>
      <c r="AC1227">
        <v>362659.31849936</v>
      </c>
      <c r="AD1227">
        <v>410095.15735907631</v>
      </c>
      <c r="AE1227">
        <v>1</v>
      </c>
      <c r="AF1227">
        <v>4334.2023541625531</v>
      </c>
      <c r="AG1227">
        <v>6151.2723429234411</v>
      </c>
    </row>
    <row r="1228" spans="2:33" hidden="1" x14ac:dyDescent="0.25">
      <c r="B1228">
        <v>21</v>
      </c>
      <c r="C1228" t="s">
        <v>51</v>
      </c>
      <c r="D1228" t="s">
        <v>30</v>
      </c>
      <c r="E1228" t="s">
        <v>68</v>
      </c>
      <c r="F1228">
        <v>107523</v>
      </c>
      <c r="G1228">
        <v>130205</v>
      </c>
      <c r="H1228">
        <v>52</v>
      </c>
      <c r="I1228">
        <v>0</v>
      </c>
      <c r="J1228">
        <v>0</v>
      </c>
      <c r="K1228">
        <v>374412</v>
      </c>
      <c r="L1228">
        <v>74724</v>
      </c>
      <c r="M1228">
        <v>1717</v>
      </c>
      <c r="N1228">
        <v>128800</v>
      </c>
      <c r="O1228" s="43">
        <v>69470000</v>
      </c>
      <c r="P1228" s="14">
        <f t="shared" si="59"/>
        <v>1120000</v>
      </c>
      <c r="Q1228" s="14" t="str">
        <f t="shared" si="57"/>
        <v/>
      </c>
      <c r="R1228" s="14" t="str">
        <f t="shared" si="57"/>
        <v/>
      </c>
      <c r="S1228" s="14" t="str">
        <f t="shared" si="58"/>
        <v/>
      </c>
      <c r="T1228" s="14" t="s">
        <v>72</v>
      </c>
      <c r="U1228" s="14">
        <v>0</v>
      </c>
      <c r="V1228">
        <v>7674</v>
      </c>
      <c r="W1228">
        <v>29.192529296875001</v>
      </c>
      <c r="X1228">
        <v>14.058697724586199</v>
      </c>
      <c r="Y1228">
        <v>3.4820909261580799</v>
      </c>
      <c r="Z1228" s="31">
        <v>2.5074144592779399</v>
      </c>
      <c r="AA1228">
        <v>5.7388801923095603</v>
      </c>
      <c r="AB1228">
        <v>0.06</v>
      </c>
      <c r="AC1228">
        <v>362659.31849936</v>
      </c>
      <c r="AD1228">
        <v>410095.15735907631</v>
      </c>
      <c r="AE1228">
        <v>1</v>
      </c>
      <c r="AF1228">
        <v>4334.2023541625531</v>
      </c>
      <c r="AG1228">
        <v>6151.2723429234411</v>
      </c>
    </row>
    <row r="1229" spans="2:33" hidden="1" x14ac:dyDescent="0.25">
      <c r="B1229">
        <v>21</v>
      </c>
      <c r="C1229" t="s">
        <v>51</v>
      </c>
      <c r="D1229" t="s">
        <v>30</v>
      </c>
      <c r="E1229" t="s">
        <v>68</v>
      </c>
      <c r="F1229">
        <v>107523</v>
      </c>
      <c r="G1229">
        <v>130205</v>
      </c>
      <c r="H1229">
        <v>53</v>
      </c>
      <c r="I1229">
        <v>0</v>
      </c>
      <c r="J1229">
        <v>0</v>
      </c>
      <c r="K1229">
        <v>374412</v>
      </c>
      <c r="L1229">
        <v>74724</v>
      </c>
      <c r="M1229">
        <v>1717</v>
      </c>
      <c r="N1229">
        <v>128800</v>
      </c>
      <c r="O1229" s="43">
        <v>70788000</v>
      </c>
      <c r="P1229" s="14">
        <f t="shared" si="59"/>
        <v>1318000</v>
      </c>
      <c r="Q1229" s="14" t="str">
        <f t="shared" si="57"/>
        <v/>
      </c>
      <c r="R1229" s="14" t="str">
        <f t="shared" si="57"/>
        <v/>
      </c>
      <c r="S1229" s="14" t="str">
        <f t="shared" si="58"/>
        <v/>
      </c>
      <c r="T1229" s="14" t="s">
        <v>72</v>
      </c>
      <c r="U1229" s="14">
        <v>0</v>
      </c>
      <c r="V1229">
        <v>7674</v>
      </c>
      <c r="W1229">
        <v>29.942529296875001</v>
      </c>
      <c r="X1229">
        <v>19.069852023427799</v>
      </c>
      <c r="Y1229">
        <v>3.4232046341374001</v>
      </c>
      <c r="Z1229" s="31">
        <v>2.9732807356972302</v>
      </c>
      <c r="AA1229">
        <v>8.9741770766031497</v>
      </c>
      <c r="AB1229">
        <v>0.06</v>
      </c>
      <c r="AC1229">
        <v>362659.31849936</v>
      </c>
      <c r="AD1229">
        <v>410095.15735907631</v>
      </c>
      <c r="AE1229">
        <v>1</v>
      </c>
      <c r="AF1229">
        <v>4334.2023541625531</v>
      </c>
      <c r="AG1229">
        <v>6151.2723429234411</v>
      </c>
    </row>
    <row r="1230" spans="2:33" hidden="1" x14ac:dyDescent="0.25">
      <c r="B1230">
        <v>21</v>
      </c>
      <c r="C1230" t="s">
        <v>51</v>
      </c>
      <c r="D1230" t="s">
        <v>30</v>
      </c>
      <c r="E1230" t="s">
        <v>68</v>
      </c>
      <c r="F1230">
        <v>122666</v>
      </c>
      <c r="G1230">
        <v>130205</v>
      </c>
      <c r="H1230">
        <v>54</v>
      </c>
      <c r="I1230">
        <v>0</v>
      </c>
      <c r="J1230">
        <v>12.793133900000001</v>
      </c>
      <c r="K1230">
        <v>374412</v>
      </c>
      <c r="L1230">
        <v>74724</v>
      </c>
      <c r="M1230">
        <v>1717</v>
      </c>
      <c r="N1230">
        <v>128800</v>
      </c>
      <c r="O1230" s="43">
        <v>71908000</v>
      </c>
      <c r="P1230" s="14">
        <f t="shared" si="59"/>
        <v>1120000</v>
      </c>
      <c r="Q1230" s="14" t="str">
        <f t="shared" si="57"/>
        <v/>
      </c>
      <c r="R1230" s="14" t="str">
        <f t="shared" si="57"/>
        <v/>
      </c>
      <c r="S1230" s="14" t="str">
        <f t="shared" si="58"/>
        <v/>
      </c>
      <c r="T1230" s="14" t="s">
        <v>72</v>
      </c>
      <c r="U1230" s="14">
        <v>0</v>
      </c>
      <c r="V1230">
        <v>7674</v>
      </c>
      <c r="W1230">
        <v>27.303857421875001</v>
      </c>
      <c r="X1230">
        <v>21.950811301535801</v>
      </c>
      <c r="Y1230">
        <v>2.8335269451661298</v>
      </c>
      <c r="Z1230" s="31">
        <v>3.1640978426342801</v>
      </c>
      <c r="AA1230">
        <v>11.196628814332399</v>
      </c>
      <c r="AB1230">
        <v>0.06</v>
      </c>
      <c r="AC1230">
        <v>362659.31849936</v>
      </c>
      <c r="AD1230">
        <v>410095.15735907631</v>
      </c>
      <c r="AE1230">
        <v>1</v>
      </c>
      <c r="AF1230">
        <v>4334.2023541625531</v>
      </c>
      <c r="AG1230">
        <v>6151.2723429234411</v>
      </c>
    </row>
    <row r="1231" spans="2:33" hidden="1" x14ac:dyDescent="0.25">
      <c r="B1231">
        <v>21</v>
      </c>
      <c r="C1231" t="s">
        <v>51</v>
      </c>
      <c r="D1231" t="s">
        <v>30</v>
      </c>
      <c r="E1231" t="s">
        <v>68</v>
      </c>
      <c r="F1231">
        <v>125059</v>
      </c>
      <c r="G1231">
        <v>130205</v>
      </c>
      <c r="H1231">
        <v>55</v>
      </c>
      <c r="I1231">
        <v>0</v>
      </c>
      <c r="J1231">
        <v>2.0216581539999998</v>
      </c>
      <c r="K1231">
        <v>374412</v>
      </c>
      <c r="L1231">
        <v>74724</v>
      </c>
      <c r="M1231">
        <v>1717</v>
      </c>
      <c r="N1231">
        <v>128800</v>
      </c>
      <c r="O1231" s="43">
        <v>73355000</v>
      </c>
      <c r="P1231" s="14">
        <f t="shared" si="59"/>
        <v>1447000</v>
      </c>
      <c r="Q1231" s="14" t="str">
        <f t="shared" si="57"/>
        <v/>
      </c>
      <c r="R1231" s="14" t="str">
        <f t="shared" si="57"/>
        <v/>
      </c>
      <c r="S1231" s="14" t="str">
        <f t="shared" si="58"/>
        <v/>
      </c>
      <c r="T1231" s="14" t="s">
        <v>72</v>
      </c>
      <c r="U1231" s="14">
        <v>0</v>
      </c>
      <c r="V1231">
        <v>7674</v>
      </c>
      <c r="W1231">
        <v>17.765039062500001</v>
      </c>
      <c r="X1231">
        <v>17.720753788788301</v>
      </c>
      <c r="Y1231">
        <v>1.6748940701103701</v>
      </c>
      <c r="Z1231" s="31">
        <v>3.7198354337587798</v>
      </c>
      <c r="AA1231">
        <v>7.8262786451265196</v>
      </c>
      <c r="AB1231">
        <v>0.06</v>
      </c>
      <c r="AC1231">
        <v>362659.31849936</v>
      </c>
      <c r="AD1231">
        <v>410095.15735907631</v>
      </c>
      <c r="AE1231">
        <v>1</v>
      </c>
      <c r="AF1231">
        <v>4334.2023541625531</v>
      </c>
      <c r="AG1231">
        <v>6151.2723429234411</v>
      </c>
    </row>
    <row r="1232" spans="2:33" hidden="1" x14ac:dyDescent="0.25">
      <c r="B1232">
        <v>21</v>
      </c>
      <c r="C1232" t="s">
        <v>51</v>
      </c>
      <c r="D1232" t="s">
        <v>30</v>
      </c>
      <c r="E1232" t="s">
        <v>68</v>
      </c>
      <c r="F1232">
        <v>125993</v>
      </c>
      <c r="G1232">
        <v>130205</v>
      </c>
      <c r="H1232">
        <v>56</v>
      </c>
      <c r="I1232">
        <v>0</v>
      </c>
      <c r="J1232">
        <v>0.78906339999999997</v>
      </c>
      <c r="K1232">
        <v>374412</v>
      </c>
      <c r="L1232">
        <v>74724</v>
      </c>
      <c r="M1232">
        <v>1717</v>
      </c>
      <c r="N1232">
        <v>128800</v>
      </c>
      <c r="O1232" s="43">
        <v>74200000</v>
      </c>
      <c r="P1232" s="14">
        <f t="shared" si="59"/>
        <v>845000</v>
      </c>
      <c r="Q1232" s="14" t="str">
        <f t="shared" si="57"/>
        <v/>
      </c>
      <c r="R1232" s="14" t="str">
        <f t="shared" si="57"/>
        <v/>
      </c>
      <c r="S1232" s="14" t="str">
        <f t="shared" si="58"/>
        <v/>
      </c>
      <c r="T1232" s="14" t="s">
        <v>72</v>
      </c>
      <c r="U1232" s="14">
        <v>0</v>
      </c>
      <c r="V1232">
        <v>7674</v>
      </c>
      <c r="W1232">
        <v>17.231103515625001</v>
      </c>
      <c r="X1232">
        <v>21.495030111169701</v>
      </c>
      <c r="Y1232">
        <v>1.54518418564051</v>
      </c>
      <c r="Z1232" s="31">
        <v>2.0601732796705501</v>
      </c>
      <c r="AA1232">
        <v>2.7633634025263398</v>
      </c>
      <c r="AB1232">
        <v>0.06</v>
      </c>
      <c r="AC1232">
        <v>362659.31849936</v>
      </c>
      <c r="AD1232">
        <v>410095.15735907631</v>
      </c>
      <c r="AE1232">
        <v>1</v>
      </c>
      <c r="AF1232">
        <v>4334.2023541625531</v>
      </c>
      <c r="AG1232">
        <v>6151.2723429234411</v>
      </c>
    </row>
    <row r="1233" spans="2:33" hidden="1" x14ac:dyDescent="0.25">
      <c r="B1233">
        <v>21</v>
      </c>
      <c r="C1233" t="s">
        <v>51</v>
      </c>
      <c r="D1233" t="s">
        <v>30</v>
      </c>
      <c r="E1233" t="s">
        <v>68</v>
      </c>
      <c r="F1233">
        <v>126252</v>
      </c>
      <c r="G1233">
        <v>130205</v>
      </c>
      <c r="H1233">
        <v>57</v>
      </c>
      <c r="I1233">
        <v>15143</v>
      </c>
      <c r="J1233">
        <v>0.21880880150000001</v>
      </c>
      <c r="K1233">
        <v>374412</v>
      </c>
      <c r="L1233">
        <v>74724</v>
      </c>
      <c r="M1233">
        <v>1717</v>
      </c>
      <c r="N1233">
        <v>128800</v>
      </c>
      <c r="O1233" s="43">
        <v>75700000</v>
      </c>
      <c r="P1233" s="14">
        <f t="shared" si="59"/>
        <v>1500000</v>
      </c>
      <c r="Q1233" s="14" t="str">
        <f t="shared" si="57"/>
        <v/>
      </c>
      <c r="R1233" s="14" t="str">
        <f t="shared" si="57"/>
        <v/>
      </c>
      <c r="S1233" s="14" t="str">
        <f t="shared" si="58"/>
        <v/>
      </c>
      <c r="T1233" s="14" t="s">
        <v>72</v>
      </c>
      <c r="U1233" s="14">
        <v>99.055669286138809</v>
      </c>
      <c r="V1233">
        <v>7674</v>
      </c>
      <c r="W1233">
        <v>21.939355468750001</v>
      </c>
      <c r="X1233">
        <v>20.415331228030499</v>
      </c>
      <c r="Y1233">
        <v>2.0978078794316199</v>
      </c>
      <c r="Z1233" s="31">
        <v>0.65312051569047203</v>
      </c>
      <c r="AA1233">
        <v>2.9358598339999999</v>
      </c>
      <c r="AB1233">
        <v>0.06</v>
      </c>
      <c r="AC1233">
        <v>362659.31849936</v>
      </c>
      <c r="AD1233">
        <v>410095.15735907631</v>
      </c>
      <c r="AE1233">
        <v>1</v>
      </c>
      <c r="AF1233">
        <v>4334.2023541625531</v>
      </c>
      <c r="AG1233">
        <v>6151.2723429234411</v>
      </c>
    </row>
    <row r="1234" spans="2:33" hidden="1" x14ac:dyDescent="0.25">
      <c r="B1234">
        <v>21</v>
      </c>
      <c r="C1234" t="s">
        <v>51</v>
      </c>
      <c r="D1234" t="s">
        <v>30</v>
      </c>
      <c r="E1234" t="s">
        <v>68</v>
      </c>
      <c r="F1234">
        <v>126925</v>
      </c>
      <c r="G1234">
        <v>130205</v>
      </c>
      <c r="H1234">
        <v>58</v>
      </c>
      <c r="I1234">
        <v>2393</v>
      </c>
      <c r="J1234">
        <v>0.56856495529999995</v>
      </c>
      <c r="K1234">
        <v>374412</v>
      </c>
      <c r="L1234">
        <v>74724</v>
      </c>
      <c r="M1234">
        <v>1717</v>
      </c>
      <c r="N1234">
        <v>128800</v>
      </c>
      <c r="O1234" s="43">
        <v>77000000</v>
      </c>
      <c r="P1234" s="14">
        <f t="shared" si="59"/>
        <v>1300000</v>
      </c>
      <c r="Q1234" s="14" t="str">
        <f t="shared" si="57"/>
        <v/>
      </c>
      <c r="R1234" s="14" t="str">
        <f t="shared" si="57"/>
        <v/>
      </c>
      <c r="S1234" s="14" t="str">
        <f t="shared" si="58"/>
        <v/>
      </c>
      <c r="T1234" s="14" t="s">
        <v>72</v>
      </c>
      <c r="U1234" s="14">
        <v>543.25114918512327</v>
      </c>
      <c r="V1234">
        <v>7674</v>
      </c>
      <c r="W1234">
        <v>24.832177734375001</v>
      </c>
      <c r="X1234">
        <v>21.7489644665132</v>
      </c>
      <c r="Y1234">
        <v>2.45527893856694</v>
      </c>
      <c r="Z1234" s="31">
        <v>1.37389219264895</v>
      </c>
      <c r="AA1234">
        <v>3.1632184978813598</v>
      </c>
      <c r="AB1234">
        <v>0.06</v>
      </c>
      <c r="AC1234">
        <v>362659.31849936</v>
      </c>
      <c r="AD1234">
        <v>410095.15735907631</v>
      </c>
      <c r="AE1234">
        <v>1</v>
      </c>
      <c r="AF1234">
        <v>4334.2023541625531</v>
      </c>
      <c r="AG1234">
        <v>6151.2723429234411</v>
      </c>
    </row>
    <row r="1235" spans="2:33" hidden="1" x14ac:dyDescent="0.25">
      <c r="B1235">
        <v>21</v>
      </c>
      <c r="C1235" t="s">
        <v>51</v>
      </c>
      <c r="D1235" t="s">
        <v>30</v>
      </c>
      <c r="E1235" t="s">
        <v>68</v>
      </c>
      <c r="F1235">
        <v>129877</v>
      </c>
      <c r="G1235">
        <v>130205</v>
      </c>
      <c r="H1235">
        <v>59</v>
      </c>
      <c r="I1235">
        <v>934</v>
      </c>
      <c r="J1235">
        <v>2.4939134439999999</v>
      </c>
      <c r="K1235">
        <v>374412</v>
      </c>
      <c r="L1235">
        <v>74724</v>
      </c>
      <c r="M1235">
        <v>1717</v>
      </c>
      <c r="N1235">
        <v>128800</v>
      </c>
      <c r="O1235" s="43">
        <v>78200000</v>
      </c>
      <c r="P1235" s="14">
        <f t="shared" si="59"/>
        <v>1200000</v>
      </c>
      <c r="Q1235" s="14" t="str">
        <f t="shared" si="57"/>
        <v/>
      </c>
      <c r="R1235" s="14" t="str">
        <f t="shared" si="57"/>
        <v/>
      </c>
      <c r="S1235" s="14" t="str">
        <f t="shared" si="58"/>
        <v/>
      </c>
      <c r="T1235" s="14" t="s">
        <v>72</v>
      </c>
      <c r="U1235" s="14">
        <v>1284.796573875803</v>
      </c>
      <c r="V1235">
        <v>7674</v>
      </c>
      <c r="W1235">
        <v>23.612207031250001</v>
      </c>
      <c r="X1235">
        <v>33.698914286758303</v>
      </c>
      <c r="Y1235">
        <v>1.93353968698762</v>
      </c>
      <c r="Z1235" s="31">
        <v>1.0450238418739699</v>
      </c>
      <c r="AA1235">
        <v>2.64177585708125</v>
      </c>
      <c r="AB1235">
        <v>0.06</v>
      </c>
      <c r="AC1235">
        <v>362659.31849936</v>
      </c>
      <c r="AD1235">
        <v>410095.15735907631</v>
      </c>
      <c r="AE1235">
        <v>1</v>
      </c>
      <c r="AF1235">
        <v>4334.2023541625531</v>
      </c>
      <c r="AG1235">
        <v>6151.2723429234411</v>
      </c>
    </row>
    <row r="1236" spans="2:33" hidden="1" x14ac:dyDescent="0.25">
      <c r="B1236">
        <v>21</v>
      </c>
      <c r="C1236" t="s">
        <v>51</v>
      </c>
      <c r="D1236" t="s">
        <v>30</v>
      </c>
      <c r="E1236" t="s">
        <v>68</v>
      </c>
      <c r="F1236">
        <v>130077</v>
      </c>
      <c r="G1236">
        <v>130205</v>
      </c>
      <c r="H1236">
        <v>60</v>
      </c>
      <c r="I1236">
        <v>259</v>
      </c>
      <c r="J1236">
        <v>0.16896432550000001</v>
      </c>
      <c r="K1236">
        <v>374412</v>
      </c>
      <c r="L1236">
        <v>74724</v>
      </c>
      <c r="M1236">
        <v>1717</v>
      </c>
      <c r="N1236">
        <v>128800</v>
      </c>
      <c r="O1236" s="43">
        <v>79800000</v>
      </c>
      <c r="P1236" s="14">
        <f t="shared" si="59"/>
        <v>1600000</v>
      </c>
      <c r="Q1236" s="14" t="str">
        <f t="shared" si="57"/>
        <v/>
      </c>
      <c r="R1236" s="14" t="str">
        <f t="shared" si="57"/>
        <v/>
      </c>
      <c r="S1236" s="14" t="str">
        <f t="shared" si="58"/>
        <v/>
      </c>
      <c r="T1236" s="14" t="s">
        <v>72</v>
      </c>
      <c r="U1236" s="14">
        <v>6177.6061776061779</v>
      </c>
      <c r="V1236">
        <v>7674</v>
      </c>
      <c r="W1236">
        <v>12.402490234375</v>
      </c>
      <c r="X1236">
        <v>85.045558500571204</v>
      </c>
      <c r="Y1236">
        <v>0.21565398304939901</v>
      </c>
      <c r="Z1236" s="31">
        <v>0.79705728813752896</v>
      </c>
      <c r="AA1236">
        <v>3.0475303213009299</v>
      </c>
      <c r="AB1236">
        <v>0.06</v>
      </c>
      <c r="AC1236">
        <v>362659.31849936</v>
      </c>
      <c r="AD1236">
        <v>410095.15735907631</v>
      </c>
      <c r="AE1236">
        <v>1</v>
      </c>
      <c r="AF1236">
        <v>4334.2023541625531</v>
      </c>
      <c r="AG1236">
        <v>6151.2723429234411</v>
      </c>
    </row>
    <row r="1237" spans="2:33" hidden="1" x14ac:dyDescent="0.25">
      <c r="B1237">
        <v>21</v>
      </c>
      <c r="C1237" t="s">
        <v>51</v>
      </c>
      <c r="D1237" t="s">
        <v>30</v>
      </c>
      <c r="E1237" t="s">
        <v>68</v>
      </c>
      <c r="F1237">
        <v>130079</v>
      </c>
      <c r="G1237">
        <v>130205</v>
      </c>
      <c r="H1237">
        <v>61</v>
      </c>
      <c r="I1237">
        <v>673</v>
      </c>
      <c r="J1237">
        <v>1.6896432550000001E-3</v>
      </c>
      <c r="K1237">
        <v>374412</v>
      </c>
      <c r="L1237">
        <v>74724</v>
      </c>
      <c r="M1237">
        <v>1717</v>
      </c>
      <c r="N1237">
        <v>128800</v>
      </c>
      <c r="O1237" s="43">
        <v>81000000</v>
      </c>
      <c r="P1237" s="14">
        <f t="shared" si="59"/>
        <v>1200000</v>
      </c>
      <c r="Q1237" s="14" t="str">
        <f t="shared" si="57"/>
        <v/>
      </c>
      <c r="R1237" s="14" t="str">
        <f t="shared" si="57"/>
        <v/>
      </c>
      <c r="S1237" s="14" t="str">
        <f t="shared" si="58"/>
        <v/>
      </c>
      <c r="T1237" s="14" t="s">
        <v>72</v>
      </c>
      <c r="U1237" s="14">
        <v>1783.0609212481427</v>
      </c>
      <c r="V1237">
        <v>7674</v>
      </c>
      <c r="W1237">
        <v>19.175683593750001</v>
      </c>
      <c r="X1237">
        <v>44.122326233299397</v>
      </c>
      <c r="Y1237">
        <v>1.24224859662534</v>
      </c>
      <c r="Z1237" s="31">
        <v>0.66327821825792599</v>
      </c>
      <c r="AA1237">
        <v>1.06634541670325</v>
      </c>
      <c r="AB1237">
        <v>0.06</v>
      </c>
      <c r="AC1237">
        <v>362659.31849936</v>
      </c>
      <c r="AD1237">
        <v>410095.15735907631</v>
      </c>
      <c r="AE1237">
        <v>1</v>
      </c>
      <c r="AF1237">
        <v>4334.2023541625531</v>
      </c>
      <c r="AG1237">
        <v>6151.2723429234411</v>
      </c>
    </row>
    <row r="1238" spans="2:33" hidden="1" x14ac:dyDescent="0.25">
      <c r="B1238">
        <v>21</v>
      </c>
      <c r="C1238" t="s">
        <v>51</v>
      </c>
      <c r="D1238" t="s">
        <v>30</v>
      </c>
      <c r="E1238" t="s">
        <v>68</v>
      </c>
      <c r="F1238">
        <v>130079</v>
      </c>
      <c r="G1238">
        <v>130205</v>
      </c>
      <c r="H1238">
        <v>62</v>
      </c>
      <c r="I1238">
        <v>2952</v>
      </c>
      <c r="J1238">
        <v>0</v>
      </c>
      <c r="K1238">
        <v>374412</v>
      </c>
      <c r="L1238">
        <v>74724</v>
      </c>
      <c r="M1238">
        <v>1717</v>
      </c>
      <c r="N1238">
        <v>128800</v>
      </c>
      <c r="O1238" s="43">
        <v>82300000</v>
      </c>
      <c r="P1238" s="14">
        <f t="shared" si="59"/>
        <v>1300000</v>
      </c>
      <c r="Q1238" s="14" t="str">
        <f t="shared" si="57"/>
        <v/>
      </c>
      <c r="R1238" s="14" t="str">
        <f t="shared" si="57"/>
        <v/>
      </c>
      <c r="S1238" s="14" t="str">
        <f t="shared" si="58"/>
        <v/>
      </c>
      <c r="T1238" s="14" t="s">
        <v>72</v>
      </c>
      <c r="U1238" s="14">
        <v>440.37940379403796</v>
      </c>
      <c r="V1238">
        <v>7674</v>
      </c>
      <c r="W1238">
        <v>10.927880859375</v>
      </c>
      <c r="X1238">
        <v>85.665006809999994</v>
      </c>
      <c r="Y1238">
        <v>0.18756313039741199</v>
      </c>
      <c r="Z1238" s="31">
        <v>0.58564837196710195</v>
      </c>
      <c r="AA1238">
        <v>5.8209478502755703</v>
      </c>
      <c r="AB1238">
        <v>0.06</v>
      </c>
      <c r="AC1238">
        <v>362659.31849936</v>
      </c>
      <c r="AD1238">
        <v>410095.15735907631</v>
      </c>
      <c r="AE1238">
        <v>1</v>
      </c>
      <c r="AF1238">
        <v>4334.2023541625531</v>
      </c>
      <c r="AG1238">
        <v>6151.2723429234411</v>
      </c>
    </row>
    <row r="1239" spans="2:33" hidden="1" x14ac:dyDescent="0.25">
      <c r="B1239">
        <v>21</v>
      </c>
      <c r="C1239" t="s">
        <v>51</v>
      </c>
      <c r="D1239" t="s">
        <v>30</v>
      </c>
      <c r="E1239" t="s">
        <v>68</v>
      </c>
      <c r="F1239">
        <v>130086</v>
      </c>
      <c r="G1239">
        <v>130205</v>
      </c>
      <c r="H1239">
        <v>63</v>
      </c>
      <c r="I1239">
        <v>200</v>
      </c>
      <c r="J1239">
        <v>5.9137513920000002E-3</v>
      </c>
      <c r="K1239">
        <v>374412</v>
      </c>
      <c r="L1239">
        <v>74724</v>
      </c>
      <c r="M1239">
        <v>1717</v>
      </c>
      <c r="N1239">
        <v>128800</v>
      </c>
      <c r="O1239" s="43">
        <v>83600000</v>
      </c>
      <c r="P1239" s="14">
        <f t="shared" si="59"/>
        <v>1300000</v>
      </c>
      <c r="Q1239" s="14" t="str">
        <f t="shared" si="57"/>
        <v/>
      </c>
      <c r="R1239" s="14" t="str">
        <f t="shared" si="57"/>
        <v/>
      </c>
      <c r="S1239" s="14" t="str">
        <f t="shared" si="58"/>
        <v/>
      </c>
      <c r="T1239" s="14" t="s">
        <v>72</v>
      </c>
      <c r="U1239" s="14">
        <v>6500</v>
      </c>
      <c r="V1239">
        <v>7674</v>
      </c>
      <c r="W1239">
        <v>14.29189453125</v>
      </c>
      <c r="X1239">
        <v>64.018133789746898</v>
      </c>
      <c r="Y1239">
        <v>0.58686397868797202</v>
      </c>
      <c r="Z1239" s="31">
        <v>0.86231701079038003</v>
      </c>
      <c r="AA1239">
        <v>5.4068304019979001</v>
      </c>
      <c r="AB1239">
        <v>0.06</v>
      </c>
      <c r="AC1239">
        <v>362659.31849936</v>
      </c>
      <c r="AD1239">
        <v>410095.15735907631</v>
      </c>
      <c r="AE1239">
        <v>1</v>
      </c>
      <c r="AF1239">
        <v>4334.2023541625531</v>
      </c>
      <c r="AG1239">
        <v>6151.2723429234411</v>
      </c>
    </row>
    <row r="1240" spans="2:33" hidden="1" x14ac:dyDescent="0.25">
      <c r="B1240">
        <v>21</v>
      </c>
      <c r="C1240" t="s">
        <v>51</v>
      </c>
      <c r="D1240" t="s">
        <v>30</v>
      </c>
      <c r="E1240" t="s">
        <v>68</v>
      </c>
      <c r="F1240">
        <v>130092</v>
      </c>
      <c r="G1240">
        <v>130205</v>
      </c>
      <c r="H1240">
        <v>64</v>
      </c>
      <c r="I1240">
        <v>2</v>
      </c>
      <c r="J1240">
        <v>5.0689297649999998E-3</v>
      </c>
      <c r="K1240">
        <v>374412</v>
      </c>
      <c r="L1240">
        <v>74724</v>
      </c>
      <c r="M1240">
        <v>1717</v>
      </c>
      <c r="N1240">
        <v>128800</v>
      </c>
      <c r="O1240" s="43">
        <v>84600000</v>
      </c>
      <c r="P1240" s="14">
        <f t="shared" si="59"/>
        <v>1000000</v>
      </c>
      <c r="Q1240" s="14" t="str">
        <f t="shared" si="57"/>
        <v/>
      </c>
      <c r="R1240" s="14" t="str">
        <f t="shared" si="57"/>
        <v/>
      </c>
      <c r="S1240" s="14" t="str">
        <f t="shared" si="58"/>
        <v/>
      </c>
      <c r="T1240" s="14" t="s">
        <v>72</v>
      </c>
      <c r="U1240" s="14">
        <v>500000</v>
      </c>
      <c r="V1240">
        <v>7674</v>
      </c>
      <c r="W1240">
        <v>13.622216796875</v>
      </c>
      <c r="X1240">
        <v>68.351651611289299</v>
      </c>
      <c r="Y1240">
        <v>0.49425757067415799</v>
      </c>
      <c r="Z1240" s="31">
        <v>1.6561521429407799</v>
      </c>
      <c r="AA1240">
        <v>5.6105398254829</v>
      </c>
      <c r="AB1240">
        <v>0.06</v>
      </c>
      <c r="AC1240">
        <v>362659.31849936</v>
      </c>
      <c r="AD1240">
        <v>410095.15735907631</v>
      </c>
      <c r="AE1240">
        <v>1</v>
      </c>
      <c r="AF1240">
        <v>4334.2023541625531</v>
      </c>
      <c r="AG1240">
        <v>6151.2723429234411</v>
      </c>
    </row>
    <row r="1241" spans="2:33" hidden="1" x14ac:dyDescent="0.25">
      <c r="B1241">
        <v>21</v>
      </c>
      <c r="C1241" t="s">
        <v>51</v>
      </c>
      <c r="D1241" t="s">
        <v>30</v>
      </c>
      <c r="E1241" t="s">
        <v>68</v>
      </c>
      <c r="F1241">
        <v>130093</v>
      </c>
      <c r="G1241">
        <v>130205</v>
      </c>
      <c r="H1241">
        <v>65</v>
      </c>
      <c r="I1241">
        <v>0</v>
      </c>
      <c r="J1241">
        <v>8.4482162739999995E-4</v>
      </c>
      <c r="K1241">
        <v>374412</v>
      </c>
      <c r="L1241">
        <v>74724</v>
      </c>
      <c r="M1241">
        <v>1717</v>
      </c>
      <c r="N1241">
        <v>128800</v>
      </c>
      <c r="O1241" s="43">
        <v>86000000</v>
      </c>
      <c r="P1241" s="14">
        <f t="shared" si="59"/>
        <v>1400000</v>
      </c>
      <c r="Q1241" s="14" t="str">
        <f t="shared" si="57"/>
        <v/>
      </c>
      <c r="R1241" s="14" t="str">
        <f t="shared" si="57"/>
        <v/>
      </c>
      <c r="S1241" s="14" t="str">
        <f t="shared" si="58"/>
        <v/>
      </c>
      <c r="T1241" s="14" t="s">
        <v>72</v>
      </c>
      <c r="U1241" s="14">
        <v>0</v>
      </c>
      <c r="V1241">
        <v>7674</v>
      </c>
      <c r="W1241">
        <v>14.114404296875</v>
      </c>
      <c r="X1241">
        <v>78.387060723120698</v>
      </c>
      <c r="Y1241">
        <v>0.34844698168474503</v>
      </c>
      <c r="Z1241" s="31">
        <v>1.02215196785667</v>
      </c>
      <c r="AA1241">
        <v>9.6191193460577704</v>
      </c>
      <c r="AB1241">
        <v>0.06</v>
      </c>
      <c r="AC1241">
        <v>362659.31849936</v>
      </c>
      <c r="AD1241">
        <v>410095.15735907631</v>
      </c>
      <c r="AE1241">
        <v>1</v>
      </c>
      <c r="AF1241">
        <v>4334.2023541625531</v>
      </c>
      <c r="AG1241">
        <v>6151.2723429234411</v>
      </c>
    </row>
    <row r="1242" spans="2:33" hidden="1" x14ac:dyDescent="0.25">
      <c r="B1242">
        <v>21</v>
      </c>
      <c r="C1242" t="s">
        <v>51</v>
      </c>
      <c r="D1242" t="s">
        <v>30</v>
      </c>
      <c r="E1242" t="s">
        <v>68</v>
      </c>
      <c r="F1242">
        <v>130093</v>
      </c>
      <c r="G1242">
        <v>130205</v>
      </c>
      <c r="H1242">
        <v>66</v>
      </c>
      <c r="I1242">
        <v>7</v>
      </c>
      <c r="J1242">
        <v>0</v>
      </c>
      <c r="K1242">
        <v>374412</v>
      </c>
      <c r="L1242">
        <v>74724</v>
      </c>
      <c r="M1242">
        <v>1717</v>
      </c>
      <c r="N1242">
        <v>128800</v>
      </c>
      <c r="O1242" s="43">
        <v>87000000</v>
      </c>
      <c r="P1242" s="14">
        <f t="shared" si="59"/>
        <v>1000000</v>
      </c>
      <c r="Q1242" s="14" t="str">
        <f t="shared" si="57"/>
        <v/>
      </c>
      <c r="R1242" s="14" t="str">
        <f t="shared" si="57"/>
        <v/>
      </c>
      <c r="S1242" s="14" t="str">
        <f t="shared" si="58"/>
        <v/>
      </c>
      <c r="T1242" s="14" t="s">
        <v>72</v>
      </c>
      <c r="U1242" s="14">
        <v>142857.14285714287</v>
      </c>
      <c r="V1242">
        <v>7674</v>
      </c>
      <c r="W1242">
        <v>20.732324218750001</v>
      </c>
      <c r="X1242">
        <v>35.001805665963097</v>
      </c>
      <c r="Y1242">
        <v>1.59114121663432</v>
      </c>
      <c r="Z1242" s="31">
        <v>1.9631707895975501</v>
      </c>
      <c r="AA1242">
        <v>5.0780841356247199</v>
      </c>
      <c r="AB1242">
        <v>0.06</v>
      </c>
      <c r="AC1242">
        <v>362659.31849936</v>
      </c>
      <c r="AD1242">
        <v>410095.15735907631</v>
      </c>
      <c r="AE1242">
        <v>1</v>
      </c>
      <c r="AF1242">
        <v>4334.2023541625531</v>
      </c>
      <c r="AG1242">
        <v>6151.2723429234411</v>
      </c>
    </row>
    <row r="1243" spans="2:33" hidden="1" x14ac:dyDescent="0.25">
      <c r="B1243">
        <v>21</v>
      </c>
      <c r="C1243" t="s">
        <v>51</v>
      </c>
      <c r="D1243" t="s">
        <v>30</v>
      </c>
      <c r="E1243" t="s">
        <v>68</v>
      </c>
      <c r="F1243">
        <v>130109</v>
      </c>
      <c r="G1243">
        <v>130205</v>
      </c>
      <c r="H1243">
        <v>67</v>
      </c>
      <c r="I1243">
        <v>6</v>
      </c>
      <c r="J1243">
        <v>1.3517146040000001E-2</v>
      </c>
      <c r="K1243">
        <v>374412</v>
      </c>
      <c r="L1243">
        <v>74724</v>
      </c>
      <c r="M1243">
        <v>1717</v>
      </c>
      <c r="N1243">
        <v>128800</v>
      </c>
      <c r="O1243" s="43">
        <v>88000000</v>
      </c>
      <c r="P1243" s="14">
        <f t="shared" si="59"/>
        <v>1000000</v>
      </c>
      <c r="Q1243" s="14" t="str">
        <f t="shared" si="57"/>
        <v/>
      </c>
      <c r="R1243" s="14" t="str">
        <f t="shared" si="57"/>
        <v/>
      </c>
      <c r="S1243" s="14" t="str">
        <f t="shared" si="58"/>
        <v/>
      </c>
      <c r="T1243" s="14" t="s">
        <v>72</v>
      </c>
      <c r="U1243" s="14">
        <v>166666.66666666666</v>
      </c>
      <c r="V1243">
        <v>7674</v>
      </c>
      <c r="W1243">
        <v>20.949365234375001</v>
      </c>
      <c r="X1243">
        <v>32.559930000000001</v>
      </c>
      <c r="Y1243">
        <v>1.67311170604363</v>
      </c>
      <c r="Z1243" s="31">
        <v>1.6543437249244499</v>
      </c>
      <c r="AA1243">
        <v>2.1888929419999998</v>
      </c>
      <c r="AB1243">
        <v>0.06</v>
      </c>
      <c r="AC1243">
        <v>362659.31849936</v>
      </c>
      <c r="AD1243">
        <v>410095.15735907631</v>
      </c>
      <c r="AE1243">
        <v>1</v>
      </c>
      <c r="AF1243">
        <v>4334.2023541625531</v>
      </c>
      <c r="AG1243">
        <v>6151.2723429234411</v>
      </c>
    </row>
    <row r="1244" spans="2:33" hidden="1" x14ac:dyDescent="0.25">
      <c r="B1244">
        <v>21</v>
      </c>
      <c r="C1244" t="s">
        <v>51</v>
      </c>
      <c r="D1244" t="s">
        <v>30</v>
      </c>
      <c r="E1244" t="s">
        <v>68</v>
      </c>
      <c r="F1244">
        <v>130109</v>
      </c>
      <c r="G1244">
        <v>130205</v>
      </c>
      <c r="H1244">
        <v>68</v>
      </c>
      <c r="I1244">
        <v>1</v>
      </c>
      <c r="J1244">
        <v>0</v>
      </c>
      <c r="K1244">
        <v>374412</v>
      </c>
      <c r="L1244">
        <v>74724</v>
      </c>
      <c r="M1244">
        <v>1717</v>
      </c>
      <c r="N1244">
        <v>128800</v>
      </c>
      <c r="O1244" s="43">
        <v>88900000</v>
      </c>
      <c r="P1244" s="14">
        <f t="shared" si="59"/>
        <v>900000</v>
      </c>
      <c r="Q1244" s="14" t="str">
        <f t="shared" si="57"/>
        <v/>
      </c>
      <c r="R1244" s="14" t="str">
        <f t="shared" si="57"/>
        <v/>
      </c>
      <c r="S1244" s="14" t="str">
        <f t="shared" si="58"/>
        <v/>
      </c>
      <c r="T1244" s="14" t="s">
        <v>72</v>
      </c>
      <c r="U1244" s="14">
        <v>900000</v>
      </c>
      <c r="V1244">
        <v>7674</v>
      </c>
      <c r="W1244">
        <v>13.7552734375</v>
      </c>
      <c r="X1244">
        <v>73.060676990000005</v>
      </c>
      <c r="Y1244">
        <v>0.42435078999999998</v>
      </c>
      <c r="Z1244" s="31">
        <v>1.06361466138153</v>
      </c>
      <c r="AA1244">
        <v>7.9469623227864803</v>
      </c>
      <c r="AB1244">
        <v>0.06</v>
      </c>
      <c r="AC1244">
        <v>362659.31849936</v>
      </c>
      <c r="AD1244">
        <v>410095.15735907631</v>
      </c>
      <c r="AE1244">
        <v>1</v>
      </c>
      <c r="AF1244">
        <v>4334.2023541625531</v>
      </c>
      <c r="AG1244">
        <v>6151.2723429234411</v>
      </c>
    </row>
    <row r="1245" spans="2:33" hidden="1" x14ac:dyDescent="0.25">
      <c r="B1245">
        <v>21</v>
      </c>
      <c r="C1245" t="s">
        <v>51</v>
      </c>
      <c r="D1245" t="s">
        <v>30</v>
      </c>
      <c r="E1245" t="s">
        <v>68</v>
      </c>
      <c r="F1245">
        <v>130109</v>
      </c>
      <c r="G1245">
        <v>130205</v>
      </c>
      <c r="H1245">
        <v>69</v>
      </c>
      <c r="I1245">
        <v>0</v>
      </c>
      <c r="J1245">
        <v>0</v>
      </c>
      <c r="K1245">
        <v>374412</v>
      </c>
      <c r="L1245">
        <v>74724</v>
      </c>
      <c r="M1245">
        <v>1717</v>
      </c>
      <c r="N1245">
        <v>128800</v>
      </c>
      <c r="O1245" s="43">
        <v>89943141.629999995</v>
      </c>
      <c r="P1245" s="14">
        <f t="shared" si="59"/>
        <v>1043141.6299999952</v>
      </c>
      <c r="Q1245" s="14" t="str">
        <f t="shared" si="57"/>
        <v/>
      </c>
      <c r="R1245" s="14" t="str">
        <f t="shared" si="57"/>
        <v/>
      </c>
      <c r="S1245" s="14" t="str">
        <f t="shared" si="58"/>
        <v/>
      </c>
      <c r="T1245" s="14" t="s">
        <v>72</v>
      </c>
      <c r="U1245" s="14">
        <v>0</v>
      </c>
      <c r="V1245">
        <v>7674</v>
      </c>
      <c r="W1245">
        <v>9.7552734375000192</v>
      </c>
      <c r="X1245">
        <v>76.318764845676</v>
      </c>
      <c r="Y1245">
        <v>0.28656587612029399</v>
      </c>
      <c r="Z1245" s="31">
        <v>1.6698290014095301</v>
      </c>
      <c r="AA1245">
        <v>14.6781009016716</v>
      </c>
      <c r="AB1245">
        <v>0.06</v>
      </c>
      <c r="AC1245">
        <v>362659.31849936</v>
      </c>
      <c r="AD1245">
        <v>410095.15735907631</v>
      </c>
      <c r="AE1245">
        <v>1</v>
      </c>
      <c r="AF1245">
        <v>4334.2023541625531</v>
      </c>
      <c r="AG1245">
        <v>6151.2723429234411</v>
      </c>
    </row>
    <row r="1246" spans="2:33" hidden="1" x14ac:dyDescent="0.25">
      <c r="B1246">
        <v>21</v>
      </c>
      <c r="C1246" t="s">
        <v>51</v>
      </c>
      <c r="D1246" t="s">
        <v>30</v>
      </c>
      <c r="E1246" t="s">
        <v>68</v>
      </c>
      <c r="F1246">
        <v>130110</v>
      </c>
      <c r="G1246">
        <v>130205</v>
      </c>
      <c r="H1246">
        <v>70</v>
      </c>
      <c r="I1246">
        <v>16</v>
      </c>
      <c r="J1246">
        <v>8.4482162739999995E-4</v>
      </c>
      <c r="K1246">
        <v>374412</v>
      </c>
      <c r="L1246">
        <v>74724</v>
      </c>
      <c r="M1246">
        <v>1717</v>
      </c>
      <c r="N1246">
        <v>128800</v>
      </c>
      <c r="O1246" s="43">
        <v>90678338.430000007</v>
      </c>
      <c r="P1246" s="14">
        <f t="shared" si="59"/>
        <v>735196.80000001192</v>
      </c>
      <c r="Q1246" s="14" t="str">
        <f t="shared" si="57"/>
        <v/>
      </c>
      <c r="R1246" s="14" t="str">
        <f t="shared" si="57"/>
        <v/>
      </c>
      <c r="S1246" s="14" t="str">
        <f t="shared" si="58"/>
        <v/>
      </c>
      <c r="T1246" s="14" t="s">
        <v>72</v>
      </c>
      <c r="U1246" s="14">
        <v>45949.800000000745</v>
      </c>
      <c r="V1246">
        <v>7674</v>
      </c>
      <c r="W1246">
        <v>17.534570312500001</v>
      </c>
      <c r="X1246">
        <v>33.937654969542898</v>
      </c>
      <c r="Y1246">
        <v>1.32539100197106</v>
      </c>
      <c r="Z1246" s="31">
        <v>2.1072568123919999</v>
      </c>
      <c r="AA1246">
        <v>7.1528303962377304</v>
      </c>
      <c r="AB1246">
        <v>0.06</v>
      </c>
      <c r="AC1246">
        <v>362659.31849936</v>
      </c>
      <c r="AD1246">
        <v>410095.15735907631</v>
      </c>
      <c r="AE1246">
        <v>1</v>
      </c>
      <c r="AF1246">
        <v>4334.2023541625531</v>
      </c>
      <c r="AG1246">
        <v>6151.2723429234411</v>
      </c>
    </row>
    <row r="1247" spans="2:33" hidden="1" x14ac:dyDescent="0.25">
      <c r="B1247">
        <v>21</v>
      </c>
      <c r="C1247" t="s">
        <v>51</v>
      </c>
      <c r="D1247" t="s">
        <v>30</v>
      </c>
      <c r="E1247" t="s">
        <v>68</v>
      </c>
      <c r="F1247">
        <v>130110</v>
      </c>
      <c r="G1247">
        <v>130205</v>
      </c>
      <c r="H1247">
        <v>71</v>
      </c>
      <c r="I1247">
        <v>0</v>
      </c>
      <c r="J1247">
        <v>0</v>
      </c>
      <c r="K1247">
        <v>374412</v>
      </c>
      <c r="L1247">
        <v>74724</v>
      </c>
      <c r="M1247">
        <v>1717</v>
      </c>
      <c r="N1247">
        <v>128800</v>
      </c>
      <c r="O1247" s="43">
        <v>92218182.040000007</v>
      </c>
      <c r="P1247" s="14">
        <f t="shared" si="59"/>
        <v>1539843.6099999994</v>
      </c>
      <c r="Q1247" s="14" t="str">
        <f t="shared" si="57"/>
        <v/>
      </c>
      <c r="R1247" s="14" t="str">
        <f t="shared" si="57"/>
        <v/>
      </c>
      <c r="S1247" s="14" t="str">
        <f t="shared" si="58"/>
        <v/>
      </c>
      <c r="T1247" s="14" t="s">
        <v>72</v>
      </c>
      <c r="U1247" s="14">
        <v>0</v>
      </c>
      <c r="V1247">
        <v>7674</v>
      </c>
      <c r="W1247">
        <v>20.649072265625001</v>
      </c>
      <c r="X1247">
        <v>35.008133189306697</v>
      </c>
      <c r="Y1247">
        <v>1.58286429313928</v>
      </c>
      <c r="Z1247" s="31">
        <v>1.45799706502033</v>
      </c>
      <c r="AA1247">
        <v>5.0907998852966703</v>
      </c>
      <c r="AB1247">
        <v>0.06</v>
      </c>
      <c r="AC1247">
        <v>362659.31849936</v>
      </c>
      <c r="AD1247">
        <v>410095.15735907631</v>
      </c>
      <c r="AE1247">
        <v>1</v>
      </c>
      <c r="AF1247">
        <v>4334.2023541625531</v>
      </c>
      <c r="AG1247">
        <v>6151.2723429234411</v>
      </c>
    </row>
    <row r="1248" spans="2:33" hidden="1" x14ac:dyDescent="0.25">
      <c r="B1248">
        <v>21</v>
      </c>
      <c r="C1248" t="s">
        <v>51</v>
      </c>
      <c r="D1248" t="s">
        <v>30</v>
      </c>
      <c r="E1248" t="s">
        <v>68</v>
      </c>
      <c r="F1248">
        <v>130110</v>
      </c>
      <c r="G1248">
        <v>130205</v>
      </c>
      <c r="H1248">
        <v>72</v>
      </c>
      <c r="I1248">
        <v>0</v>
      </c>
      <c r="J1248">
        <v>0</v>
      </c>
      <c r="K1248">
        <v>374412</v>
      </c>
      <c r="L1248">
        <v>74724</v>
      </c>
      <c r="M1248">
        <v>1717</v>
      </c>
      <c r="N1248">
        <v>128800</v>
      </c>
      <c r="O1248" s="43">
        <v>92789145.049999997</v>
      </c>
      <c r="P1248" s="14">
        <f t="shared" si="59"/>
        <v>570963.00999999046</v>
      </c>
      <c r="Q1248" s="14" t="str">
        <f t="shared" si="57"/>
        <v/>
      </c>
      <c r="R1248" s="14" t="str">
        <f t="shared" si="57"/>
        <v/>
      </c>
      <c r="S1248" s="14" t="str">
        <f t="shared" si="58"/>
        <v/>
      </c>
      <c r="T1248" s="14" t="s">
        <v>72</v>
      </c>
      <c r="U1248" s="14">
        <v>0</v>
      </c>
      <c r="V1248">
        <v>7674</v>
      </c>
      <c r="W1248">
        <v>22.379296875000001</v>
      </c>
      <c r="X1248">
        <v>38.186855041654297</v>
      </c>
      <c r="Y1248">
        <v>1.6732024376922601</v>
      </c>
      <c r="Z1248" s="31">
        <v>1.0866784118144099</v>
      </c>
      <c r="AA1248">
        <v>2.3094196071308302</v>
      </c>
      <c r="AB1248">
        <v>0.06</v>
      </c>
      <c r="AC1248">
        <v>362659.31849936</v>
      </c>
      <c r="AD1248">
        <v>410095.15735907631</v>
      </c>
      <c r="AE1248">
        <v>1</v>
      </c>
      <c r="AF1248">
        <v>4334.2023541625531</v>
      </c>
      <c r="AG1248">
        <v>6151.2723429234411</v>
      </c>
    </row>
    <row r="1249" spans="2:33" hidden="1" x14ac:dyDescent="0.25">
      <c r="B1249">
        <v>21</v>
      </c>
      <c r="C1249" t="s">
        <v>51</v>
      </c>
      <c r="D1249" t="s">
        <v>30</v>
      </c>
      <c r="E1249" t="s">
        <v>68</v>
      </c>
      <c r="F1249">
        <v>130112</v>
      </c>
      <c r="G1249">
        <v>130205</v>
      </c>
      <c r="H1249">
        <v>73</v>
      </c>
      <c r="I1249">
        <v>1</v>
      </c>
      <c r="J1249">
        <v>1.6896432550000001E-3</v>
      </c>
      <c r="K1249">
        <v>374412</v>
      </c>
      <c r="L1249">
        <v>74724</v>
      </c>
      <c r="M1249">
        <v>1717</v>
      </c>
      <c r="N1249">
        <v>128800</v>
      </c>
      <c r="O1249" s="43">
        <v>93672538.75</v>
      </c>
      <c r="P1249" s="14">
        <f t="shared" si="59"/>
        <v>883393.70000000298</v>
      </c>
      <c r="Q1249" s="14" t="str">
        <f t="shared" si="57"/>
        <v/>
      </c>
      <c r="R1249" s="14" t="str">
        <f t="shared" si="57"/>
        <v/>
      </c>
      <c r="S1249" s="14" t="str">
        <f t="shared" si="58"/>
        <v/>
      </c>
      <c r="T1249" s="14" t="s">
        <v>72</v>
      </c>
      <c r="U1249" s="14">
        <v>883393.70000000298</v>
      </c>
      <c r="V1249">
        <v>7674</v>
      </c>
      <c r="W1249">
        <v>22.794824218750001</v>
      </c>
      <c r="X1249">
        <v>40.549177460000003</v>
      </c>
      <c r="Y1249">
        <v>1.6502208208520801</v>
      </c>
      <c r="Z1249" s="31">
        <v>0.429753071214239</v>
      </c>
      <c r="AA1249">
        <v>2.2265789665587898</v>
      </c>
      <c r="AB1249">
        <v>0.06</v>
      </c>
      <c r="AC1249">
        <v>362659.31849936</v>
      </c>
      <c r="AD1249">
        <v>410095.15735907631</v>
      </c>
      <c r="AE1249">
        <v>1</v>
      </c>
      <c r="AF1249">
        <v>4334.2023541625531</v>
      </c>
      <c r="AG1249">
        <v>6151.2723429234411</v>
      </c>
    </row>
    <row r="1250" spans="2:33" hidden="1" x14ac:dyDescent="0.25">
      <c r="B1250">
        <v>21</v>
      </c>
      <c r="C1250" t="s">
        <v>51</v>
      </c>
      <c r="D1250" t="s">
        <v>30</v>
      </c>
      <c r="E1250" t="s">
        <v>68</v>
      </c>
      <c r="F1250">
        <v>130112</v>
      </c>
      <c r="G1250">
        <v>130205</v>
      </c>
      <c r="H1250">
        <v>74</v>
      </c>
      <c r="I1250">
        <v>0</v>
      </c>
      <c r="J1250">
        <v>0</v>
      </c>
      <c r="K1250">
        <v>374412</v>
      </c>
      <c r="L1250">
        <v>74724</v>
      </c>
      <c r="M1250">
        <v>1717</v>
      </c>
      <c r="N1250">
        <v>128800</v>
      </c>
      <c r="O1250" s="43">
        <v>94469334.609999999</v>
      </c>
      <c r="P1250" s="14">
        <f t="shared" si="59"/>
        <v>796795.8599999994</v>
      </c>
      <c r="Q1250" s="14" t="str">
        <f t="shared" si="57"/>
        <v/>
      </c>
      <c r="R1250" s="14" t="str">
        <f t="shared" si="57"/>
        <v/>
      </c>
      <c r="S1250" s="14" t="str">
        <f t="shared" si="58"/>
        <v/>
      </c>
      <c r="T1250" s="14" t="s">
        <v>72</v>
      </c>
      <c r="U1250" s="14">
        <v>0</v>
      </c>
      <c r="V1250">
        <v>7674</v>
      </c>
      <c r="W1250">
        <v>23.574365234375001</v>
      </c>
      <c r="X1250">
        <v>32.143382889999998</v>
      </c>
      <c r="Y1250">
        <v>1.9744524202704501</v>
      </c>
      <c r="Z1250" s="31">
        <v>0.96048167233988202</v>
      </c>
      <c r="AA1250">
        <v>1.81380030789423</v>
      </c>
      <c r="AB1250">
        <v>0.06</v>
      </c>
      <c r="AC1250">
        <v>362659.31849936</v>
      </c>
      <c r="AD1250">
        <v>410095.15735907631</v>
      </c>
      <c r="AE1250">
        <v>1</v>
      </c>
      <c r="AF1250">
        <v>4334.2023541625531</v>
      </c>
      <c r="AG1250">
        <v>6151.2723429234411</v>
      </c>
    </row>
    <row r="1251" spans="2:33" hidden="1" x14ac:dyDescent="0.25">
      <c r="B1251">
        <v>21</v>
      </c>
      <c r="C1251" t="s">
        <v>51</v>
      </c>
      <c r="D1251" t="s">
        <v>30</v>
      </c>
      <c r="E1251" t="s">
        <v>68</v>
      </c>
      <c r="F1251">
        <v>130112</v>
      </c>
      <c r="G1251">
        <v>130205</v>
      </c>
      <c r="H1251">
        <v>75</v>
      </c>
      <c r="I1251">
        <v>0</v>
      </c>
      <c r="J1251">
        <v>0</v>
      </c>
      <c r="K1251">
        <v>374412</v>
      </c>
      <c r="L1251">
        <v>74724</v>
      </c>
      <c r="M1251">
        <v>1717</v>
      </c>
      <c r="N1251">
        <v>128800</v>
      </c>
      <c r="O1251" s="43">
        <v>95230739.689999998</v>
      </c>
      <c r="P1251" s="14">
        <f t="shared" si="59"/>
        <v>761405.07999999821</v>
      </c>
      <c r="Q1251" s="14" t="str">
        <f t="shared" si="57"/>
        <v/>
      </c>
      <c r="R1251" s="14" t="str">
        <f t="shared" si="57"/>
        <v/>
      </c>
      <c r="S1251" s="14" t="str">
        <f t="shared" si="58"/>
        <v/>
      </c>
      <c r="T1251" s="14" t="s">
        <v>72</v>
      </c>
      <c r="U1251" s="14">
        <v>0</v>
      </c>
      <c r="V1251">
        <v>7674</v>
      </c>
      <c r="W1251">
        <v>22.662255859375001</v>
      </c>
      <c r="X1251">
        <v>45.655721417700597</v>
      </c>
      <c r="Y1251">
        <v>1.49630566084616</v>
      </c>
      <c r="Z1251" s="31">
        <v>1.8584437414892401</v>
      </c>
      <c r="AA1251">
        <v>8.7671677938499908</v>
      </c>
      <c r="AB1251">
        <v>0.06</v>
      </c>
      <c r="AC1251">
        <v>362659.31849936</v>
      </c>
      <c r="AD1251">
        <v>410095.15735907631</v>
      </c>
      <c r="AE1251">
        <v>1</v>
      </c>
      <c r="AF1251">
        <v>4334.2023541625531</v>
      </c>
      <c r="AG1251">
        <v>6151.2723429234411</v>
      </c>
    </row>
    <row r="1252" spans="2:33" hidden="1" x14ac:dyDescent="0.25">
      <c r="B1252">
        <v>21</v>
      </c>
      <c r="C1252" t="s">
        <v>51</v>
      </c>
      <c r="D1252" t="s">
        <v>30</v>
      </c>
      <c r="E1252" t="s">
        <v>68</v>
      </c>
      <c r="F1252">
        <v>130112</v>
      </c>
      <c r="G1252">
        <v>130205</v>
      </c>
      <c r="H1252">
        <v>76</v>
      </c>
      <c r="I1252">
        <v>2</v>
      </c>
      <c r="J1252">
        <v>0</v>
      </c>
      <c r="K1252">
        <v>374412</v>
      </c>
      <c r="L1252">
        <v>74724</v>
      </c>
      <c r="M1252">
        <v>1717</v>
      </c>
      <c r="N1252">
        <v>128800</v>
      </c>
      <c r="O1252" s="43">
        <v>95766288.379999995</v>
      </c>
      <c r="P1252" s="14">
        <f t="shared" si="59"/>
        <v>535548.68999999762</v>
      </c>
      <c r="Q1252" s="14" t="str">
        <f t="shared" si="57"/>
        <v/>
      </c>
      <c r="R1252" s="14" t="str">
        <f t="shared" si="57"/>
        <v/>
      </c>
      <c r="S1252" s="14" t="str">
        <f t="shared" si="58"/>
        <v/>
      </c>
      <c r="T1252" s="14" t="s">
        <v>72</v>
      </c>
      <c r="U1252" s="14">
        <v>267774.34499999881</v>
      </c>
      <c r="V1252">
        <v>7674</v>
      </c>
      <c r="W1252">
        <v>10.340234375</v>
      </c>
      <c r="X1252">
        <v>71.139805985758997</v>
      </c>
      <c r="Y1252">
        <v>0.36316523431912001</v>
      </c>
      <c r="Z1252" s="31">
        <v>1.1290734360736301</v>
      </c>
      <c r="AA1252">
        <v>6.5296186934425799</v>
      </c>
      <c r="AB1252">
        <v>0.06</v>
      </c>
      <c r="AC1252">
        <v>362659.31849936</v>
      </c>
      <c r="AD1252">
        <v>410095.15735907631</v>
      </c>
      <c r="AE1252">
        <v>1</v>
      </c>
      <c r="AF1252">
        <v>4334.2023541625531</v>
      </c>
      <c r="AG1252">
        <v>6151.2723429234411</v>
      </c>
    </row>
    <row r="1253" spans="2:33" hidden="1" x14ac:dyDescent="0.25">
      <c r="B1253">
        <v>21</v>
      </c>
      <c r="C1253" t="s">
        <v>51</v>
      </c>
      <c r="D1253" t="s">
        <v>30</v>
      </c>
      <c r="E1253" t="s">
        <v>68</v>
      </c>
      <c r="F1253">
        <v>130112</v>
      </c>
      <c r="G1253">
        <v>130205</v>
      </c>
      <c r="H1253">
        <v>77</v>
      </c>
      <c r="I1253">
        <v>0</v>
      </c>
      <c r="J1253">
        <v>0</v>
      </c>
      <c r="K1253">
        <v>374412</v>
      </c>
      <c r="L1253">
        <v>74724</v>
      </c>
      <c r="M1253">
        <v>1717</v>
      </c>
      <c r="N1253">
        <v>128800</v>
      </c>
      <c r="O1253" s="43">
        <v>96182615.409999996</v>
      </c>
      <c r="P1253" s="14">
        <f t="shared" si="59"/>
        <v>416327.03000000119</v>
      </c>
      <c r="Q1253" s="14" t="str">
        <f t="shared" si="57"/>
        <v/>
      </c>
      <c r="R1253" s="14" t="str">
        <f t="shared" si="57"/>
        <v/>
      </c>
      <c r="S1253" s="14" t="str">
        <f t="shared" si="58"/>
        <v/>
      </c>
      <c r="T1253" s="14" t="s">
        <v>72</v>
      </c>
      <c r="U1253" s="14">
        <v>0</v>
      </c>
      <c r="V1253">
        <v>7674</v>
      </c>
      <c r="W1253">
        <v>11.972314453125</v>
      </c>
      <c r="X1253">
        <v>42.146737496915897</v>
      </c>
      <c r="Y1253">
        <v>0.811181015592781</v>
      </c>
      <c r="Z1253" s="31">
        <v>1.7702585354284499</v>
      </c>
      <c r="AA1253">
        <v>4.6525668296731597</v>
      </c>
      <c r="AB1253">
        <v>0.06</v>
      </c>
      <c r="AC1253">
        <v>362659.31849936</v>
      </c>
      <c r="AD1253">
        <v>410095.15735907631</v>
      </c>
      <c r="AE1253">
        <v>1</v>
      </c>
      <c r="AF1253">
        <v>4334.2023541625531</v>
      </c>
      <c r="AG1253">
        <v>6151.2723429234411</v>
      </c>
    </row>
    <row r="1254" spans="2:33" hidden="1" x14ac:dyDescent="0.25">
      <c r="B1254">
        <v>21</v>
      </c>
      <c r="C1254" t="s">
        <v>51</v>
      </c>
      <c r="D1254" t="s">
        <v>30</v>
      </c>
      <c r="E1254" t="s">
        <v>68</v>
      </c>
      <c r="F1254">
        <v>130112</v>
      </c>
      <c r="G1254">
        <v>130205</v>
      </c>
      <c r="H1254">
        <v>78</v>
      </c>
      <c r="I1254">
        <v>0</v>
      </c>
      <c r="J1254">
        <v>0</v>
      </c>
      <c r="K1254">
        <v>374412</v>
      </c>
      <c r="L1254">
        <v>74724</v>
      </c>
      <c r="M1254">
        <v>1717</v>
      </c>
      <c r="N1254">
        <v>128800</v>
      </c>
      <c r="O1254" s="43">
        <v>96928141.629999995</v>
      </c>
      <c r="P1254" s="14">
        <f t="shared" si="59"/>
        <v>745526.21999999881</v>
      </c>
      <c r="Q1254" s="14" t="str">
        <f t="shared" si="57"/>
        <v/>
      </c>
      <c r="R1254" s="14" t="str">
        <f t="shared" si="57"/>
        <v/>
      </c>
      <c r="S1254" s="14" t="str">
        <f t="shared" si="58"/>
        <v/>
      </c>
      <c r="T1254" s="14" t="s">
        <v>72</v>
      </c>
      <c r="U1254" s="14">
        <v>0</v>
      </c>
      <c r="V1254">
        <v>7674</v>
      </c>
      <c r="W1254">
        <v>9.2672363281250192</v>
      </c>
      <c r="X1254">
        <v>91.845946084153994</v>
      </c>
      <c r="Y1254">
        <v>9.5486964999999993E-2</v>
      </c>
      <c r="Z1254" s="31">
        <v>1.02388612113733</v>
      </c>
      <c r="AA1254">
        <v>3.24618508748949</v>
      </c>
      <c r="AB1254">
        <v>0.06</v>
      </c>
      <c r="AC1254">
        <v>362659.31849936</v>
      </c>
      <c r="AD1254">
        <v>410095.15735907631</v>
      </c>
      <c r="AE1254">
        <v>1</v>
      </c>
      <c r="AF1254">
        <v>4334.2023541625531</v>
      </c>
      <c r="AG1254">
        <v>6151.2723429234411</v>
      </c>
    </row>
    <row r="1255" spans="2:33" hidden="1" x14ac:dyDescent="0.25">
      <c r="B1255">
        <v>21</v>
      </c>
      <c r="C1255" t="s">
        <v>51</v>
      </c>
      <c r="D1255" t="s">
        <v>30</v>
      </c>
      <c r="E1255" t="s">
        <v>68</v>
      </c>
      <c r="F1255">
        <v>130114</v>
      </c>
      <c r="G1255">
        <v>130205</v>
      </c>
      <c r="H1255">
        <v>79</v>
      </c>
      <c r="I1255">
        <v>0</v>
      </c>
      <c r="J1255">
        <v>1.6896432550000001E-3</v>
      </c>
      <c r="K1255">
        <v>374412</v>
      </c>
      <c r="L1255">
        <v>74724</v>
      </c>
      <c r="M1255">
        <v>1717</v>
      </c>
      <c r="N1255">
        <v>128800</v>
      </c>
      <c r="O1255" s="43">
        <v>97536407</v>
      </c>
      <c r="P1255" s="14">
        <f t="shared" si="59"/>
        <v>608265.37000000477</v>
      </c>
      <c r="Q1255" s="14" t="str">
        <f t="shared" si="57"/>
        <v/>
      </c>
      <c r="R1255" s="14" t="str">
        <f t="shared" si="57"/>
        <v/>
      </c>
      <c r="S1255" s="14" t="str">
        <f t="shared" si="58"/>
        <v/>
      </c>
      <c r="T1255" s="14" t="s">
        <v>72</v>
      </c>
      <c r="U1255" s="14">
        <v>0</v>
      </c>
      <c r="V1255">
        <v>7674</v>
      </c>
      <c r="W1255">
        <v>13.146875</v>
      </c>
      <c r="X1255">
        <v>64.832534385031394</v>
      </c>
      <c r="Y1255">
        <v>0.53250103095157797</v>
      </c>
      <c r="Z1255" s="31">
        <v>0.67295774226228999</v>
      </c>
      <c r="AA1255">
        <v>6.3295213103878796</v>
      </c>
      <c r="AB1255">
        <v>0.06</v>
      </c>
      <c r="AC1255">
        <v>362659.31849936</v>
      </c>
      <c r="AD1255">
        <v>410095.15735907631</v>
      </c>
      <c r="AE1255">
        <v>1</v>
      </c>
      <c r="AF1255">
        <v>4334.2023541625531</v>
      </c>
      <c r="AG1255">
        <v>6151.2723429234411</v>
      </c>
    </row>
    <row r="1256" spans="2:33" hidden="1" x14ac:dyDescent="0.25">
      <c r="B1256">
        <v>21</v>
      </c>
      <c r="C1256" t="s">
        <v>51</v>
      </c>
      <c r="D1256" t="s">
        <v>30</v>
      </c>
      <c r="E1256" t="s">
        <v>68</v>
      </c>
      <c r="F1256">
        <v>130114</v>
      </c>
      <c r="G1256">
        <v>130205</v>
      </c>
      <c r="H1256">
        <v>80</v>
      </c>
      <c r="I1256">
        <v>0</v>
      </c>
      <c r="J1256">
        <v>0</v>
      </c>
      <c r="K1256">
        <v>374412</v>
      </c>
      <c r="L1256">
        <v>74724</v>
      </c>
      <c r="M1256">
        <v>1717</v>
      </c>
      <c r="N1256">
        <v>128800</v>
      </c>
      <c r="O1256" s="43">
        <v>98111397</v>
      </c>
      <c r="P1256" s="14">
        <f t="shared" si="59"/>
        <v>574990</v>
      </c>
      <c r="Q1256" s="14" t="str">
        <f t="shared" si="57"/>
        <v/>
      </c>
      <c r="R1256" s="14" t="str">
        <f t="shared" si="57"/>
        <v/>
      </c>
      <c r="S1256" s="14" t="str">
        <f t="shared" si="58"/>
        <v/>
      </c>
      <c r="T1256" s="14" t="s">
        <v>72</v>
      </c>
      <c r="U1256" s="14">
        <v>0</v>
      </c>
      <c r="V1256">
        <v>7674</v>
      </c>
      <c r="W1256">
        <v>17.138085937500001</v>
      </c>
      <c r="X1256">
        <v>43.702285212026503</v>
      </c>
      <c r="Y1256">
        <v>1.1015079411058899</v>
      </c>
      <c r="Z1256" s="31">
        <v>0.63436712887888802</v>
      </c>
      <c r="AA1256">
        <v>3.5843000364251698</v>
      </c>
      <c r="AB1256">
        <v>0.06</v>
      </c>
      <c r="AC1256">
        <v>362659.31849936</v>
      </c>
      <c r="AD1256">
        <v>410095.15735907631</v>
      </c>
      <c r="AE1256">
        <v>1</v>
      </c>
      <c r="AF1256">
        <v>4334.2023541625531</v>
      </c>
      <c r="AG1256">
        <v>6151.2723429234411</v>
      </c>
    </row>
    <row r="1257" spans="2:33" hidden="1" x14ac:dyDescent="0.25">
      <c r="B1257">
        <v>21</v>
      </c>
      <c r="C1257" t="s">
        <v>51</v>
      </c>
      <c r="D1257" t="s">
        <v>30</v>
      </c>
      <c r="E1257" t="s">
        <v>68</v>
      </c>
      <c r="F1257">
        <v>130119</v>
      </c>
      <c r="G1257">
        <v>130205</v>
      </c>
      <c r="H1257">
        <v>81</v>
      </c>
      <c r="I1257">
        <v>0</v>
      </c>
      <c r="J1257">
        <v>4.2241081369999997E-3</v>
      </c>
      <c r="K1257">
        <v>374412</v>
      </c>
      <c r="L1257">
        <v>74724</v>
      </c>
      <c r="M1257">
        <v>1717</v>
      </c>
      <c r="N1257">
        <v>128800</v>
      </c>
      <c r="O1257" s="43">
        <v>98781879.519999996</v>
      </c>
      <c r="P1257" s="14">
        <f t="shared" si="59"/>
        <v>670482.51999999583</v>
      </c>
      <c r="Q1257" s="14" t="str">
        <f t="shared" si="57"/>
        <v/>
      </c>
      <c r="R1257" s="14" t="str">
        <f t="shared" si="57"/>
        <v/>
      </c>
      <c r="S1257" s="14" t="str">
        <f t="shared" si="58"/>
        <v/>
      </c>
      <c r="T1257" s="14" t="s">
        <v>72</v>
      </c>
      <c r="U1257" s="14">
        <v>0</v>
      </c>
      <c r="V1257">
        <v>7674</v>
      </c>
      <c r="W1257">
        <v>18.509179687500001</v>
      </c>
      <c r="X1257">
        <v>39.631845791744198</v>
      </c>
      <c r="Y1257">
        <v>1.28750014136312</v>
      </c>
      <c r="Z1257" s="31">
        <v>0.97321973714383303</v>
      </c>
      <c r="AA1257">
        <v>1.63980771240293</v>
      </c>
      <c r="AB1257">
        <v>0.06</v>
      </c>
      <c r="AC1257">
        <v>362659.31849936</v>
      </c>
      <c r="AD1257">
        <v>410095.15735907631</v>
      </c>
      <c r="AE1257">
        <v>1</v>
      </c>
      <c r="AF1257">
        <v>4334.2023541625531</v>
      </c>
      <c r="AG1257">
        <v>6151.2723429234411</v>
      </c>
    </row>
    <row r="1258" spans="2:33" hidden="1" x14ac:dyDescent="0.25">
      <c r="B1258">
        <v>21</v>
      </c>
      <c r="C1258" t="s">
        <v>51</v>
      </c>
      <c r="D1258" t="s">
        <v>30</v>
      </c>
      <c r="E1258" t="s">
        <v>68</v>
      </c>
      <c r="F1258">
        <v>130120</v>
      </c>
      <c r="G1258">
        <v>130205</v>
      </c>
      <c r="H1258">
        <v>82</v>
      </c>
      <c r="I1258">
        <v>2</v>
      </c>
      <c r="J1258">
        <v>8.4482162739999995E-4</v>
      </c>
      <c r="K1258">
        <v>374412</v>
      </c>
      <c r="L1258">
        <v>74724</v>
      </c>
      <c r="M1258">
        <v>1717</v>
      </c>
      <c r="N1258">
        <v>128800</v>
      </c>
      <c r="O1258" s="43">
        <v>98615544.5</v>
      </c>
      <c r="P1258" s="14">
        <f t="shared" si="59"/>
        <v>-166335.01999999583</v>
      </c>
      <c r="Q1258" s="14">
        <f t="shared" si="57"/>
        <v>-166335.01999999583</v>
      </c>
      <c r="R1258" s="14">
        <f t="shared" si="57"/>
        <v>-166335.01999999583</v>
      </c>
      <c r="S1258" s="14">
        <f t="shared" si="58"/>
        <v>27667338878.399014</v>
      </c>
      <c r="T1258" s="14">
        <v>27667338878.399014</v>
      </c>
      <c r="U1258" s="14">
        <v>-83167.509999997914</v>
      </c>
      <c r="V1258">
        <v>7674</v>
      </c>
      <c r="W1258">
        <v>19.701562500000001</v>
      </c>
      <c r="X1258">
        <v>49.168956062481897</v>
      </c>
      <c r="Y1258">
        <v>1.16747616698584</v>
      </c>
      <c r="Z1258" s="31">
        <v>0.93452122737770005</v>
      </c>
      <c r="AA1258">
        <v>4.02583237375904</v>
      </c>
      <c r="AB1258">
        <v>0.06</v>
      </c>
      <c r="AC1258">
        <v>362659.31849936</v>
      </c>
      <c r="AD1258">
        <v>410095.15735907631</v>
      </c>
      <c r="AE1258">
        <v>1</v>
      </c>
      <c r="AF1258">
        <v>4334.2023541625531</v>
      </c>
      <c r="AG1258">
        <v>6151.2723429234411</v>
      </c>
    </row>
    <row r="1259" spans="2:33" hidden="1" x14ac:dyDescent="0.25">
      <c r="B1259">
        <v>21</v>
      </c>
      <c r="C1259" t="s">
        <v>51</v>
      </c>
      <c r="D1259" t="s">
        <v>30</v>
      </c>
      <c r="E1259" t="s">
        <v>68</v>
      </c>
      <c r="F1259">
        <v>130120</v>
      </c>
      <c r="G1259">
        <v>130205</v>
      </c>
      <c r="H1259">
        <v>83</v>
      </c>
      <c r="I1259">
        <v>0</v>
      </c>
      <c r="J1259">
        <v>0</v>
      </c>
      <c r="K1259">
        <v>374412</v>
      </c>
      <c r="L1259">
        <v>74724</v>
      </c>
      <c r="M1259">
        <v>1717</v>
      </c>
      <c r="N1259">
        <v>128800</v>
      </c>
      <c r="O1259" s="43">
        <v>97834809</v>
      </c>
      <c r="P1259" s="14">
        <f t="shared" si="59"/>
        <v>-780735.5</v>
      </c>
      <c r="Q1259" s="14">
        <f t="shared" si="57"/>
        <v>-780735.5</v>
      </c>
      <c r="R1259" s="14">
        <f t="shared" si="57"/>
        <v>-780735.5</v>
      </c>
      <c r="S1259" s="14">
        <f t="shared" si="58"/>
        <v>609547920960.25</v>
      </c>
      <c r="T1259" s="14">
        <v>609547920960.25</v>
      </c>
      <c r="U1259" s="14">
        <v>0</v>
      </c>
      <c r="V1259">
        <v>7674</v>
      </c>
      <c r="W1259">
        <v>19.078027343750001</v>
      </c>
      <c r="X1259">
        <v>44.981056306274198</v>
      </c>
      <c r="Y1259">
        <v>1.2157377148622901</v>
      </c>
      <c r="Z1259" s="31">
        <v>0.95245845500000004</v>
      </c>
      <c r="AA1259">
        <v>3.4205979592119999</v>
      </c>
      <c r="AB1259">
        <v>0.06</v>
      </c>
      <c r="AC1259">
        <v>362659.31849936</v>
      </c>
      <c r="AD1259">
        <v>410095.15735907631</v>
      </c>
      <c r="AE1259">
        <v>1</v>
      </c>
      <c r="AF1259">
        <v>4334.2023541625531</v>
      </c>
      <c r="AG1259">
        <v>6151.2723429234411</v>
      </c>
    </row>
    <row r="1260" spans="2:33" hidden="1" x14ac:dyDescent="0.25">
      <c r="B1260">
        <v>21</v>
      </c>
      <c r="C1260" t="s">
        <v>51</v>
      </c>
      <c r="D1260" t="s">
        <v>30</v>
      </c>
      <c r="E1260" t="s">
        <v>68</v>
      </c>
      <c r="F1260">
        <v>130123</v>
      </c>
      <c r="G1260">
        <v>130205</v>
      </c>
      <c r="H1260">
        <v>84</v>
      </c>
      <c r="I1260">
        <v>5</v>
      </c>
      <c r="J1260">
        <v>2.5344648820000001E-3</v>
      </c>
      <c r="K1260">
        <v>374412</v>
      </c>
      <c r="L1260">
        <v>74724</v>
      </c>
      <c r="M1260">
        <v>1717</v>
      </c>
      <c r="N1260">
        <v>128800</v>
      </c>
      <c r="O1260" s="43">
        <v>97707329</v>
      </c>
      <c r="P1260" s="14">
        <f t="shared" si="59"/>
        <v>-127480</v>
      </c>
      <c r="Q1260" s="14">
        <f t="shared" si="57"/>
        <v>-127480</v>
      </c>
      <c r="R1260" s="14">
        <f t="shared" si="57"/>
        <v>-127480</v>
      </c>
      <c r="S1260" s="14">
        <f t="shared" si="58"/>
        <v>16251150400</v>
      </c>
      <c r="T1260" s="14">
        <v>16251150400</v>
      </c>
      <c r="U1260" s="14">
        <v>-25496</v>
      </c>
      <c r="V1260">
        <v>7674</v>
      </c>
      <c r="W1260">
        <v>18.109033203125001</v>
      </c>
      <c r="X1260">
        <v>45.916357014492803</v>
      </c>
      <c r="Y1260">
        <v>1.1248618322147399</v>
      </c>
      <c r="Z1260" s="31">
        <v>1.1327239208489199</v>
      </c>
      <c r="AA1260">
        <v>1.6365310193839</v>
      </c>
      <c r="AB1260">
        <v>0.06</v>
      </c>
      <c r="AC1260">
        <v>362659.31849936</v>
      </c>
      <c r="AD1260">
        <v>410095.15735907631</v>
      </c>
      <c r="AE1260">
        <v>1</v>
      </c>
      <c r="AF1260">
        <v>4334.2023541625531</v>
      </c>
      <c r="AG1260">
        <v>6151.2723429234411</v>
      </c>
    </row>
    <row r="1261" spans="2:33" hidden="1" x14ac:dyDescent="0.25">
      <c r="B1261">
        <v>21</v>
      </c>
      <c r="C1261" t="s">
        <v>51</v>
      </c>
      <c r="D1261" t="s">
        <v>30</v>
      </c>
      <c r="E1261" t="s">
        <v>68</v>
      </c>
      <c r="F1261">
        <v>130123</v>
      </c>
      <c r="G1261">
        <v>130205</v>
      </c>
      <c r="H1261">
        <v>85</v>
      </c>
      <c r="I1261">
        <v>1</v>
      </c>
      <c r="J1261">
        <v>0</v>
      </c>
      <c r="K1261">
        <v>374412</v>
      </c>
      <c r="L1261">
        <v>74724</v>
      </c>
      <c r="M1261">
        <v>1717</v>
      </c>
      <c r="N1261">
        <v>128800</v>
      </c>
      <c r="O1261" s="43">
        <v>97456122</v>
      </c>
      <c r="P1261" s="14">
        <f t="shared" si="59"/>
        <v>-251207</v>
      </c>
      <c r="Q1261" s="14">
        <f t="shared" si="57"/>
        <v>-251207</v>
      </c>
      <c r="R1261" s="14">
        <f t="shared" si="57"/>
        <v>-251207</v>
      </c>
      <c r="S1261" s="14">
        <f t="shared" si="58"/>
        <v>63104956849</v>
      </c>
      <c r="T1261" s="14">
        <v>63104956849</v>
      </c>
      <c r="U1261" s="14">
        <v>-251207</v>
      </c>
      <c r="V1261">
        <v>7674</v>
      </c>
      <c r="W1261">
        <v>16.252587890625001</v>
      </c>
      <c r="X1261">
        <v>52.545564348293901</v>
      </c>
      <c r="Y1261">
        <v>0.87772720107500901</v>
      </c>
      <c r="Z1261" s="31">
        <v>1.14689457216716</v>
      </c>
      <c r="AA1261">
        <v>2.8956794860358799</v>
      </c>
      <c r="AB1261">
        <v>0.06</v>
      </c>
      <c r="AC1261">
        <v>362659.31849936</v>
      </c>
      <c r="AD1261">
        <v>410095.15735907631</v>
      </c>
      <c r="AE1261">
        <v>1</v>
      </c>
      <c r="AF1261">
        <v>4334.2023541625531</v>
      </c>
      <c r="AG1261">
        <v>6151.2723429234411</v>
      </c>
    </row>
    <row r="1262" spans="2:33" hidden="1" x14ac:dyDescent="0.25">
      <c r="B1262">
        <v>21</v>
      </c>
      <c r="C1262" t="s">
        <v>51</v>
      </c>
      <c r="D1262" t="s">
        <v>30</v>
      </c>
      <c r="E1262" t="s">
        <v>68</v>
      </c>
      <c r="F1262">
        <v>130130</v>
      </c>
      <c r="G1262">
        <v>130205</v>
      </c>
      <c r="H1262">
        <v>86</v>
      </c>
      <c r="I1262">
        <v>0</v>
      </c>
      <c r="J1262">
        <v>5.9137513920000002E-3</v>
      </c>
      <c r="K1262">
        <v>374412</v>
      </c>
      <c r="L1262">
        <v>74724</v>
      </c>
      <c r="M1262">
        <v>1717</v>
      </c>
      <c r="N1262">
        <v>128800</v>
      </c>
      <c r="O1262" s="43">
        <v>98168591.340000004</v>
      </c>
      <c r="P1262" s="14">
        <f t="shared" si="59"/>
        <v>712469.34000000358</v>
      </c>
      <c r="Q1262" s="14" t="str">
        <f t="shared" si="57"/>
        <v/>
      </c>
      <c r="R1262" s="14" t="str">
        <f t="shared" si="57"/>
        <v/>
      </c>
      <c r="S1262" s="14" t="str">
        <f t="shared" si="58"/>
        <v/>
      </c>
      <c r="T1262" s="14" t="s">
        <v>72</v>
      </c>
      <c r="U1262" s="14">
        <v>0</v>
      </c>
      <c r="V1262">
        <v>7674</v>
      </c>
      <c r="W1262">
        <v>18.026757812500001</v>
      </c>
      <c r="X1262">
        <v>52.228509404777803</v>
      </c>
      <c r="Y1262">
        <v>0.98840206672395403</v>
      </c>
      <c r="Z1262" s="31">
        <v>1.32242558336206</v>
      </c>
      <c r="AA1262">
        <v>3.4214570403477</v>
      </c>
      <c r="AB1262">
        <v>0.06</v>
      </c>
      <c r="AC1262">
        <v>362659.31849936</v>
      </c>
      <c r="AD1262">
        <v>410095.15735907631</v>
      </c>
      <c r="AE1262">
        <v>1</v>
      </c>
      <c r="AF1262">
        <v>4334.2023541625531</v>
      </c>
      <c r="AG1262">
        <v>6151.2723429234411</v>
      </c>
    </row>
    <row r="1263" spans="2:33" hidden="1" x14ac:dyDescent="0.25">
      <c r="B1263">
        <v>21</v>
      </c>
      <c r="C1263" t="s">
        <v>51</v>
      </c>
      <c r="D1263" t="s">
        <v>30</v>
      </c>
      <c r="E1263" t="s">
        <v>68</v>
      </c>
      <c r="F1263">
        <v>130130</v>
      </c>
      <c r="G1263">
        <v>130205</v>
      </c>
      <c r="H1263">
        <v>87</v>
      </c>
      <c r="I1263">
        <v>3</v>
      </c>
      <c r="J1263">
        <v>0</v>
      </c>
      <c r="K1263">
        <v>374412</v>
      </c>
      <c r="L1263">
        <v>74724</v>
      </c>
      <c r="M1263">
        <v>1717</v>
      </c>
      <c r="N1263">
        <v>128800</v>
      </c>
      <c r="O1263" s="43">
        <v>98014368.849999994</v>
      </c>
      <c r="P1263" s="14">
        <f t="shared" si="59"/>
        <v>-154222.49000000954</v>
      </c>
      <c r="Q1263" s="14">
        <f t="shared" si="57"/>
        <v>-154222.49000000954</v>
      </c>
      <c r="R1263" s="14">
        <f t="shared" si="57"/>
        <v>-154222.49000000954</v>
      </c>
      <c r="S1263" s="14">
        <f t="shared" si="58"/>
        <v>23784576421.803043</v>
      </c>
      <c r="T1263" s="14">
        <v>23784576421.803043</v>
      </c>
      <c r="U1263" s="14">
        <v>-51407.496666669846</v>
      </c>
      <c r="V1263">
        <v>7674</v>
      </c>
      <c r="W1263">
        <v>17.140039062500001</v>
      </c>
      <c r="X1263">
        <v>33.471602942166299</v>
      </c>
      <c r="Y1263">
        <v>1.3019217338959601</v>
      </c>
      <c r="Z1263" s="31">
        <v>1.8592552581766499</v>
      </c>
      <c r="AA1263">
        <v>9.9206737349999994</v>
      </c>
      <c r="AB1263">
        <v>0.06</v>
      </c>
      <c r="AC1263">
        <v>362659.31849936</v>
      </c>
      <c r="AD1263">
        <v>410095.15735907631</v>
      </c>
      <c r="AE1263">
        <v>1</v>
      </c>
      <c r="AF1263">
        <v>4334.2023541625531</v>
      </c>
      <c r="AG1263">
        <v>6151.2723429234411</v>
      </c>
    </row>
    <row r="1264" spans="2:33" hidden="1" x14ac:dyDescent="0.25">
      <c r="B1264">
        <v>21</v>
      </c>
      <c r="C1264" t="s">
        <v>51</v>
      </c>
      <c r="D1264" t="s">
        <v>30</v>
      </c>
      <c r="E1264" t="s">
        <v>68</v>
      </c>
      <c r="F1264">
        <v>130130</v>
      </c>
      <c r="G1264">
        <v>130205</v>
      </c>
      <c r="H1264">
        <v>88</v>
      </c>
      <c r="I1264">
        <v>0</v>
      </c>
      <c r="J1264">
        <v>0</v>
      </c>
      <c r="K1264">
        <v>374412</v>
      </c>
      <c r="L1264">
        <v>74724</v>
      </c>
      <c r="M1264">
        <v>1717</v>
      </c>
      <c r="N1264">
        <v>128800</v>
      </c>
      <c r="O1264" s="43">
        <v>97867255.75</v>
      </c>
      <c r="P1264" s="14">
        <f t="shared" si="59"/>
        <v>-147113.09999999404</v>
      </c>
      <c r="Q1264" s="14">
        <f t="shared" si="57"/>
        <v>-147113.09999999404</v>
      </c>
      <c r="R1264" s="14">
        <f t="shared" si="57"/>
        <v>-147113.09999999404</v>
      </c>
      <c r="S1264" s="14">
        <f t="shared" si="58"/>
        <v>21642264191.608246</v>
      </c>
      <c r="T1264" s="14">
        <v>21642264191.608246</v>
      </c>
      <c r="U1264" s="14">
        <v>0</v>
      </c>
      <c r="V1264">
        <v>7674</v>
      </c>
      <c r="W1264">
        <v>13.6400390625</v>
      </c>
      <c r="X1264">
        <v>40.317550283677399</v>
      </c>
      <c r="Y1264">
        <v>0.93327182322080204</v>
      </c>
      <c r="Z1264" s="31">
        <v>2.7175986975787998</v>
      </c>
      <c r="AA1264">
        <v>12.774226947773601</v>
      </c>
      <c r="AB1264">
        <v>0.06</v>
      </c>
      <c r="AC1264">
        <v>362659.31849936</v>
      </c>
      <c r="AD1264">
        <v>410095.15735907631</v>
      </c>
      <c r="AE1264">
        <v>1</v>
      </c>
      <c r="AF1264">
        <v>4334.2023541625531</v>
      </c>
      <c r="AG1264">
        <v>6151.2723429234411</v>
      </c>
    </row>
    <row r="1265" spans="2:33" hidden="1" x14ac:dyDescent="0.25">
      <c r="B1265">
        <v>21</v>
      </c>
      <c r="C1265" t="s">
        <v>51</v>
      </c>
      <c r="D1265" t="s">
        <v>30</v>
      </c>
      <c r="E1265" t="s">
        <v>68</v>
      </c>
      <c r="F1265">
        <v>130144</v>
      </c>
      <c r="G1265">
        <v>130205</v>
      </c>
      <c r="H1265">
        <v>89</v>
      </c>
      <c r="I1265">
        <v>7</v>
      </c>
      <c r="J1265">
        <v>1.1827502780000001E-2</v>
      </c>
      <c r="K1265">
        <v>374412</v>
      </c>
      <c r="L1265">
        <v>74724</v>
      </c>
      <c r="M1265">
        <v>1717</v>
      </c>
      <c r="N1265">
        <v>128800</v>
      </c>
      <c r="O1265" s="43">
        <v>98235665</v>
      </c>
      <c r="P1265" s="14">
        <f t="shared" si="59"/>
        <v>368409.25</v>
      </c>
      <c r="Q1265" s="14" t="str">
        <f t="shared" si="57"/>
        <v/>
      </c>
      <c r="R1265" s="14" t="str">
        <f t="shared" si="57"/>
        <v/>
      </c>
      <c r="S1265" s="14" t="str">
        <f t="shared" si="58"/>
        <v/>
      </c>
      <c r="T1265" s="14" t="s">
        <v>72</v>
      </c>
      <c r="U1265" s="14">
        <v>52629.892857142855</v>
      </c>
      <c r="V1265">
        <v>7674</v>
      </c>
      <c r="W1265">
        <v>15.89248046875</v>
      </c>
      <c r="X1265">
        <v>39.074327400000001</v>
      </c>
      <c r="Y1265">
        <v>1.1014254811970201</v>
      </c>
      <c r="Z1265" s="31">
        <v>1.76105223315145</v>
      </c>
      <c r="AA1265">
        <v>10.708610142541501</v>
      </c>
      <c r="AB1265">
        <v>0.06</v>
      </c>
      <c r="AC1265">
        <v>362659.31849936</v>
      </c>
      <c r="AD1265">
        <v>410095.15735907631</v>
      </c>
      <c r="AE1265">
        <v>1</v>
      </c>
      <c r="AF1265">
        <v>4334.2023541625531</v>
      </c>
      <c r="AG1265">
        <v>6151.2723429234411</v>
      </c>
    </row>
    <row r="1266" spans="2:33" hidden="1" x14ac:dyDescent="0.25">
      <c r="B1266">
        <v>21</v>
      </c>
      <c r="C1266" t="s">
        <v>51</v>
      </c>
      <c r="D1266" t="s">
        <v>30</v>
      </c>
      <c r="E1266" t="s">
        <v>68</v>
      </c>
      <c r="G1266">
        <v>130205</v>
      </c>
      <c r="H1266">
        <v>90</v>
      </c>
      <c r="I1266">
        <v>0</v>
      </c>
      <c r="J1266">
        <v>0</v>
      </c>
      <c r="K1266">
        <v>374412</v>
      </c>
      <c r="L1266">
        <v>74724</v>
      </c>
      <c r="M1266">
        <v>1717</v>
      </c>
      <c r="N1266">
        <v>128800</v>
      </c>
      <c r="O1266" s="43">
        <v>98235665</v>
      </c>
      <c r="P1266" s="14">
        <f t="shared" si="59"/>
        <v>0</v>
      </c>
      <c r="Q1266" s="14" t="str">
        <f t="shared" si="57"/>
        <v/>
      </c>
      <c r="R1266" s="14" t="str">
        <f t="shared" si="57"/>
        <v/>
      </c>
      <c r="S1266" s="14" t="str">
        <f t="shared" si="58"/>
        <v/>
      </c>
      <c r="T1266" s="14" t="s">
        <v>72</v>
      </c>
      <c r="U1266" s="14">
        <v>0</v>
      </c>
      <c r="V1266">
        <v>7674</v>
      </c>
      <c r="W1266">
        <v>16.981591796875001</v>
      </c>
      <c r="X1266">
        <v>44.859092605885202</v>
      </c>
      <c r="Y1266">
        <v>1.06824179963002</v>
      </c>
      <c r="Z1266" s="31">
        <v>1.4998036554256999</v>
      </c>
      <c r="AA1266">
        <v>6.7778146088599298</v>
      </c>
      <c r="AB1266">
        <v>0.06</v>
      </c>
      <c r="AC1266">
        <v>362659.31849936</v>
      </c>
      <c r="AD1266">
        <v>410095.15735907631</v>
      </c>
      <c r="AE1266">
        <v>1</v>
      </c>
      <c r="AF1266">
        <v>4334.2023541625531</v>
      </c>
      <c r="AG1266">
        <v>6151.2723429234411</v>
      </c>
    </row>
    <row r="1267" spans="2:33" hidden="1" x14ac:dyDescent="0.25">
      <c r="B1267">
        <v>21</v>
      </c>
      <c r="C1267" t="s">
        <v>51</v>
      </c>
      <c r="D1267" t="s">
        <v>30</v>
      </c>
      <c r="E1267" t="s">
        <v>68</v>
      </c>
      <c r="G1267">
        <v>130205</v>
      </c>
      <c r="H1267">
        <v>91</v>
      </c>
      <c r="I1267">
        <v>0</v>
      </c>
      <c r="J1267">
        <v>0</v>
      </c>
      <c r="K1267">
        <v>374412</v>
      </c>
      <c r="L1267">
        <v>74724</v>
      </c>
      <c r="M1267">
        <v>1717</v>
      </c>
      <c r="N1267">
        <v>128800</v>
      </c>
      <c r="O1267" s="43">
        <v>98235665</v>
      </c>
      <c r="P1267" s="14">
        <f t="shared" si="59"/>
        <v>0</v>
      </c>
      <c r="Q1267" s="14" t="str">
        <f t="shared" si="57"/>
        <v/>
      </c>
      <c r="R1267" s="14" t="str">
        <f t="shared" si="57"/>
        <v/>
      </c>
      <c r="S1267" s="14" t="str">
        <f t="shared" si="58"/>
        <v/>
      </c>
      <c r="T1267" s="14" t="s">
        <v>72</v>
      </c>
      <c r="U1267" s="14">
        <v>0</v>
      </c>
      <c r="V1267">
        <v>7674</v>
      </c>
      <c r="W1267">
        <v>16.403710937500001</v>
      </c>
      <c r="X1267">
        <v>35.854212102474598</v>
      </c>
      <c r="Y1267">
        <v>1.1980392070269901</v>
      </c>
      <c r="Z1267" s="31">
        <v>1.997899748</v>
      </c>
      <c r="AA1267">
        <v>7.3567816935957699</v>
      </c>
      <c r="AB1267">
        <v>0.06</v>
      </c>
      <c r="AC1267">
        <v>362659.31849936</v>
      </c>
      <c r="AD1267">
        <v>410095.15735907631</v>
      </c>
      <c r="AE1267">
        <v>1</v>
      </c>
      <c r="AF1267">
        <v>4334.2023541625531</v>
      </c>
      <c r="AG1267">
        <v>6151.2723429234411</v>
      </c>
    </row>
    <row r="1268" spans="2:33" hidden="1" x14ac:dyDescent="0.25">
      <c r="B1268">
        <v>21</v>
      </c>
      <c r="C1268" t="s">
        <v>51</v>
      </c>
      <c r="D1268" t="s">
        <v>30</v>
      </c>
      <c r="E1268" t="s">
        <v>68</v>
      </c>
      <c r="G1268">
        <v>130205</v>
      </c>
      <c r="H1268">
        <v>92</v>
      </c>
      <c r="I1268">
        <v>14</v>
      </c>
      <c r="J1268">
        <v>0</v>
      </c>
      <c r="K1268">
        <v>374412</v>
      </c>
      <c r="L1268">
        <v>74724</v>
      </c>
      <c r="M1268">
        <v>1717</v>
      </c>
      <c r="N1268">
        <v>128800</v>
      </c>
      <c r="O1268" s="43">
        <v>98235665</v>
      </c>
      <c r="P1268" s="14">
        <f t="shared" si="59"/>
        <v>0</v>
      </c>
      <c r="Q1268" s="14" t="str">
        <f t="shared" si="57"/>
        <v/>
      </c>
      <c r="R1268" s="14" t="str">
        <f t="shared" si="57"/>
        <v/>
      </c>
      <c r="S1268" s="14" t="str">
        <f t="shared" si="58"/>
        <v/>
      </c>
      <c r="T1268" s="14" t="s">
        <v>72</v>
      </c>
      <c r="U1268" s="14">
        <v>0</v>
      </c>
      <c r="V1268">
        <v>7674</v>
      </c>
      <c r="W1268">
        <v>13.86904296875</v>
      </c>
      <c r="X1268">
        <v>46.007107633766203</v>
      </c>
      <c r="Y1268">
        <v>0.85693425346863294</v>
      </c>
      <c r="Z1268" s="31">
        <v>1.6486975051814801</v>
      </c>
      <c r="AA1268">
        <v>2.8891797513137698</v>
      </c>
      <c r="AB1268">
        <v>0.06</v>
      </c>
      <c r="AC1268">
        <v>362659.31849936</v>
      </c>
      <c r="AD1268">
        <v>410095.15735907631</v>
      </c>
      <c r="AE1268">
        <v>1</v>
      </c>
      <c r="AF1268">
        <v>4334.2023541625531</v>
      </c>
      <c r="AG1268">
        <v>6151.2723429234411</v>
      </c>
    </row>
    <row r="1269" spans="2:33" hidden="1" x14ac:dyDescent="0.25">
      <c r="B1269">
        <v>21</v>
      </c>
      <c r="C1269" t="s">
        <v>51</v>
      </c>
      <c r="D1269" t="s">
        <v>30</v>
      </c>
      <c r="E1269" t="s">
        <v>68</v>
      </c>
      <c r="G1269">
        <v>130205</v>
      </c>
      <c r="H1269">
        <v>93</v>
      </c>
      <c r="I1269">
        <v>0</v>
      </c>
      <c r="J1269">
        <v>0</v>
      </c>
      <c r="K1269">
        <v>374412</v>
      </c>
      <c r="L1269">
        <v>74724</v>
      </c>
      <c r="M1269">
        <v>1717</v>
      </c>
      <c r="N1269">
        <v>128800</v>
      </c>
      <c r="O1269" s="43">
        <v>98235665</v>
      </c>
      <c r="P1269" s="14">
        <f t="shared" si="59"/>
        <v>0</v>
      </c>
      <c r="Q1269" s="14" t="str">
        <f t="shared" si="57"/>
        <v/>
      </c>
      <c r="R1269" s="14" t="str">
        <f t="shared" si="57"/>
        <v/>
      </c>
      <c r="S1269" s="14" t="str">
        <f t="shared" si="58"/>
        <v/>
      </c>
      <c r="T1269" s="14" t="s">
        <v>72</v>
      </c>
      <c r="U1269" s="14">
        <v>0</v>
      </c>
      <c r="V1269">
        <v>7674</v>
      </c>
      <c r="W1269">
        <v>16.383691406250001</v>
      </c>
      <c r="X1269">
        <v>31.162528992169399</v>
      </c>
      <c r="Y1269">
        <v>1.2840484391373601</v>
      </c>
      <c r="Z1269" s="31">
        <v>0.981281514638353</v>
      </c>
      <c r="AA1269">
        <v>1.1789234625779199</v>
      </c>
      <c r="AB1269">
        <v>0.06</v>
      </c>
      <c r="AC1269">
        <v>362659.31849936</v>
      </c>
      <c r="AD1269">
        <v>410095.15735907631</v>
      </c>
      <c r="AE1269">
        <v>1</v>
      </c>
      <c r="AF1269">
        <v>4334.2023541625531</v>
      </c>
      <c r="AG1269">
        <v>6151.2723429234411</v>
      </c>
    </row>
    <row r="1270" spans="2:33" hidden="1" x14ac:dyDescent="0.25">
      <c r="B1270">
        <v>21</v>
      </c>
      <c r="C1270" t="s">
        <v>51</v>
      </c>
      <c r="D1270" t="s">
        <v>30</v>
      </c>
      <c r="E1270" t="s">
        <v>68</v>
      </c>
      <c r="G1270">
        <v>130205</v>
      </c>
      <c r="H1270">
        <v>94</v>
      </c>
      <c r="I1270">
        <v>0</v>
      </c>
      <c r="J1270">
        <v>0</v>
      </c>
      <c r="K1270">
        <v>374412</v>
      </c>
      <c r="L1270">
        <v>74724</v>
      </c>
      <c r="M1270">
        <v>1717</v>
      </c>
      <c r="N1270">
        <v>128800</v>
      </c>
      <c r="O1270" s="43">
        <v>98235665</v>
      </c>
      <c r="P1270" s="14">
        <f t="shared" si="59"/>
        <v>0</v>
      </c>
      <c r="Q1270" s="14" t="str">
        <f t="shared" si="57"/>
        <v/>
      </c>
      <c r="R1270" s="14" t="str">
        <f t="shared" si="57"/>
        <v/>
      </c>
      <c r="S1270" s="14" t="str">
        <f t="shared" si="58"/>
        <v/>
      </c>
      <c r="T1270" s="14" t="s">
        <v>72</v>
      </c>
      <c r="U1270" s="14">
        <v>0</v>
      </c>
      <c r="V1270">
        <v>7674</v>
      </c>
      <c r="W1270">
        <v>17.591943359375001</v>
      </c>
      <c r="X1270">
        <v>32.584816877757397</v>
      </c>
      <c r="Y1270">
        <v>1.3574392470647201</v>
      </c>
      <c r="Z1270" s="31">
        <v>0.86341791411634905</v>
      </c>
      <c r="AA1270">
        <v>1.76167261863891</v>
      </c>
      <c r="AB1270">
        <v>0.06</v>
      </c>
      <c r="AC1270">
        <v>362659.31849936</v>
      </c>
      <c r="AD1270">
        <v>410095.15735907631</v>
      </c>
      <c r="AE1270">
        <v>1</v>
      </c>
      <c r="AF1270">
        <v>4334.2023541625531</v>
      </c>
      <c r="AG1270">
        <v>6151.2723429234411</v>
      </c>
    </row>
    <row r="1271" spans="2:33" hidden="1" x14ac:dyDescent="0.25">
      <c r="B1271">
        <v>21</v>
      </c>
      <c r="C1271" t="s">
        <v>51</v>
      </c>
      <c r="D1271" t="s">
        <v>30</v>
      </c>
      <c r="E1271" t="s">
        <v>68</v>
      </c>
      <c r="G1271">
        <v>130205</v>
      </c>
      <c r="H1271">
        <v>95</v>
      </c>
      <c r="I1271">
        <v>0</v>
      </c>
      <c r="J1271">
        <v>0</v>
      </c>
      <c r="K1271">
        <v>374412</v>
      </c>
      <c r="L1271">
        <v>74724</v>
      </c>
      <c r="M1271">
        <v>1717</v>
      </c>
      <c r="N1271">
        <v>128800</v>
      </c>
      <c r="O1271" s="43">
        <v>98235665</v>
      </c>
      <c r="P1271" s="14">
        <f t="shared" si="59"/>
        <v>0</v>
      </c>
      <c r="Q1271" s="14" t="str">
        <f t="shared" si="57"/>
        <v/>
      </c>
      <c r="R1271" s="14" t="str">
        <f t="shared" si="57"/>
        <v/>
      </c>
      <c r="S1271" s="14" t="str">
        <f t="shared" si="58"/>
        <v/>
      </c>
      <c r="T1271" s="14" t="s">
        <v>72</v>
      </c>
      <c r="U1271" s="14">
        <v>0</v>
      </c>
      <c r="V1271">
        <v>7674</v>
      </c>
      <c r="W1271">
        <v>17.962060546875001</v>
      </c>
      <c r="X1271">
        <v>34.141506134426898</v>
      </c>
      <c r="Y1271">
        <v>1.35731301421318</v>
      </c>
      <c r="Z1271" s="31">
        <v>1.2966150511078001</v>
      </c>
      <c r="AA1271">
        <v>3.4748435904428701</v>
      </c>
      <c r="AB1271">
        <v>0.06</v>
      </c>
      <c r="AC1271">
        <v>362659.31849936</v>
      </c>
      <c r="AD1271">
        <v>410095.15735907631</v>
      </c>
      <c r="AE1271">
        <v>1</v>
      </c>
      <c r="AF1271">
        <v>4334.2023541625531</v>
      </c>
      <c r="AG1271">
        <v>6151.2723429234411</v>
      </c>
    </row>
    <row r="1272" spans="2:33" hidden="1" x14ac:dyDescent="0.25">
      <c r="B1272">
        <v>21</v>
      </c>
      <c r="C1272" t="s">
        <v>51</v>
      </c>
      <c r="D1272" t="s">
        <v>30</v>
      </c>
      <c r="E1272" t="s">
        <v>68</v>
      </c>
      <c r="F1272">
        <v>130198</v>
      </c>
      <c r="G1272">
        <v>130205</v>
      </c>
      <c r="H1272">
        <v>96</v>
      </c>
      <c r="I1272">
        <v>0</v>
      </c>
      <c r="J1272">
        <v>4.5620367879999998E-2</v>
      </c>
      <c r="K1272">
        <v>374412</v>
      </c>
      <c r="L1272">
        <v>74724</v>
      </c>
      <c r="M1272">
        <v>1717</v>
      </c>
      <c r="N1272">
        <v>128800</v>
      </c>
      <c r="O1272" s="43">
        <v>98200000</v>
      </c>
      <c r="P1272" s="14">
        <f t="shared" si="59"/>
        <v>-35665</v>
      </c>
      <c r="Q1272" s="14">
        <f t="shared" si="57"/>
        <v>-35665</v>
      </c>
      <c r="R1272" s="14">
        <f t="shared" si="57"/>
        <v>-35665</v>
      </c>
      <c r="S1272" s="14">
        <f t="shared" si="58"/>
        <v>1271992225</v>
      </c>
      <c r="T1272" s="14">
        <v>1271992225</v>
      </c>
      <c r="U1272" s="14">
        <v>0</v>
      </c>
      <c r="V1272">
        <v>7674</v>
      </c>
      <c r="W1272">
        <v>18.215234375000001</v>
      </c>
      <c r="X1272">
        <v>30.198936045463402</v>
      </c>
      <c r="Y1272">
        <v>1.4616319500925401</v>
      </c>
      <c r="Z1272" s="31">
        <v>0.99515151965109705</v>
      </c>
      <c r="AA1272">
        <v>3.6078260205500499</v>
      </c>
      <c r="AB1272">
        <v>0.06</v>
      </c>
      <c r="AC1272">
        <v>362659.31849936</v>
      </c>
      <c r="AD1272">
        <v>410095.15735907631</v>
      </c>
      <c r="AE1272">
        <v>1</v>
      </c>
      <c r="AF1272">
        <v>4334.2023541625531</v>
      </c>
      <c r="AG1272">
        <v>6151.2723429234411</v>
      </c>
    </row>
    <row r="1273" spans="2:33" hidden="1" x14ac:dyDescent="0.25">
      <c r="B1273">
        <v>21</v>
      </c>
      <c r="C1273" t="s">
        <v>51</v>
      </c>
      <c r="D1273" t="s">
        <v>30</v>
      </c>
      <c r="E1273" t="s">
        <v>68</v>
      </c>
      <c r="G1273">
        <v>130205</v>
      </c>
      <c r="H1273">
        <v>97</v>
      </c>
      <c r="I1273">
        <v>0</v>
      </c>
      <c r="J1273">
        <v>0</v>
      </c>
      <c r="K1273">
        <v>374412</v>
      </c>
      <c r="L1273">
        <v>74724</v>
      </c>
      <c r="M1273">
        <v>1717</v>
      </c>
      <c r="N1273">
        <v>128800</v>
      </c>
      <c r="O1273" s="43">
        <v>98200000</v>
      </c>
      <c r="P1273" s="14">
        <f t="shared" si="59"/>
        <v>0</v>
      </c>
      <c r="Q1273" s="14" t="str">
        <f t="shared" si="57"/>
        <v/>
      </c>
      <c r="R1273" s="14" t="str">
        <f t="shared" si="57"/>
        <v/>
      </c>
      <c r="S1273" s="14" t="str">
        <f t="shared" si="58"/>
        <v/>
      </c>
      <c r="T1273" s="14" t="s">
        <v>72</v>
      </c>
      <c r="U1273" s="14">
        <v>0</v>
      </c>
      <c r="V1273">
        <v>7674</v>
      </c>
      <c r="W1273">
        <v>14.72646484375</v>
      </c>
      <c r="X1273">
        <v>36.075812290775701</v>
      </c>
      <c r="Y1273">
        <v>1.07239308440417</v>
      </c>
      <c r="Z1273" s="31">
        <v>2.2227504181062501</v>
      </c>
      <c r="AA1273">
        <v>8.8798169609999995</v>
      </c>
      <c r="AB1273">
        <v>0.06</v>
      </c>
      <c r="AC1273">
        <v>362659.31849936</v>
      </c>
      <c r="AD1273">
        <v>410095.15735907631</v>
      </c>
      <c r="AE1273">
        <v>1</v>
      </c>
      <c r="AF1273">
        <v>4334.2023541625531</v>
      </c>
      <c r="AG1273">
        <v>6151.2723429234411</v>
      </c>
    </row>
    <row r="1274" spans="2:33" hidden="1" x14ac:dyDescent="0.25">
      <c r="B1274">
        <v>21</v>
      </c>
      <c r="C1274" t="s">
        <v>51</v>
      </c>
      <c r="D1274" t="s">
        <v>30</v>
      </c>
      <c r="E1274" t="s">
        <v>68</v>
      </c>
      <c r="G1274">
        <v>130205</v>
      </c>
      <c r="H1274">
        <v>98</v>
      </c>
      <c r="I1274">
        <v>0</v>
      </c>
      <c r="J1274">
        <v>0</v>
      </c>
      <c r="K1274">
        <v>374412</v>
      </c>
      <c r="L1274">
        <v>74724</v>
      </c>
      <c r="M1274">
        <v>1717</v>
      </c>
      <c r="N1274">
        <v>128800</v>
      </c>
      <c r="O1274" s="43">
        <v>98200000</v>
      </c>
      <c r="P1274" s="14">
        <f t="shared" si="59"/>
        <v>0</v>
      </c>
      <c r="Q1274" s="14" t="str">
        <f t="shared" si="57"/>
        <v/>
      </c>
      <c r="R1274" s="14" t="str">
        <f t="shared" si="57"/>
        <v/>
      </c>
      <c r="S1274" s="14" t="str">
        <f t="shared" si="58"/>
        <v/>
      </c>
      <c r="T1274" s="14" t="s">
        <v>72</v>
      </c>
      <c r="U1274" s="14">
        <v>0</v>
      </c>
      <c r="V1274">
        <v>7674</v>
      </c>
      <c r="W1274">
        <v>8.4759765625000192</v>
      </c>
      <c r="X1274">
        <v>54.392138596195203</v>
      </c>
      <c r="Y1274">
        <v>0.50635253245522505</v>
      </c>
      <c r="Z1274" s="31">
        <v>2.85315493968033</v>
      </c>
      <c r="AA1274">
        <v>16.325317377371601</v>
      </c>
      <c r="AB1274">
        <v>0.06</v>
      </c>
      <c r="AC1274">
        <v>362659.31849936</v>
      </c>
      <c r="AD1274">
        <v>410095.15735907631</v>
      </c>
      <c r="AE1274">
        <v>1</v>
      </c>
      <c r="AF1274">
        <v>4334.2023541625531</v>
      </c>
      <c r="AG1274">
        <v>6151.2723429234411</v>
      </c>
    </row>
    <row r="1275" spans="2:33" hidden="1" x14ac:dyDescent="0.25">
      <c r="B1275">
        <v>21</v>
      </c>
      <c r="C1275" t="s">
        <v>51</v>
      </c>
      <c r="D1275" t="s">
        <v>30</v>
      </c>
      <c r="E1275" t="s">
        <v>68</v>
      </c>
      <c r="G1275">
        <v>130205</v>
      </c>
      <c r="H1275">
        <v>99</v>
      </c>
      <c r="I1275">
        <v>54</v>
      </c>
      <c r="J1275">
        <v>0</v>
      </c>
      <c r="K1275">
        <v>374412</v>
      </c>
      <c r="L1275">
        <v>74724</v>
      </c>
      <c r="M1275">
        <v>1717</v>
      </c>
      <c r="N1275">
        <v>128800</v>
      </c>
      <c r="O1275" s="43">
        <v>98200000</v>
      </c>
      <c r="P1275" s="14">
        <f t="shared" si="59"/>
        <v>0</v>
      </c>
      <c r="Q1275" s="14" t="str">
        <f t="shared" si="57"/>
        <v/>
      </c>
      <c r="R1275" s="14" t="str">
        <f t="shared" si="57"/>
        <v/>
      </c>
      <c r="S1275" s="14" t="str">
        <f t="shared" si="58"/>
        <v/>
      </c>
      <c r="T1275" s="14" t="s">
        <v>72</v>
      </c>
      <c r="U1275" s="14">
        <v>0</v>
      </c>
      <c r="V1275">
        <v>7674</v>
      </c>
      <c r="W1275">
        <v>0.20546875000002299</v>
      </c>
      <c r="X1275">
        <v>75.058447531432904</v>
      </c>
      <c r="Y1275">
        <v>0.15515336416574599</v>
      </c>
      <c r="Z1275" s="31">
        <v>1.8755706972845501</v>
      </c>
      <c r="AA1275">
        <v>8.7681471122338905</v>
      </c>
      <c r="AB1275">
        <v>0.06</v>
      </c>
      <c r="AC1275">
        <v>362659.31849936</v>
      </c>
      <c r="AD1275">
        <v>410095.15735907631</v>
      </c>
      <c r="AE1275">
        <v>1</v>
      </c>
      <c r="AF1275">
        <v>4334.2023541625531</v>
      </c>
      <c r="AG1275">
        <v>6151.2723429234411</v>
      </c>
    </row>
    <row r="1276" spans="2:33" hidden="1" x14ac:dyDescent="0.25">
      <c r="B1276">
        <v>21</v>
      </c>
      <c r="C1276" t="s">
        <v>51</v>
      </c>
      <c r="D1276" t="s">
        <v>30</v>
      </c>
      <c r="E1276" t="s">
        <v>68</v>
      </c>
      <c r="G1276">
        <v>130205</v>
      </c>
      <c r="H1276">
        <v>100</v>
      </c>
      <c r="I1276">
        <v>0</v>
      </c>
      <c r="J1276">
        <v>0</v>
      </c>
      <c r="K1276">
        <v>374412</v>
      </c>
      <c r="L1276">
        <v>74724</v>
      </c>
      <c r="M1276">
        <v>1717</v>
      </c>
      <c r="N1276">
        <v>128800</v>
      </c>
      <c r="O1276" s="43">
        <v>98200000</v>
      </c>
      <c r="P1276" s="14">
        <f t="shared" si="59"/>
        <v>0</v>
      </c>
      <c r="Q1276" s="14" t="str">
        <f t="shared" si="57"/>
        <v/>
      </c>
      <c r="R1276" s="14" t="str">
        <f t="shared" si="57"/>
        <v/>
      </c>
      <c r="S1276" s="14" t="str">
        <f t="shared" si="58"/>
        <v/>
      </c>
      <c r="T1276" s="14" t="s">
        <v>72</v>
      </c>
      <c r="U1276" s="14">
        <v>0</v>
      </c>
      <c r="V1276">
        <v>7674</v>
      </c>
      <c r="W1276">
        <v>-1.1060546870000001</v>
      </c>
      <c r="X1276">
        <v>70.840725123453296</v>
      </c>
      <c r="Y1276">
        <v>0.16484796151961001</v>
      </c>
      <c r="Z1276" s="31">
        <v>2.01009108901185</v>
      </c>
      <c r="AA1276">
        <v>8.4425429716881109</v>
      </c>
      <c r="AB1276">
        <v>0.06</v>
      </c>
      <c r="AC1276">
        <v>362659.31849936</v>
      </c>
      <c r="AD1276">
        <v>410095.15735907631</v>
      </c>
      <c r="AE1276">
        <v>1</v>
      </c>
      <c r="AF1276">
        <v>4334.2023541625531</v>
      </c>
      <c r="AG1276">
        <v>6151.2723429234411</v>
      </c>
    </row>
    <row r="1277" spans="2:33" hidden="1" x14ac:dyDescent="0.25">
      <c r="B1277">
        <v>21</v>
      </c>
      <c r="C1277" t="s">
        <v>51</v>
      </c>
      <c r="D1277" t="s">
        <v>30</v>
      </c>
      <c r="E1277" t="s">
        <v>68</v>
      </c>
      <c r="G1277">
        <v>130205</v>
      </c>
      <c r="H1277">
        <v>101</v>
      </c>
      <c r="I1277">
        <v>0</v>
      </c>
      <c r="J1277">
        <v>0</v>
      </c>
      <c r="K1277">
        <v>374412</v>
      </c>
      <c r="L1277">
        <v>74724</v>
      </c>
      <c r="M1277">
        <v>1717</v>
      </c>
      <c r="N1277">
        <v>128800</v>
      </c>
      <c r="O1277" s="43">
        <v>98200000</v>
      </c>
      <c r="P1277" s="14">
        <f t="shared" si="59"/>
        <v>0</v>
      </c>
      <c r="Q1277" s="14" t="str">
        <f t="shared" si="57"/>
        <v/>
      </c>
      <c r="R1277" s="14" t="str">
        <f t="shared" si="57"/>
        <v/>
      </c>
      <c r="S1277" s="14" t="str">
        <f t="shared" si="58"/>
        <v/>
      </c>
      <c r="T1277" s="14" t="s">
        <v>72</v>
      </c>
      <c r="U1277" s="14">
        <v>0</v>
      </c>
      <c r="V1277">
        <v>7674</v>
      </c>
      <c r="W1277">
        <v>2.5333496093750201</v>
      </c>
      <c r="X1277">
        <v>78.972262517037507</v>
      </c>
      <c r="Y1277">
        <v>0.15459765773987799</v>
      </c>
      <c r="Z1277" s="31">
        <v>1.7078037088212401</v>
      </c>
      <c r="AA1277">
        <v>14.2998724323433</v>
      </c>
      <c r="AB1277">
        <v>0.06</v>
      </c>
      <c r="AC1277">
        <v>362659.31849936</v>
      </c>
      <c r="AD1277">
        <v>410095.15735907631</v>
      </c>
      <c r="AE1277">
        <v>1</v>
      </c>
      <c r="AF1277">
        <v>4334.2023541625531</v>
      </c>
      <c r="AG1277">
        <v>6151.2723429234411</v>
      </c>
    </row>
    <row r="1278" spans="2:33" hidden="1" x14ac:dyDescent="0.25">
      <c r="B1278">
        <v>21</v>
      </c>
      <c r="C1278" t="s">
        <v>51</v>
      </c>
      <c r="D1278" t="s">
        <v>30</v>
      </c>
      <c r="E1278" t="s">
        <v>68</v>
      </c>
      <c r="G1278">
        <v>130205</v>
      </c>
      <c r="H1278">
        <v>102</v>
      </c>
      <c r="I1278">
        <v>0</v>
      </c>
      <c r="J1278">
        <v>0</v>
      </c>
      <c r="K1278">
        <v>374412</v>
      </c>
      <c r="L1278">
        <v>74724</v>
      </c>
      <c r="M1278">
        <v>1717</v>
      </c>
      <c r="N1278">
        <v>128800</v>
      </c>
      <c r="O1278" s="43">
        <v>98200000</v>
      </c>
      <c r="P1278" s="14">
        <f t="shared" si="59"/>
        <v>0</v>
      </c>
      <c r="Q1278" s="14" t="str">
        <f t="shared" si="57"/>
        <v/>
      </c>
      <c r="R1278" s="14" t="str">
        <f t="shared" si="57"/>
        <v/>
      </c>
      <c r="S1278" s="14" t="str">
        <f t="shared" si="58"/>
        <v/>
      </c>
      <c r="T1278" s="14" t="s">
        <v>72</v>
      </c>
      <c r="U1278" s="14">
        <v>0</v>
      </c>
      <c r="V1278">
        <v>7674</v>
      </c>
      <c r="W1278">
        <v>3.08394775390633</v>
      </c>
      <c r="X1278">
        <v>40.989557786373197</v>
      </c>
      <c r="Y1278">
        <v>0.450980426910979</v>
      </c>
      <c r="Z1278" s="31">
        <v>1.43599747418963</v>
      </c>
      <c r="AA1278">
        <v>7.1526190076283198</v>
      </c>
      <c r="AB1278">
        <v>0.06</v>
      </c>
      <c r="AC1278">
        <v>362659.31849936</v>
      </c>
      <c r="AD1278">
        <v>410095.15735907631</v>
      </c>
      <c r="AE1278">
        <v>1</v>
      </c>
      <c r="AF1278">
        <v>4334.2023541625531</v>
      </c>
      <c r="AG1278">
        <v>6151.2723429234411</v>
      </c>
    </row>
    <row r="1279" spans="2:33" hidden="1" x14ac:dyDescent="0.25">
      <c r="B1279">
        <v>21</v>
      </c>
      <c r="C1279" t="s">
        <v>51</v>
      </c>
      <c r="D1279" t="s">
        <v>30</v>
      </c>
      <c r="E1279" t="s">
        <v>68</v>
      </c>
      <c r="F1279">
        <v>130205</v>
      </c>
      <c r="G1279">
        <v>130205</v>
      </c>
      <c r="H1279">
        <v>103</v>
      </c>
      <c r="I1279">
        <v>0</v>
      </c>
      <c r="J1279">
        <v>5.9137513920000002E-3</v>
      </c>
      <c r="K1279">
        <v>374412</v>
      </c>
      <c r="L1279">
        <v>74724</v>
      </c>
      <c r="M1279">
        <v>1717</v>
      </c>
      <c r="N1279">
        <v>128800</v>
      </c>
      <c r="O1279" s="43">
        <v>98200000</v>
      </c>
      <c r="P1279" s="14">
        <f t="shared" si="59"/>
        <v>0</v>
      </c>
      <c r="Q1279" s="14" t="str">
        <f t="shared" si="57"/>
        <v/>
      </c>
      <c r="R1279" s="14" t="str">
        <f t="shared" si="57"/>
        <v/>
      </c>
      <c r="S1279" s="14" t="str">
        <f t="shared" si="58"/>
        <v/>
      </c>
      <c r="T1279" s="14" t="s">
        <v>72</v>
      </c>
      <c r="U1279" s="14">
        <v>0</v>
      </c>
      <c r="V1279">
        <v>7674</v>
      </c>
      <c r="W1279">
        <v>-1.8047851559999999</v>
      </c>
      <c r="X1279">
        <v>69.972173353958993</v>
      </c>
      <c r="Y1279">
        <v>0.161257393925649</v>
      </c>
      <c r="Z1279" s="31">
        <v>1.95871609852782</v>
      </c>
      <c r="AA1279">
        <v>8.6009011399999995</v>
      </c>
      <c r="AB1279">
        <v>0.06</v>
      </c>
      <c r="AC1279">
        <v>362659.31849936</v>
      </c>
      <c r="AD1279">
        <v>410095.15735907631</v>
      </c>
      <c r="AE1279">
        <v>1</v>
      </c>
      <c r="AF1279">
        <v>4334.2023541625531</v>
      </c>
      <c r="AG1279">
        <v>6151.2723429234411</v>
      </c>
    </row>
    <row r="1280" spans="2:33" hidden="1" x14ac:dyDescent="0.25">
      <c r="B1280">
        <v>21</v>
      </c>
      <c r="C1280" t="s">
        <v>51</v>
      </c>
      <c r="D1280" t="s">
        <v>30</v>
      </c>
      <c r="E1280" t="s">
        <v>68</v>
      </c>
      <c r="G1280">
        <v>130205</v>
      </c>
      <c r="H1280">
        <v>104</v>
      </c>
      <c r="I1280">
        <v>0</v>
      </c>
      <c r="J1280">
        <v>0</v>
      </c>
      <c r="K1280">
        <v>374412</v>
      </c>
      <c r="L1280">
        <v>74724</v>
      </c>
      <c r="M1280">
        <v>1717</v>
      </c>
      <c r="N1280">
        <v>128800</v>
      </c>
      <c r="O1280" s="43">
        <v>98200000</v>
      </c>
      <c r="P1280" s="14">
        <f t="shared" si="59"/>
        <v>0</v>
      </c>
      <c r="Q1280" s="14" t="str">
        <f t="shared" si="57"/>
        <v/>
      </c>
      <c r="R1280" s="14" t="str">
        <f t="shared" si="57"/>
        <v/>
      </c>
      <c r="S1280" s="14" t="str">
        <f t="shared" si="58"/>
        <v/>
      </c>
      <c r="T1280" s="14" t="s">
        <v>72</v>
      </c>
      <c r="U1280" s="14">
        <v>0</v>
      </c>
      <c r="V1280">
        <v>7674</v>
      </c>
      <c r="W1280">
        <v>1.6268554687500201</v>
      </c>
      <c r="X1280">
        <v>46.622890037111802</v>
      </c>
      <c r="Y1280">
        <v>0.36774506665970003</v>
      </c>
      <c r="Z1280" s="31">
        <v>1.8757071752163701</v>
      </c>
      <c r="AA1280">
        <v>9.2756452875386692</v>
      </c>
      <c r="AB1280">
        <v>0.06</v>
      </c>
      <c r="AC1280">
        <v>362659.31849936</v>
      </c>
      <c r="AD1280">
        <v>410095.15735907631</v>
      </c>
      <c r="AE1280">
        <v>1</v>
      </c>
      <c r="AF1280">
        <v>4334.2023541625531</v>
      </c>
      <c r="AG1280">
        <v>6151.2723429234411</v>
      </c>
    </row>
    <row r="1281" spans="1:33" hidden="1" x14ac:dyDescent="0.25">
      <c r="B1281">
        <v>21</v>
      </c>
      <c r="C1281" t="s">
        <v>51</v>
      </c>
      <c r="D1281" t="s">
        <v>30</v>
      </c>
      <c r="E1281" t="s">
        <v>68</v>
      </c>
      <c r="G1281">
        <v>130205</v>
      </c>
      <c r="H1281">
        <v>105</v>
      </c>
      <c r="I1281">
        <v>0</v>
      </c>
      <c r="J1281">
        <v>0</v>
      </c>
      <c r="K1281">
        <v>374412</v>
      </c>
      <c r="L1281">
        <v>74724</v>
      </c>
      <c r="M1281">
        <v>1717</v>
      </c>
      <c r="N1281">
        <v>128800</v>
      </c>
      <c r="O1281" s="43">
        <v>98200000</v>
      </c>
      <c r="P1281" s="14">
        <f t="shared" si="59"/>
        <v>0</v>
      </c>
      <c r="Q1281" s="14" t="str">
        <f t="shared" si="57"/>
        <v/>
      </c>
      <c r="R1281" s="14" t="str">
        <f t="shared" si="57"/>
        <v/>
      </c>
      <c r="S1281" s="14" t="str">
        <f t="shared" si="58"/>
        <v/>
      </c>
      <c r="T1281" s="14" t="s">
        <v>72</v>
      </c>
      <c r="U1281" s="14">
        <v>0</v>
      </c>
      <c r="V1281">
        <v>7674</v>
      </c>
      <c r="W1281">
        <v>6.6846252441406504</v>
      </c>
      <c r="X1281">
        <v>34.7378973243909</v>
      </c>
      <c r="Y1281">
        <v>0.64112383081063595</v>
      </c>
      <c r="Z1281" s="31">
        <v>1.29546936475358</v>
      </c>
      <c r="AA1281">
        <v>7.6445067824521296</v>
      </c>
      <c r="AB1281">
        <v>0.06</v>
      </c>
      <c r="AC1281">
        <v>362659.31849936</v>
      </c>
      <c r="AD1281">
        <v>410095.15735907631</v>
      </c>
      <c r="AE1281">
        <v>1</v>
      </c>
      <c r="AF1281">
        <v>4334.2023541625531</v>
      </c>
      <c r="AG1281">
        <v>6151.2723429234411</v>
      </c>
    </row>
    <row r="1282" spans="1:33" hidden="1" x14ac:dyDescent="0.25">
      <c r="B1282">
        <v>21</v>
      </c>
      <c r="C1282" t="s">
        <v>51</v>
      </c>
      <c r="D1282" t="s">
        <v>30</v>
      </c>
      <c r="E1282" t="s">
        <v>68</v>
      </c>
      <c r="G1282">
        <v>130205</v>
      </c>
      <c r="H1282">
        <v>106</v>
      </c>
      <c r="I1282">
        <v>7</v>
      </c>
      <c r="J1282">
        <v>0</v>
      </c>
      <c r="K1282">
        <v>374412</v>
      </c>
      <c r="L1282">
        <v>74724</v>
      </c>
      <c r="M1282">
        <v>1717</v>
      </c>
      <c r="N1282">
        <v>128800</v>
      </c>
      <c r="O1282" s="43">
        <v>98200000</v>
      </c>
      <c r="P1282" s="14">
        <f t="shared" si="59"/>
        <v>0</v>
      </c>
      <c r="Q1282" s="14" t="str">
        <f t="shared" si="57"/>
        <v/>
      </c>
      <c r="R1282" s="14" t="str">
        <f t="shared" si="57"/>
        <v/>
      </c>
      <c r="S1282" s="14" t="str">
        <f t="shared" si="58"/>
        <v/>
      </c>
      <c r="T1282" s="14" t="s">
        <v>72</v>
      </c>
      <c r="U1282" s="14">
        <v>0</v>
      </c>
      <c r="V1282">
        <v>7674</v>
      </c>
      <c r="W1282">
        <v>7.5611816406250201</v>
      </c>
      <c r="X1282">
        <v>40.943106624162198</v>
      </c>
      <c r="Y1282">
        <v>0.61610024290950105</v>
      </c>
      <c r="Z1282" s="31">
        <v>0.41807333498958199</v>
      </c>
      <c r="AA1282">
        <v>7.4714582089694801</v>
      </c>
      <c r="AB1282">
        <v>0.06</v>
      </c>
      <c r="AC1282">
        <v>362659.31849936</v>
      </c>
      <c r="AD1282">
        <v>410095.15735907631</v>
      </c>
      <c r="AE1282">
        <v>1</v>
      </c>
      <c r="AF1282">
        <v>4334.2023541625531</v>
      </c>
      <c r="AG1282">
        <v>6151.2723429234411</v>
      </c>
    </row>
    <row r="1283" spans="1:33" hidden="1" x14ac:dyDescent="0.25">
      <c r="B1283">
        <v>21</v>
      </c>
      <c r="C1283" t="s">
        <v>51</v>
      </c>
      <c r="D1283" t="s">
        <v>30</v>
      </c>
      <c r="E1283" t="s">
        <v>68</v>
      </c>
      <c r="G1283">
        <v>130205</v>
      </c>
      <c r="H1283">
        <v>107</v>
      </c>
      <c r="I1283">
        <v>0</v>
      </c>
      <c r="J1283">
        <v>0</v>
      </c>
      <c r="K1283">
        <v>374412</v>
      </c>
      <c r="L1283">
        <v>74724</v>
      </c>
      <c r="M1283">
        <v>1717</v>
      </c>
      <c r="N1283">
        <v>128800</v>
      </c>
      <c r="O1283" s="43">
        <v>98200000</v>
      </c>
      <c r="P1283" s="14">
        <f t="shared" si="59"/>
        <v>0</v>
      </c>
      <c r="Q1283" s="14" t="str">
        <f t="shared" ref="Q1283:R1346" si="60">IF(P1283&gt;=0,"",P1283)</f>
        <v/>
      </c>
      <c r="R1283" s="14" t="str">
        <f t="shared" si="60"/>
        <v/>
      </c>
      <c r="S1283" s="14" t="str">
        <f t="shared" ref="S1283:S1346" si="61">IFERROR(IF(ISNA(Q1283),NA(),Q1283^2),"")</f>
        <v/>
      </c>
      <c r="T1283" s="14" t="s">
        <v>72</v>
      </c>
      <c r="U1283" s="14">
        <v>0</v>
      </c>
      <c r="V1283">
        <v>7674</v>
      </c>
      <c r="W1283">
        <v>7.3143554687500201</v>
      </c>
      <c r="X1283">
        <v>47.874029106630502</v>
      </c>
      <c r="Y1283">
        <v>0.534729320590697</v>
      </c>
      <c r="Z1283" s="31">
        <v>1.36009762951666</v>
      </c>
      <c r="AA1283">
        <v>9.4860983718254399</v>
      </c>
      <c r="AB1283">
        <v>0.06</v>
      </c>
      <c r="AC1283">
        <v>362659.31849936</v>
      </c>
      <c r="AD1283">
        <v>410095.15735907631</v>
      </c>
      <c r="AE1283">
        <v>1</v>
      </c>
      <c r="AF1283">
        <v>4334.2023541625531</v>
      </c>
      <c r="AG1283">
        <v>6151.2723429234411</v>
      </c>
    </row>
    <row r="1284" spans="1:33" hidden="1" x14ac:dyDescent="0.25">
      <c r="B1284">
        <v>21</v>
      </c>
      <c r="C1284" t="s">
        <v>51</v>
      </c>
      <c r="D1284" t="s">
        <v>30</v>
      </c>
      <c r="E1284" t="s">
        <v>68</v>
      </c>
      <c r="G1284">
        <v>130205</v>
      </c>
      <c r="H1284">
        <v>108</v>
      </c>
      <c r="I1284">
        <v>0</v>
      </c>
      <c r="J1284">
        <v>0</v>
      </c>
      <c r="K1284">
        <v>374412</v>
      </c>
      <c r="L1284">
        <v>74724</v>
      </c>
      <c r="M1284">
        <v>1717</v>
      </c>
      <c r="N1284">
        <v>128800</v>
      </c>
      <c r="O1284" s="43">
        <v>98200000</v>
      </c>
      <c r="P1284" s="14">
        <f t="shared" ref="P1284:P1347" si="62">O1284-O1283</f>
        <v>0</v>
      </c>
      <c r="Q1284" s="14" t="str">
        <f t="shared" si="60"/>
        <v/>
      </c>
      <c r="R1284" s="14" t="str">
        <f t="shared" si="60"/>
        <v/>
      </c>
      <c r="S1284" s="14" t="str">
        <f t="shared" si="61"/>
        <v/>
      </c>
      <c r="T1284" s="14" t="s">
        <v>72</v>
      </c>
      <c r="U1284" s="14">
        <v>0</v>
      </c>
      <c r="V1284">
        <v>7674</v>
      </c>
      <c r="W1284">
        <v>8.1959472656250192</v>
      </c>
      <c r="X1284">
        <v>56.362404713635598</v>
      </c>
      <c r="Y1284">
        <v>0.47537030595541202</v>
      </c>
      <c r="Z1284" s="31">
        <v>3.1012058822117101</v>
      </c>
      <c r="AA1284">
        <v>14.3424838328998</v>
      </c>
      <c r="AB1284">
        <v>0.06</v>
      </c>
      <c r="AC1284">
        <v>362659.31849936</v>
      </c>
      <c r="AD1284">
        <v>410095.15735907631</v>
      </c>
      <c r="AE1284">
        <v>1</v>
      </c>
      <c r="AF1284">
        <v>4334.2023541625531</v>
      </c>
      <c r="AG1284">
        <v>6151.2723429234411</v>
      </c>
    </row>
    <row r="1285" spans="1:33" hidden="1" x14ac:dyDescent="0.25">
      <c r="B1285">
        <v>21</v>
      </c>
      <c r="C1285" t="s">
        <v>51</v>
      </c>
      <c r="D1285" t="s">
        <v>30</v>
      </c>
      <c r="E1285" t="s">
        <v>68</v>
      </c>
      <c r="G1285">
        <v>130205</v>
      </c>
      <c r="H1285">
        <v>109</v>
      </c>
      <c r="I1285">
        <v>0</v>
      </c>
      <c r="J1285">
        <v>0</v>
      </c>
      <c r="K1285">
        <v>374412</v>
      </c>
      <c r="L1285">
        <v>74724</v>
      </c>
      <c r="M1285">
        <v>1717</v>
      </c>
      <c r="N1285">
        <v>128800</v>
      </c>
      <c r="O1285" s="43">
        <v>98200000</v>
      </c>
      <c r="P1285" s="14">
        <f t="shared" si="62"/>
        <v>0</v>
      </c>
      <c r="Q1285" s="14" t="str">
        <f t="shared" si="60"/>
        <v/>
      </c>
      <c r="R1285" s="14" t="str">
        <f t="shared" si="60"/>
        <v/>
      </c>
      <c r="S1285" s="14" t="str">
        <f t="shared" si="61"/>
        <v/>
      </c>
      <c r="T1285" s="14" t="s">
        <v>72</v>
      </c>
      <c r="U1285" s="14">
        <v>0</v>
      </c>
      <c r="V1285">
        <v>7674</v>
      </c>
      <c r="W1285">
        <v>8.3374877929999993</v>
      </c>
      <c r="X1285">
        <v>35.708609698294303</v>
      </c>
      <c r="Y1285">
        <v>0.70704639758005905</v>
      </c>
      <c r="Z1285" s="31">
        <v>2.3748951790957</v>
      </c>
      <c r="AA1285">
        <v>11.6548166920063</v>
      </c>
      <c r="AB1285">
        <v>0.06</v>
      </c>
      <c r="AC1285">
        <v>362659.31849936</v>
      </c>
      <c r="AD1285">
        <v>410095.15735907631</v>
      </c>
      <c r="AE1285">
        <v>1</v>
      </c>
      <c r="AF1285">
        <v>4334.2023541625531</v>
      </c>
      <c r="AG1285">
        <v>6151.2723429234411</v>
      </c>
    </row>
    <row r="1286" spans="1:33" hidden="1" x14ac:dyDescent="0.25">
      <c r="B1286">
        <v>21</v>
      </c>
      <c r="C1286" t="s">
        <v>51</v>
      </c>
      <c r="D1286" t="s">
        <v>30</v>
      </c>
      <c r="E1286" t="s">
        <v>68</v>
      </c>
      <c r="F1286">
        <v>130205</v>
      </c>
      <c r="G1286">
        <v>130205</v>
      </c>
      <c r="H1286">
        <v>110</v>
      </c>
      <c r="I1286">
        <v>0</v>
      </c>
      <c r="J1286">
        <v>0</v>
      </c>
      <c r="K1286">
        <v>374412</v>
      </c>
      <c r="L1286">
        <v>74724</v>
      </c>
      <c r="M1286">
        <v>1717</v>
      </c>
      <c r="N1286">
        <v>128800</v>
      </c>
      <c r="O1286" s="43">
        <v>98200000</v>
      </c>
      <c r="P1286" s="14">
        <f t="shared" si="62"/>
        <v>0</v>
      </c>
      <c r="Q1286" s="14" t="str">
        <f t="shared" si="60"/>
        <v/>
      </c>
      <c r="R1286" s="14" t="str">
        <f t="shared" si="60"/>
        <v/>
      </c>
      <c r="S1286" s="14" t="str">
        <f t="shared" si="61"/>
        <v/>
      </c>
      <c r="T1286" s="14" t="s">
        <v>72</v>
      </c>
      <c r="U1286" s="14">
        <v>0</v>
      </c>
      <c r="V1286">
        <v>7674</v>
      </c>
      <c r="W1286">
        <v>-4.4834960940000004</v>
      </c>
      <c r="X1286">
        <v>77.131793250000001</v>
      </c>
      <c r="Y1286">
        <v>0.100580079290521</v>
      </c>
      <c r="Z1286" s="31">
        <v>1.66460369555573</v>
      </c>
      <c r="AA1286">
        <v>7.1966604968629504</v>
      </c>
      <c r="AB1286">
        <v>0.06</v>
      </c>
      <c r="AC1286">
        <v>362659.31849936</v>
      </c>
      <c r="AD1286">
        <v>410095.15735907631</v>
      </c>
      <c r="AE1286">
        <v>1</v>
      </c>
      <c r="AF1286">
        <v>4334.2023541625531</v>
      </c>
      <c r="AG1286">
        <v>6151.2723429234411</v>
      </c>
    </row>
    <row r="1287" spans="1:33" hidden="1" x14ac:dyDescent="0.25">
      <c r="A1287" t="s">
        <v>108</v>
      </c>
      <c r="B1287">
        <v>22</v>
      </c>
      <c r="C1287" t="s">
        <v>52</v>
      </c>
      <c r="D1287" t="s">
        <v>53</v>
      </c>
      <c r="E1287" t="s">
        <v>68</v>
      </c>
      <c r="F1287">
        <v>644</v>
      </c>
      <c r="G1287">
        <v>176878</v>
      </c>
      <c r="H1287">
        <v>1</v>
      </c>
      <c r="I1287">
        <v>0</v>
      </c>
      <c r="J1287">
        <v>0.1674826716719999</v>
      </c>
      <c r="K1287">
        <v>577459</v>
      </c>
      <c r="L1287">
        <v>54509</v>
      </c>
      <c r="M1287">
        <v>23</v>
      </c>
      <c r="N1287">
        <v>74239</v>
      </c>
      <c r="O1287" s="43">
        <v>171649.36799999999</v>
      </c>
      <c r="P1287" s="14">
        <v>0</v>
      </c>
      <c r="Q1287" s="14" t="str">
        <f t="shared" si="60"/>
        <v/>
      </c>
      <c r="R1287" s="14" t="str">
        <f t="shared" si="60"/>
        <v/>
      </c>
      <c r="S1287" s="14" t="str">
        <f t="shared" si="61"/>
        <v/>
      </c>
      <c r="T1287" s="14" t="s">
        <v>72</v>
      </c>
      <c r="U1287" s="14">
        <v>0</v>
      </c>
      <c r="V1287">
        <v>8806</v>
      </c>
      <c r="W1287">
        <v>19.929467773437501</v>
      </c>
      <c r="X1287">
        <v>17.9981360034467</v>
      </c>
      <c r="Y1287">
        <v>1.9106258767365401</v>
      </c>
      <c r="Z1287" s="31">
        <v>1.4423605528371899</v>
      </c>
      <c r="AA1287">
        <v>2.5333276231488999</v>
      </c>
      <c r="AB1287">
        <v>0.08</v>
      </c>
      <c r="AC1287">
        <v>267170.40933129599</v>
      </c>
      <c r="AD1287">
        <v>305723.09939780203</v>
      </c>
      <c r="AE1287">
        <v>1</v>
      </c>
      <c r="AF1287">
        <v>619.38780722655918</v>
      </c>
      <c r="AG1287">
        <v>3763.475312678615</v>
      </c>
    </row>
    <row r="1288" spans="1:33" hidden="1" x14ac:dyDescent="0.25">
      <c r="B1288">
        <v>22</v>
      </c>
      <c r="C1288" t="s">
        <v>52</v>
      </c>
      <c r="D1288" t="s">
        <v>53</v>
      </c>
      <c r="E1288" t="s">
        <v>68</v>
      </c>
      <c r="F1288">
        <v>7382</v>
      </c>
      <c r="G1288">
        <v>176878</v>
      </c>
      <c r="H1288">
        <v>2</v>
      </c>
      <c r="I1288">
        <v>0</v>
      </c>
      <c r="J1288">
        <v>1.7523264623073529</v>
      </c>
      <c r="K1288">
        <v>577459</v>
      </c>
      <c r="L1288">
        <v>54509</v>
      </c>
      <c r="M1288">
        <v>23</v>
      </c>
      <c r="N1288">
        <v>74239</v>
      </c>
      <c r="O1288" s="43">
        <v>572164.56000000006</v>
      </c>
      <c r="P1288" s="14">
        <f t="shared" si="62"/>
        <v>400515.19200000004</v>
      </c>
      <c r="Q1288" s="14" t="str">
        <f t="shared" si="60"/>
        <v/>
      </c>
      <c r="R1288" s="14" t="str">
        <f t="shared" si="60"/>
        <v/>
      </c>
      <c r="S1288" s="14" t="str">
        <f t="shared" si="61"/>
        <v/>
      </c>
      <c r="T1288" s="14" t="s">
        <v>72</v>
      </c>
      <c r="U1288" s="14">
        <v>0</v>
      </c>
      <c r="V1288">
        <v>8806</v>
      </c>
      <c r="W1288">
        <v>18.715722700000001</v>
      </c>
      <c r="X1288">
        <v>23.182723116989099</v>
      </c>
      <c r="Y1288">
        <v>1.65975505649935</v>
      </c>
      <c r="Z1288" s="31">
        <v>2.44702594685001</v>
      </c>
      <c r="AA1288">
        <v>6.8980859373960097</v>
      </c>
      <c r="AB1288">
        <v>0.08</v>
      </c>
      <c r="AC1288">
        <v>267170.40933129599</v>
      </c>
      <c r="AD1288">
        <v>305723.09939780203</v>
      </c>
      <c r="AE1288">
        <v>1</v>
      </c>
      <c r="AF1288">
        <v>619.38780722655918</v>
      </c>
      <c r="AG1288">
        <v>3763.475312678615</v>
      </c>
    </row>
    <row r="1289" spans="1:33" hidden="1" x14ac:dyDescent="0.25">
      <c r="B1289">
        <v>22</v>
      </c>
      <c r="C1289" t="s">
        <v>52</v>
      </c>
      <c r="D1289" t="s">
        <v>53</v>
      </c>
      <c r="E1289" t="s">
        <v>68</v>
      </c>
      <c r="F1289">
        <v>12763</v>
      </c>
      <c r="G1289">
        <v>176878</v>
      </c>
      <c r="H1289">
        <v>3</v>
      </c>
      <c r="I1289">
        <v>0</v>
      </c>
      <c r="J1289">
        <v>1.399416546998496</v>
      </c>
      <c r="K1289">
        <v>577459</v>
      </c>
      <c r="L1289">
        <v>54509</v>
      </c>
      <c r="M1289">
        <v>23</v>
      </c>
      <c r="N1289">
        <v>74239</v>
      </c>
      <c r="O1289" s="43">
        <v>1144329.1200000001</v>
      </c>
      <c r="P1289" s="14">
        <f t="shared" si="62"/>
        <v>572164.56000000006</v>
      </c>
      <c r="Q1289" s="14" t="str">
        <f t="shared" si="60"/>
        <v/>
      </c>
      <c r="R1289" s="14" t="str">
        <f t="shared" si="60"/>
        <v/>
      </c>
      <c r="S1289" s="14" t="str">
        <f t="shared" si="61"/>
        <v/>
      </c>
      <c r="T1289" s="14" t="s">
        <v>72</v>
      </c>
      <c r="U1289" s="14">
        <v>0</v>
      </c>
      <c r="V1289">
        <v>8806</v>
      </c>
      <c r="W1289">
        <v>17.529931600000001</v>
      </c>
      <c r="X1289">
        <v>24.261137058107298</v>
      </c>
      <c r="Y1289">
        <v>1.51912624399491</v>
      </c>
      <c r="Z1289" s="31">
        <v>4.3114029201415001</v>
      </c>
      <c r="AA1289">
        <v>11.933105902553701</v>
      </c>
      <c r="AB1289">
        <v>0.08</v>
      </c>
      <c r="AC1289">
        <v>267170.40933129599</v>
      </c>
      <c r="AD1289">
        <v>305723.09939780203</v>
      </c>
      <c r="AE1289">
        <v>1</v>
      </c>
      <c r="AF1289">
        <v>619.38780722655918</v>
      </c>
      <c r="AG1289">
        <v>3763.475312678615</v>
      </c>
    </row>
    <row r="1290" spans="1:33" hidden="1" x14ac:dyDescent="0.25">
      <c r="B1290">
        <v>22</v>
      </c>
      <c r="C1290" t="s">
        <v>52</v>
      </c>
      <c r="D1290" t="s">
        <v>53</v>
      </c>
      <c r="E1290" t="s">
        <v>68</v>
      </c>
      <c r="F1290">
        <v>13509</v>
      </c>
      <c r="G1290">
        <v>176878</v>
      </c>
      <c r="H1290">
        <v>4</v>
      </c>
      <c r="I1290">
        <v>644</v>
      </c>
      <c r="J1290">
        <v>0.19400943022874531</v>
      </c>
      <c r="K1290">
        <v>577459</v>
      </c>
      <c r="L1290">
        <v>54509</v>
      </c>
      <c r="M1290">
        <v>23</v>
      </c>
      <c r="N1290">
        <v>74239</v>
      </c>
      <c r="O1290" s="43">
        <v>572164.56000000006</v>
      </c>
      <c r="P1290" s="14">
        <f t="shared" si="62"/>
        <v>-572164.56000000006</v>
      </c>
      <c r="Q1290" s="14">
        <f t="shared" si="60"/>
        <v>-572164.56000000006</v>
      </c>
      <c r="R1290" s="14">
        <f t="shared" si="60"/>
        <v>-572164.56000000006</v>
      </c>
      <c r="S1290" s="14">
        <f t="shared" si="61"/>
        <v>327372283719.99365</v>
      </c>
      <c r="T1290" s="14">
        <v>327372283719.99365</v>
      </c>
      <c r="U1290" s="14">
        <v>-888.45428571428579</v>
      </c>
      <c r="V1290">
        <v>8806</v>
      </c>
      <c r="W1290">
        <v>17.416284179687501</v>
      </c>
      <c r="X1290">
        <v>26.1384744909899</v>
      </c>
      <c r="Y1290">
        <v>1.4708919071951601</v>
      </c>
      <c r="Z1290" s="31">
        <v>4.0105956273276604</v>
      </c>
      <c r="AA1290">
        <v>9.9699453048214703</v>
      </c>
      <c r="AB1290">
        <v>0.08</v>
      </c>
      <c r="AC1290">
        <v>267170.40933129599</v>
      </c>
      <c r="AD1290">
        <v>305723.09939780203</v>
      </c>
      <c r="AE1290">
        <v>1</v>
      </c>
      <c r="AF1290">
        <v>619.38780722655918</v>
      </c>
      <c r="AG1290">
        <v>3763.475312678615</v>
      </c>
    </row>
    <row r="1291" spans="1:33" hidden="1" x14ac:dyDescent="0.25">
      <c r="B1291">
        <v>22</v>
      </c>
      <c r="C1291" t="s">
        <v>52</v>
      </c>
      <c r="D1291" t="s">
        <v>53</v>
      </c>
      <c r="E1291" t="s">
        <v>68</v>
      </c>
      <c r="F1291">
        <v>14653</v>
      </c>
      <c r="G1291">
        <v>176878</v>
      </c>
      <c r="H1291">
        <v>5</v>
      </c>
      <c r="I1291">
        <v>6738</v>
      </c>
      <c r="J1291">
        <v>0.29751580185212412</v>
      </c>
      <c r="K1291">
        <v>577459</v>
      </c>
      <c r="L1291">
        <v>54509</v>
      </c>
      <c r="M1291">
        <v>23</v>
      </c>
      <c r="N1291">
        <v>74239</v>
      </c>
      <c r="O1291" s="43">
        <v>1716493.68</v>
      </c>
      <c r="P1291" s="14">
        <f t="shared" si="62"/>
        <v>1144329.1199999999</v>
      </c>
      <c r="Q1291" s="14" t="str">
        <f t="shared" si="60"/>
        <v/>
      </c>
      <c r="R1291" s="14" t="str">
        <f t="shared" si="60"/>
        <v/>
      </c>
      <c r="S1291" s="14" t="str">
        <f t="shared" si="61"/>
        <v/>
      </c>
      <c r="T1291" s="14" t="s">
        <v>72</v>
      </c>
      <c r="U1291" s="14">
        <v>169.83216384683885</v>
      </c>
      <c r="V1291">
        <v>8806</v>
      </c>
      <c r="W1291">
        <v>19.200158691406301</v>
      </c>
      <c r="X1291">
        <v>26.273980874384701</v>
      </c>
      <c r="Y1291">
        <v>1.641780697</v>
      </c>
      <c r="Z1291" s="31">
        <v>1.8960689956266801</v>
      </c>
      <c r="AA1291">
        <v>5.3295324471265397</v>
      </c>
      <c r="AB1291">
        <v>0.08</v>
      </c>
      <c r="AC1291">
        <v>267170.40933129599</v>
      </c>
      <c r="AD1291">
        <v>305723.09939780203</v>
      </c>
      <c r="AE1291">
        <v>1</v>
      </c>
      <c r="AF1291">
        <v>619.38780722655918</v>
      </c>
      <c r="AG1291">
        <v>3763.475312678615</v>
      </c>
    </row>
    <row r="1292" spans="1:33" hidden="1" x14ac:dyDescent="0.25">
      <c r="B1292">
        <v>22</v>
      </c>
      <c r="C1292" t="s">
        <v>52</v>
      </c>
      <c r="D1292" t="s">
        <v>53</v>
      </c>
      <c r="E1292" t="s">
        <v>68</v>
      </c>
      <c r="F1292">
        <v>17763</v>
      </c>
      <c r="G1292">
        <v>176878</v>
      </c>
      <c r="H1292">
        <v>6</v>
      </c>
      <c r="I1292">
        <v>5381</v>
      </c>
      <c r="J1292">
        <v>0.80880606972037228</v>
      </c>
      <c r="K1292">
        <v>577459</v>
      </c>
      <c r="L1292">
        <v>54509</v>
      </c>
      <c r="M1292">
        <v>23</v>
      </c>
      <c r="N1292">
        <v>74239</v>
      </c>
      <c r="O1292" s="43">
        <v>2174225.3280000002</v>
      </c>
      <c r="P1292" s="14">
        <f t="shared" si="62"/>
        <v>457731.64800000028</v>
      </c>
      <c r="Q1292" s="14" t="str">
        <f t="shared" si="60"/>
        <v/>
      </c>
      <c r="R1292" s="14" t="str">
        <f t="shared" si="60"/>
        <v/>
      </c>
      <c r="S1292" s="14" t="str">
        <f t="shared" si="61"/>
        <v/>
      </c>
      <c r="T1292" s="14" t="s">
        <v>72</v>
      </c>
      <c r="U1292" s="14">
        <v>85.064420739639488</v>
      </c>
      <c r="V1292">
        <v>8806</v>
      </c>
      <c r="W1292">
        <v>17.173120117187501</v>
      </c>
      <c r="X1292">
        <v>27.642112584118699</v>
      </c>
      <c r="Y1292">
        <v>1.41899043946737</v>
      </c>
      <c r="Z1292" s="31">
        <v>1.3965391878296001</v>
      </c>
      <c r="AA1292">
        <v>4.5649382006427697</v>
      </c>
      <c r="AB1292">
        <v>0.08</v>
      </c>
      <c r="AC1292">
        <v>267170.40933129599</v>
      </c>
      <c r="AD1292">
        <v>305723.09939780203</v>
      </c>
      <c r="AE1292">
        <v>1</v>
      </c>
      <c r="AF1292">
        <v>619.38780722655918</v>
      </c>
      <c r="AG1292">
        <v>3763.475312678615</v>
      </c>
    </row>
    <row r="1293" spans="1:33" hidden="1" x14ac:dyDescent="0.25">
      <c r="B1293">
        <v>22</v>
      </c>
      <c r="C1293" t="s">
        <v>52</v>
      </c>
      <c r="D1293" t="s">
        <v>53</v>
      </c>
      <c r="E1293" t="s">
        <v>68</v>
      </c>
      <c r="F1293">
        <v>19526</v>
      </c>
      <c r="G1293">
        <v>176878</v>
      </c>
      <c r="H1293">
        <v>7</v>
      </c>
      <c r="I1293">
        <v>746</v>
      </c>
      <c r="J1293">
        <v>0.4584968170151178</v>
      </c>
      <c r="K1293">
        <v>577459</v>
      </c>
      <c r="L1293">
        <v>54509</v>
      </c>
      <c r="M1293">
        <v>23</v>
      </c>
      <c r="N1293">
        <v>74239</v>
      </c>
      <c r="O1293" s="43">
        <v>3783152.0707200002</v>
      </c>
      <c r="P1293" s="14">
        <f t="shared" si="62"/>
        <v>1608926.74272</v>
      </c>
      <c r="Q1293" s="14" t="str">
        <f t="shared" si="60"/>
        <v/>
      </c>
      <c r="R1293" s="14" t="str">
        <f t="shared" si="60"/>
        <v/>
      </c>
      <c r="S1293" s="14" t="str">
        <f t="shared" si="61"/>
        <v/>
      </c>
      <c r="T1293" s="14" t="s">
        <v>72</v>
      </c>
      <c r="U1293" s="14">
        <v>2156.7382610187669</v>
      </c>
      <c r="V1293">
        <v>8806</v>
      </c>
      <c r="W1293">
        <v>18.429406738281301</v>
      </c>
      <c r="X1293">
        <v>21.487915298278502</v>
      </c>
      <c r="Y1293">
        <v>1.66627846173496</v>
      </c>
      <c r="Z1293" s="31">
        <v>3.7428653445194402</v>
      </c>
      <c r="AA1293">
        <v>8.9391157369999998</v>
      </c>
      <c r="AB1293">
        <v>0.08</v>
      </c>
      <c r="AC1293">
        <v>267170.40933129599</v>
      </c>
      <c r="AD1293">
        <v>305723.09939780203</v>
      </c>
      <c r="AE1293">
        <v>1</v>
      </c>
      <c r="AF1293">
        <v>619.38780722655918</v>
      </c>
      <c r="AG1293">
        <v>3763.475312678615</v>
      </c>
    </row>
    <row r="1294" spans="1:33" hidden="1" x14ac:dyDescent="0.25">
      <c r="B1294">
        <v>22</v>
      </c>
      <c r="C1294" t="s">
        <v>52</v>
      </c>
      <c r="D1294" t="s">
        <v>53</v>
      </c>
      <c r="E1294" t="s">
        <v>68</v>
      </c>
      <c r="F1294">
        <v>35810</v>
      </c>
      <c r="G1294">
        <v>176878</v>
      </c>
      <c r="H1294">
        <v>8</v>
      </c>
      <c r="I1294">
        <v>1144</v>
      </c>
      <c r="J1294">
        <v>4.2349189837062839</v>
      </c>
      <c r="K1294">
        <v>577459</v>
      </c>
      <c r="L1294">
        <v>54509</v>
      </c>
      <c r="M1294">
        <v>23</v>
      </c>
      <c r="N1294">
        <v>74239</v>
      </c>
      <c r="O1294" s="43">
        <v>4717611.2301120004</v>
      </c>
      <c r="P1294" s="14">
        <f t="shared" si="62"/>
        <v>934459.15939200018</v>
      </c>
      <c r="Q1294" s="14" t="str">
        <f t="shared" si="60"/>
        <v/>
      </c>
      <c r="R1294" s="14" t="str">
        <f t="shared" si="60"/>
        <v/>
      </c>
      <c r="S1294" s="14" t="str">
        <f t="shared" si="61"/>
        <v/>
      </c>
      <c r="T1294" s="14" t="s">
        <v>72</v>
      </c>
      <c r="U1294" s="14">
        <v>816.83492953846167</v>
      </c>
      <c r="V1294">
        <v>8806</v>
      </c>
      <c r="W1294">
        <v>20.315576199999999</v>
      </c>
      <c r="X1294">
        <v>18.175955662083201</v>
      </c>
      <c r="Y1294">
        <v>1.95250653172683</v>
      </c>
      <c r="Z1294" s="31">
        <v>3.2287721425885798</v>
      </c>
      <c r="AA1294">
        <v>8.9183972006868206</v>
      </c>
      <c r="AB1294">
        <v>0.08</v>
      </c>
      <c r="AC1294">
        <v>267170.40933129599</v>
      </c>
      <c r="AD1294">
        <v>305723.09939780203</v>
      </c>
      <c r="AE1294">
        <v>1</v>
      </c>
      <c r="AF1294">
        <v>619.38780722655918</v>
      </c>
      <c r="AG1294">
        <v>3763.475312678615</v>
      </c>
    </row>
    <row r="1295" spans="1:33" hidden="1" x14ac:dyDescent="0.25">
      <c r="B1295">
        <v>22</v>
      </c>
      <c r="C1295" t="s">
        <v>52</v>
      </c>
      <c r="D1295" t="s">
        <v>53</v>
      </c>
      <c r="E1295" t="s">
        <v>68</v>
      </c>
      <c r="F1295">
        <v>69138</v>
      </c>
      <c r="G1295">
        <v>176878</v>
      </c>
      <c r="H1295">
        <v>9</v>
      </c>
      <c r="I1295">
        <v>3110</v>
      </c>
      <c r="J1295">
        <v>8.6674883252863566</v>
      </c>
      <c r="K1295">
        <v>577459</v>
      </c>
      <c r="L1295">
        <v>54509</v>
      </c>
      <c r="M1295">
        <v>23</v>
      </c>
      <c r="N1295">
        <v>74239</v>
      </c>
      <c r="O1295" s="43">
        <v>4717611.2301120004</v>
      </c>
      <c r="P1295" s="14">
        <f t="shared" si="62"/>
        <v>0</v>
      </c>
      <c r="Q1295" s="14" t="str">
        <f t="shared" si="60"/>
        <v/>
      </c>
      <c r="R1295" s="14" t="str">
        <f t="shared" si="60"/>
        <v/>
      </c>
      <c r="S1295" s="14" t="str">
        <f t="shared" si="61"/>
        <v/>
      </c>
      <c r="T1295" s="14" t="s">
        <v>72</v>
      </c>
      <c r="U1295" s="14">
        <v>-1516.9167942482316</v>
      </c>
      <c r="V1295">
        <v>8806</v>
      </c>
      <c r="W1295">
        <v>18.390405273437501</v>
      </c>
      <c r="X1295">
        <v>17.944322191641401</v>
      </c>
      <c r="Y1295">
        <v>1.73722159409965</v>
      </c>
      <c r="Z1295" s="31">
        <v>4.21198901599411</v>
      </c>
      <c r="AA1295">
        <v>11.343836132181799</v>
      </c>
      <c r="AB1295">
        <v>0.08</v>
      </c>
      <c r="AC1295">
        <v>267170.40933129599</v>
      </c>
      <c r="AD1295">
        <v>305723.09939780203</v>
      </c>
      <c r="AE1295">
        <v>1</v>
      </c>
      <c r="AF1295">
        <v>619.38780722655918</v>
      </c>
      <c r="AG1295">
        <v>3763.475312678615</v>
      </c>
    </row>
    <row r="1296" spans="1:33" hidden="1" x14ac:dyDescent="0.25">
      <c r="B1296">
        <v>22</v>
      </c>
      <c r="C1296" t="s">
        <v>52</v>
      </c>
      <c r="D1296" t="s">
        <v>53</v>
      </c>
      <c r="E1296" t="s">
        <v>68</v>
      </c>
      <c r="F1296">
        <v>77950</v>
      </c>
      <c r="G1296">
        <v>176878</v>
      </c>
      <c r="H1296">
        <v>10</v>
      </c>
      <c r="I1296">
        <v>1763</v>
      </c>
      <c r="J1296">
        <v>2.2917038862945081</v>
      </c>
      <c r="K1296">
        <v>577459</v>
      </c>
      <c r="L1296">
        <v>54509</v>
      </c>
      <c r="M1296">
        <v>23</v>
      </c>
      <c r="N1296">
        <v>74239</v>
      </c>
      <c r="O1296" s="43">
        <v>6951381.7238712003</v>
      </c>
      <c r="P1296" s="14">
        <f t="shared" si="62"/>
        <v>2233770.4937592</v>
      </c>
      <c r="Q1296" s="14" t="str">
        <f t="shared" si="60"/>
        <v/>
      </c>
      <c r="R1296" s="14" t="str">
        <f t="shared" si="60"/>
        <v/>
      </c>
      <c r="S1296" s="14" t="str">
        <f t="shared" si="61"/>
        <v/>
      </c>
      <c r="T1296" s="14" t="s">
        <v>72</v>
      </c>
      <c r="U1296" s="14">
        <v>3942.9278070738515</v>
      </c>
      <c r="V1296">
        <v>8806</v>
      </c>
      <c r="W1296">
        <v>14.6502319335937</v>
      </c>
      <c r="X1296">
        <v>30.7547086409737</v>
      </c>
      <c r="Y1296">
        <v>1.1559682131844</v>
      </c>
      <c r="Z1296" s="31">
        <v>4.7865624019518096</v>
      </c>
      <c r="AA1296">
        <v>11.6448335305227</v>
      </c>
      <c r="AB1296">
        <v>0.08</v>
      </c>
      <c r="AC1296">
        <v>267170.40933129599</v>
      </c>
      <c r="AD1296">
        <v>305723.09939780203</v>
      </c>
      <c r="AE1296">
        <v>1</v>
      </c>
      <c r="AF1296">
        <v>619.38780722655918</v>
      </c>
      <c r="AG1296">
        <v>3763.475312678615</v>
      </c>
    </row>
    <row r="1297" spans="2:33" hidden="1" x14ac:dyDescent="0.25">
      <c r="B1297">
        <v>22</v>
      </c>
      <c r="C1297" t="s">
        <v>52</v>
      </c>
      <c r="D1297" t="s">
        <v>53</v>
      </c>
      <c r="E1297" t="s">
        <v>68</v>
      </c>
      <c r="F1297">
        <v>80279</v>
      </c>
      <c r="G1297">
        <v>176878</v>
      </c>
      <c r="H1297">
        <v>11</v>
      </c>
      <c r="I1297">
        <v>16284</v>
      </c>
      <c r="J1297">
        <v>0.60569432037901838</v>
      </c>
      <c r="K1297">
        <v>577459</v>
      </c>
      <c r="L1297">
        <v>54509</v>
      </c>
      <c r="M1297">
        <v>23</v>
      </c>
      <c r="N1297">
        <v>74239</v>
      </c>
      <c r="O1297" s="43">
        <v>7713161.6190552004</v>
      </c>
      <c r="P1297" s="14">
        <f t="shared" si="62"/>
        <v>761779.89518400002</v>
      </c>
      <c r="Q1297" s="14" t="str">
        <f t="shared" si="60"/>
        <v/>
      </c>
      <c r="R1297" s="14" t="str">
        <f t="shared" si="60"/>
        <v/>
      </c>
      <c r="S1297" s="14" t="str">
        <f t="shared" si="61"/>
        <v/>
      </c>
      <c r="T1297" s="14" t="s">
        <v>72</v>
      </c>
      <c r="U1297" s="14">
        <v>46.78088277966102</v>
      </c>
      <c r="V1297">
        <v>8806</v>
      </c>
      <c r="W1297">
        <v>3.4407592773437199</v>
      </c>
      <c r="X1297">
        <v>53.795664966436902</v>
      </c>
      <c r="Y1297">
        <v>0.36218671180627598</v>
      </c>
      <c r="Z1297" s="31">
        <v>3.9211634072957802</v>
      </c>
      <c r="AA1297">
        <v>8.1989407266991492</v>
      </c>
      <c r="AB1297">
        <v>0.08</v>
      </c>
      <c r="AC1297">
        <v>267170.40933129599</v>
      </c>
      <c r="AD1297">
        <v>305723.09939780203</v>
      </c>
      <c r="AE1297">
        <v>1</v>
      </c>
      <c r="AF1297">
        <v>619.38780722655918</v>
      </c>
      <c r="AG1297">
        <v>3763.475312678615</v>
      </c>
    </row>
    <row r="1298" spans="2:33" hidden="1" x14ac:dyDescent="0.25">
      <c r="B1298">
        <v>22</v>
      </c>
      <c r="C1298" t="s">
        <v>52</v>
      </c>
      <c r="D1298" t="s">
        <v>53</v>
      </c>
      <c r="E1298" t="s">
        <v>68</v>
      </c>
      <c r="F1298">
        <v>96757</v>
      </c>
      <c r="G1298">
        <v>176878</v>
      </c>
      <c r="H1298">
        <v>12</v>
      </c>
      <c r="I1298">
        <v>33328</v>
      </c>
      <c r="J1298">
        <v>4.2853718382161716</v>
      </c>
      <c r="K1298">
        <v>577459</v>
      </c>
      <c r="L1298">
        <v>54509</v>
      </c>
      <c r="M1298">
        <v>23</v>
      </c>
      <c r="N1298">
        <v>74239</v>
      </c>
      <c r="O1298" s="43">
        <v>10349167.231481761</v>
      </c>
      <c r="P1298" s="14">
        <f t="shared" si="62"/>
        <v>2636005.6124265604</v>
      </c>
      <c r="Q1298" s="14" t="str">
        <f t="shared" si="60"/>
        <v/>
      </c>
      <c r="R1298" s="14" t="str">
        <f t="shared" si="60"/>
        <v/>
      </c>
      <c r="S1298" s="14" t="str">
        <f t="shared" si="61"/>
        <v/>
      </c>
      <c r="T1298" s="14" t="s">
        <v>72</v>
      </c>
      <c r="U1298" s="14">
        <v>79.092823224512728</v>
      </c>
      <c r="V1298">
        <v>8806</v>
      </c>
      <c r="W1298">
        <v>8.3185059000000496</v>
      </c>
      <c r="X1298">
        <v>21.237091822110699</v>
      </c>
      <c r="Y1298">
        <v>0.86489076163661305</v>
      </c>
      <c r="Z1298" s="31">
        <v>3.5282175760254701</v>
      </c>
      <c r="AA1298">
        <v>7.8960890024496102</v>
      </c>
      <c r="AB1298">
        <v>0.08</v>
      </c>
      <c r="AC1298">
        <v>267170.40933129599</v>
      </c>
      <c r="AD1298">
        <v>305723.09939780203</v>
      </c>
      <c r="AE1298">
        <v>1</v>
      </c>
      <c r="AF1298">
        <v>619.38780722655918</v>
      </c>
      <c r="AG1298">
        <v>3763.475312678615</v>
      </c>
    </row>
    <row r="1299" spans="2:33" hidden="1" x14ac:dyDescent="0.25">
      <c r="B1299">
        <v>22</v>
      </c>
      <c r="C1299" t="s">
        <v>52</v>
      </c>
      <c r="D1299" t="s">
        <v>53</v>
      </c>
      <c r="E1299" t="s">
        <v>68</v>
      </c>
      <c r="F1299">
        <v>117240</v>
      </c>
      <c r="G1299">
        <v>176878</v>
      </c>
      <c r="H1299">
        <v>13</v>
      </c>
      <c r="I1299">
        <v>8812</v>
      </c>
      <c r="J1299">
        <v>5.3269372109589668</v>
      </c>
      <c r="K1299">
        <v>577459</v>
      </c>
      <c r="L1299">
        <v>54509</v>
      </c>
      <c r="M1299">
        <v>23</v>
      </c>
      <c r="N1299">
        <v>74239</v>
      </c>
      <c r="O1299" s="43">
        <v>12612338.973321119</v>
      </c>
      <c r="P1299" s="14">
        <f t="shared" si="62"/>
        <v>2263171.7418393586</v>
      </c>
      <c r="Q1299" s="14" t="str">
        <f t="shared" si="60"/>
        <v/>
      </c>
      <c r="R1299" s="14" t="str">
        <f t="shared" si="60"/>
        <v/>
      </c>
      <c r="S1299" s="14" t="str">
        <f t="shared" si="61"/>
        <v/>
      </c>
      <c r="T1299" s="14" t="s">
        <v>72</v>
      </c>
      <c r="U1299" s="14">
        <v>256.82838650015441</v>
      </c>
      <c r="V1299">
        <v>8806</v>
      </c>
      <c r="W1299">
        <v>16.066918945312501</v>
      </c>
      <c r="X1299">
        <v>14.2148686403015</v>
      </c>
      <c r="Y1299">
        <v>1.56808253834042</v>
      </c>
      <c r="Z1299" s="31">
        <v>2.9608961096320301</v>
      </c>
      <c r="AA1299">
        <v>9.0949068784366602</v>
      </c>
      <c r="AB1299">
        <v>0.08</v>
      </c>
      <c r="AC1299">
        <v>267170.40933129599</v>
      </c>
      <c r="AD1299">
        <v>305723.09939780203</v>
      </c>
      <c r="AE1299">
        <v>1</v>
      </c>
      <c r="AF1299">
        <v>619.38780722655918</v>
      </c>
      <c r="AG1299">
        <v>3763.475312678615</v>
      </c>
    </row>
    <row r="1300" spans="2:33" hidden="1" x14ac:dyDescent="0.25">
      <c r="B1300">
        <v>22</v>
      </c>
      <c r="C1300" t="s">
        <v>52</v>
      </c>
      <c r="D1300" t="s">
        <v>53</v>
      </c>
      <c r="E1300" t="s">
        <v>68</v>
      </c>
      <c r="F1300">
        <v>127503</v>
      </c>
      <c r="G1300">
        <v>176878</v>
      </c>
      <c r="H1300">
        <v>14</v>
      </c>
      <c r="I1300">
        <v>2329</v>
      </c>
      <c r="J1300">
        <v>2.6690600300772291</v>
      </c>
      <c r="K1300">
        <v>577459</v>
      </c>
      <c r="L1300">
        <v>54509</v>
      </c>
      <c r="M1300">
        <v>23</v>
      </c>
      <c r="N1300">
        <v>74239</v>
      </c>
      <c r="O1300" s="43">
        <v>13867002.018413279</v>
      </c>
      <c r="P1300" s="14">
        <f t="shared" si="62"/>
        <v>1254663.0450921599</v>
      </c>
      <c r="Q1300" s="14" t="str">
        <f t="shared" si="60"/>
        <v/>
      </c>
      <c r="R1300" s="14" t="str">
        <f t="shared" si="60"/>
        <v/>
      </c>
      <c r="S1300" s="14" t="str">
        <f t="shared" si="61"/>
        <v/>
      </c>
      <c r="T1300" s="14" t="s">
        <v>72</v>
      </c>
      <c r="U1300" s="14">
        <v>538.71320098418198</v>
      </c>
      <c r="V1300">
        <v>8806</v>
      </c>
      <c r="W1300">
        <v>15.029016113281299</v>
      </c>
      <c r="X1300">
        <v>18.717151453454498</v>
      </c>
      <c r="Y1300">
        <v>1.3903259693758401</v>
      </c>
      <c r="Z1300" s="31">
        <v>2.8368466330028301</v>
      </c>
      <c r="AA1300">
        <v>7.6376943520762701</v>
      </c>
      <c r="AB1300">
        <v>0.08</v>
      </c>
      <c r="AC1300">
        <v>267170.40933129599</v>
      </c>
      <c r="AD1300">
        <v>305723.09939780203</v>
      </c>
      <c r="AE1300">
        <v>1</v>
      </c>
      <c r="AF1300">
        <v>619.38780722655918</v>
      </c>
      <c r="AG1300">
        <v>3763.475312678615</v>
      </c>
    </row>
    <row r="1301" spans="2:33" hidden="1" x14ac:dyDescent="0.25">
      <c r="B1301">
        <v>22</v>
      </c>
      <c r="C1301" t="s">
        <v>52</v>
      </c>
      <c r="D1301" t="s">
        <v>53</v>
      </c>
      <c r="E1301" t="s">
        <v>68</v>
      </c>
      <c r="F1301">
        <v>136840</v>
      </c>
      <c r="G1301">
        <v>176878</v>
      </c>
      <c r="H1301">
        <v>15</v>
      </c>
      <c r="I1301">
        <v>16478</v>
      </c>
      <c r="J1301">
        <v>2.428238672983638</v>
      </c>
      <c r="K1301">
        <v>577459</v>
      </c>
      <c r="L1301">
        <v>54509</v>
      </c>
      <c r="M1301">
        <v>23</v>
      </c>
      <c r="N1301">
        <v>74239</v>
      </c>
      <c r="O1301" s="43">
        <v>15358364.964660959</v>
      </c>
      <c r="P1301" s="14">
        <f t="shared" si="62"/>
        <v>1491362.9462476801</v>
      </c>
      <c r="Q1301" s="14" t="str">
        <f t="shared" si="60"/>
        <v/>
      </c>
      <c r="R1301" s="14" t="str">
        <f t="shared" si="60"/>
        <v/>
      </c>
      <c r="S1301" s="14" t="str">
        <f t="shared" si="61"/>
        <v/>
      </c>
      <c r="T1301" s="14" t="s">
        <v>72</v>
      </c>
      <c r="U1301" s="14">
        <v>90.506308183498007</v>
      </c>
      <c r="V1301">
        <v>8806</v>
      </c>
      <c r="W1301">
        <v>11.961084</v>
      </c>
      <c r="X1301">
        <v>23.612524852393701</v>
      </c>
      <c r="Y1301">
        <v>1.07015807312967</v>
      </c>
      <c r="Z1301" s="31">
        <v>2.0004881535762</v>
      </c>
      <c r="AA1301">
        <v>6.1366383564170901</v>
      </c>
      <c r="AB1301">
        <v>0.08</v>
      </c>
      <c r="AC1301">
        <v>267170.40933129599</v>
      </c>
      <c r="AD1301">
        <v>305723.09939780203</v>
      </c>
      <c r="AE1301">
        <v>1</v>
      </c>
      <c r="AF1301">
        <v>619.38780722655918</v>
      </c>
      <c r="AG1301">
        <v>3763.475312678615</v>
      </c>
    </row>
    <row r="1302" spans="2:33" hidden="1" x14ac:dyDescent="0.25">
      <c r="B1302">
        <v>22</v>
      </c>
      <c r="C1302" t="s">
        <v>52</v>
      </c>
      <c r="D1302" t="s">
        <v>53</v>
      </c>
      <c r="E1302" t="s">
        <v>68</v>
      </c>
      <c r="F1302">
        <v>140140</v>
      </c>
      <c r="G1302">
        <v>176878</v>
      </c>
      <c r="H1302">
        <v>16</v>
      </c>
      <c r="I1302">
        <v>20483</v>
      </c>
      <c r="J1302">
        <v>0.85821865918881945</v>
      </c>
      <c r="K1302">
        <v>577459</v>
      </c>
      <c r="L1302">
        <v>54509</v>
      </c>
      <c r="M1302">
        <v>23</v>
      </c>
      <c r="N1302">
        <v>74239</v>
      </c>
      <c r="O1302" s="43">
        <v>17144402.958270721</v>
      </c>
      <c r="P1302" s="14">
        <f t="shared" si="62"/>
        <v>1786037.9936097618</v>
      </c>
      <c r="Q1302" s="14" t="str">
        <f t="shared" si="60"/>
        <v/>
      </c>
      <c r="R1302" s="14" t="str">
        <f t="shared" si="60"/>
        <v/>
      </c>
      <c r="S1302" s="14" t="str">
        <f t="shared" si="61"/>
        <v/>
      </c>
      <c r="T1302" s="14" t="s">
        <v>72</v>
      </c>
      <c r="U1302" s="14">
        <v>87.196113538532444</v>
      </c>
      <c r="V1302">
        <v>8806</v>
      </c>
      <c r="W1302">
        <v>13.3308959960937</v>
      </c>
      <c r="X1302">
        <v>23.4995513962721</v>
      </c>
      <c r="Y1302">
        <v>1.1723762351948599</v>
      </c>
      <c r="Z1302" s="31">
        <v>3.0552450481112401</v>
      </c>
      <c r="AA1302">
        <v>9.2114155689910593</v>
      </c>
      <c r="AB1302">
        <v>0.08</v>
      </c>
      <c r="AC1302">
        <v>267170.40933129599</v>
      </c>
      <c r="AD1302">
        <v>305723.09939780203</v>
      </c>
      <c r="AE1302">
        <v>1</v>
      </c>
      <c r="AF1302">
        <v>619.38780722655918</v>
      </c>
      <c r="AG1302">
        <v>3763.475312678615</v>
      </c>
    </row>
    <row r="1303" spans="2:33" hidden="1" x14ac:dyDescent="0.25">
      <c r="B1303">
        <v>22</v>
      </c>
      <c r="C1303" t="s">
        <v>52</v>
      </c>
      <c r="D1303" t="s">
        <v>53</v>
      </c>
      <c r="E1303" t="s">
        <v>68</v>
      </c>
      <c r="F1303">
        <v>151711</v>
      </c>
      <c r="G1303">
        <v>176878</v>
      </c>
      <c r="H1303">
        <v>17</v>
      </c>
      <c r="I1303">
        <v>10263</v>
      </c>
      <c r="J1303">
        <v>3.0092266986284328</v>
      </c>
      <c r="K1303">
        <v>577459</v>
      </c>
      <c r="L1303">
        <v>54509</v>
      </c>
      <c r="M1303">
        <v>23</v>
      </c>
      <c r="N1303">
        <v>74239</v>
      </c>
      <c r="O1303" s="43">
        <v>19846233.814667039</v>
      </c>
      <c r="P1303" s="14">
        <f t="shared" si="62"/>
        <v>2701830.8563963175</v>
      </c>
      <c r="Q1303" s="14" t="str">
        <f t="shared" si="60"/>
        <v/>
      </c>
      <c r="R1303" s="14" t="str">
        <f t="shared" si="60"/>
        <v/>
      </c>
      <c r="S1303" s="14" t="str">
        <f t="shared" si="61"/>
        <v/>
      </c>
      <c r="T1303" s="14" t="s">
        <v>72</v>
      </c>
      <c r="U1303" s="14">
        <v>263.25936435704193</v>
      </c>
      <c r="V1303">
        <v>8806</v>
      </c>
      <c r="W1303">
        <v>12.486535644531299</v>
      </c>
      <c r="X1303">
        <v>29.11326017</v>
      </c>
      <c r="Y1303">
        <v>1.0280478283546799</v>
      </c>
      <c r="Z1303" s="31">
        <v>2.2053976108708699</v>
      </c>
      <c r="AA1303">
        <v>6.0498957689781596</v>
      </c>
      <c r="AB1303">
        <v>0.08</v>
      </c>
      <c r="AC1303">
        <v>267170.40933129599</v>
      </c>
      <c r="AD1303">
        <v>305723.09939780203</v>
      </c>
      <c r="AE1303">
        <v>1</v>
      </c>
      <c r="AF1303">
        <v>619.38780722655918</v>
      </c>
      <c r="AG1303">
        <v>3763.475312678615</v>
      </c>
    </row>
    <row r="1304" spans="2:33" hidden="1" x14ac:dyDescent="0.25">
      <c r="B1304">
        <v>22</v>
      </c>
      <c r="C1304" t="s">
        <v>52</v>
      </c>
      <c r="D1304" t="s">
        <v>53</v>
      </c>
      <c r="E1304" t="s">
        <v>68</v>
      </c>
      <c r="F1304">
        <v>161069</v>
      </c>
      <c r="G1304">
        <v>176878</v>
      </c>
      <c r="H1304">
        <v>18</v>
      </c>
      <c r="I1304">
        <v>9337</v>
      </c>
      <c r="J1304">
        <v>2.4337000644512039</v>
      </c>
      <c r="K1304">
        <v>577459</v>
      </c>
      <c r="L1304">
        <v>54509</v>
      </c>
      <c r="M1304">
        <v>23</v>
      </c>
      <c r="N1304">
        <v>74239</v>
      </c>
      <c r="O1304" s="43">
        <v>21456984.618004318</v>
      </c>
      <c r="P1304" s="14">
        <f t="shared" si="62"/>
        <v>1610750.8033372797</v>
      </c>
      <c r="Q1304" s="14" t="str">
        <f t="shared" si="60"/>
        <v/>
      </c>
      <c r="R1304" s="14" t="str">
        <f t="shared" si="60"/>
        <v/>
      </c>
      <c r="S1304" s="14" t="str">
        <f t="shared" si="61"/>
        <v/>
      </c>
      <c r="T1304" s="14" t="s">
        <v>72</v>
      </c>
      <c r="U1304" s="14">
        <v>172.51267037991644</v>
      </c>
      <c r="V1304">
        <v>8806</v>
      </c>
      <c r="W1304">
        <v>16.114526367187501</v>
      </c>
      <c r="X1304">
        <v>24.8351153835765</v>
      </c>
      <c r="Y1304">
        <v>1.37825456448654</v>
      </c>
      <c r="Z1304">
        <v>3.3413808370132601</v>
      </c>
      <c r="AA1304">
        <v>10.1809173247469</v>
      </c>
      <c r="AB1304">
        <v>0.08</v>
      </c>
      <c r="AC1304">
        <v>267170.40933129599</v>
      </c>
      <c r="AD1304">
        <v>305723.09939780203</v>
      </c>
      <c r="AE1304">
        <v>1</v>
      </c>
      <c r="AF1304">
        <v>619.38780722655918</v>
      </c>
      <c r="AG1304">
        <v>3763.475312678615</v>
      </c>
    </row>
    <row r="1305" spans="2:33" hidden="1" x14ac:dyDescent="0.25">
      <c r="B1305">
        <v>22</v>
      </c>
      <c r="C1305" t="s">
        <v>52</v>
      </c>
      <c r="D1305" t="s">
        <v>53</v>
      </c>
      <c r="E1305" t="s">
        <v>68</v>
      </c>
      <c r="F1305">
        <v>166487</v>
      </c>
      <c r="G1305">
        <v>176878</v>
      </c>
      <c r="H1305">
        <v>19</v>
      </c>
      <c r="I1305">
        <v>3300</v>
      </c>
      <c r="J1305">
        <v>1.409038998631825</v>
      </c>
      <c r="K1305">
        <v>577459</v>
      </c>
      <c r="L1305">
        <v>54509</v>
      </c>
      <c r="M1305">
        <v>23</v>
      </c>
      <c r="N1305">
        <v>74239</v>
      </c>
      <c r="O1305" s="43">
        <v>23273544.157902721</v>
      </c>
      <c r="P1305" s="14">
        <f t="shared" si="62"/>
        <v>1816559.539898403</v>
      </c>
      <c r="Q1305" s="14" t="str">
        <f t="shared" si="60"/>
        <v/>
      </c>
      <c r="R1305" s="14" t="str">
        <f t="shared" si="60"/>
        <v/>
      </c>
      <c r="S1305" s="14" t="str">
        <f t="shared" si="61"/>
        <v/>
      </c>
      <c r="T1305" s="14" t="s">
        <v>72</v>
      </c>
      <c r="U1305" s="14">
        <v>550.47258784799976</v>
      </c>
      <c r="V1305">
        <v>8806</v>
      </c>
      <c r="W1305">
        <v>14.4685913085937</v>
      </c>
      <c r="X1305">
        <v>17.480002624175601</v>
      </c>
      <c r="Y1305">
        <v>1.3613985585239601</v>
      </c>
      <c r="Z1305" s="31">
        <v>2.1940595447881801</v>
      </c>
      <c r="AA1305">
        <v>8.4638708354538608</v>
      </c>
      <c r="AB1305">
        <v>0.08</v>
      </c>
      <c r="AC1305">
        <v>267170.40933129599</v>
      </c>
      <c r="AD1305">
        <v>305723.09939780203</v>
      </c>
      <c r="AE1305">
        <v>1</v>
      </c>
      <c r="AF1305">
        <v>619.38780722655918</v>
      </c>
      <c r="AG1305">
        <v>3763.475312678615</v>
      </c>
    </row>
    <row r="1306" spans="2:33" hidden="1" x14ac:dyDescent="0.25">
      <c r="B1306">
        <v>22</v>
      </c>
      <c r="C1306" t="s">
        <v>52</v>
      </c>
      <c r="D1306" t="s">
        <v>53</v>
      </c>
      <c r="E1306" t="s">
        <v>68</v>
      </c>
      <c r="F1306">
        <v>170785</v>
      </c>
      <c r="G1306">
        <v>176878</v>
      </c>
      <c r="H1306">
        <v>20</v>
      </c>
      <c r="I1306">
        <v>11571</v>
      </c>
      <c r="J1306">
        <v>1.1177647870283469</v>
      </c>
      <c r="K1306">
        <v>577459</v>
      </c>
      <c r="L1306">
        <v>54509</v>
      </c>
      <c r="M1306">
        <v>23</v>
      </c>
      <c r="N1306">
        <v>74239</v>
      </c>
      <c r="O1306" s="43">
        <v>25230411.035533439</v>
      </c>
      <c r="P1306" s="14">
        <f t="shared" si="62"/>
        <v>1956866.8776307181</v>
      </c>
      <c r="Q1306" s="14" t="str">
        <f t="shared" si="60"/>
        <v/>
      </c>
      <c r="R1306" s="14" t="str">
        <f t="shared" si="60"/>
        <v/>
      </c>
      <c r="S1306" s="14" t="str">
        <f t="shared" si="61"/>
        <v/>
      </c>
      <c r="T1306" s="14" t="s">
        <v>72</v>
      </c>
      <c r="U1306" s="14">
        <v>169.11821602547073</v>
      </c>
      <c r="V1306">
        <v>8806</v>
      </c>
      <c r="W1306">
        <v>16.301965332031301</v>
      </c>
      <c r="X1306">
        <v>16.645128717168699</v>
      </c>
      <c r="Y1306">
        <v>1.54670475694589</v>
      </c>
      <c r="Z1306" s="31">
        <v>1.97697490880377</v>
      </c>
      <c r="AA1306">
        <v>7.3870808038597797</v>
      </c>
      <c r="AB1306">
        <v>0.08</v>
      </c>
      <c r="AC1306">
        <v>267170.40933129599</v>
      </c>
      <c r="AD1306">
        <v>305723.09939780203</v>
      </c>
      <c r="AE1306">
        <v>1</v>
      </c>
      <c r="AF1306">
        <v>619.38780722655918</v>
      </c>
      <c r="AG1306">
        <v>3763.475312678615</v>
      </c>
    </row>
    <row r="1307" spans="2:33" hidden="1" x14ac:dyDescent="0.25">
      <c r="B1307">
        <v>22</v>
      </c>
      <c r="C1307" t="s">
        <v>52</v>
      </c>
      <c r="D1307" t="s">
        <v>53</v>
      </c>
      <c r="E1307" t="s">
        <v>68</v>
      </c>
      <c r="F1307">
        <v>173480</v>
      </c>
      <c r="G1307">
        <v>176878</v>
      </c>
      <c r="H1307">
        <v>21</v>
      </c>
      <c r="I1307">
        <v>9358</v>
      </c>
      <c r="J1307">
        <v>0.7008785716708692</v>
      </c>
      <c r="K1307">
        <v>577459</v>
      </c>
      <c r="L1307">
        <v>54509</v>
      </c>
      <c r="M1307">
        <v>23</v>
      </c>
      <c r="N1307">
        <v>74239</v>
      </c>
      <c r="O1307" s="43">
        <v>26743856.10080976</v>
      </c>
      <c r="P1307" s="14">
        <f t="shared" si="62"/>
        <v>1513445.065276321</v>
      </c>
      <c r="Q1307" s="14" t="str">
        <f t="shared" si="60"/>
        <v/>
      </c>
      <c r="R1307" s="14" t="str">
        <f t="shared" si="60"/>
        <v/>
      </c>
      <c r="S1307" s="14" t="str">
        <f t="shared" si="61"/>
        <v/>
      </c>
      <c r="T1307" s="14" t="s">
        <v>72</v>
      </c>
      <c r="U1307" s="14">
        <v>161.72740599233995</v>
      </c>
      <c r="V1307">
        <v>8806</v>
      </c>
      <c r="W1307">
        <v>17.699426269531301</v>
      </c>
      <c r="X1307">
        <v>14.413557540921801</v>
      </c>
      <c r="Y1307">
        <v>1.7349822713006</v>
      </c>
      <c r="Z1307" s="31">
        <v>2.1970060685195301</v>
      </c>
      <c r="AA1307">
        <v>3.9579636633386399</v>
      </c>
      <c r="AB1307">
        <v>0.08</v>
      </c>
      <c r="AC1307">
        <v>267170.40933129599</v>
      </c>
      <c r="AD1307">
        <v>305723.09939780203</v>
      </c>
      <c r="AE1307">
        <v>1</v>
      </c>
      <c r="AF1307">
        <v>619.38780722655918</v>
      </c>
      <c r="AG1307">
        <v>3763.475312678615</v>
      </c>
    </row>
    <row r="1308" spans="2:33" hidden="1" x14ac:dyDescent="0.25">
      <c r="B1308">
        <v>22</v>
      </c>
      <c r="C1308" t="s">
        <v>52</v>
      </c>
      <c r="D1308" t="s">
        <v>53</v>
      </c>
      <c r="E1308" t="s">
        <v>68</v>
      </c>
      <c r="F1308">
        <v>174612</v>
      </c>
      <c r="G1308">
        <v>176878</v>
      </c>
      <c r="H1308">
        <v>22</v>
      </c>
      <c r="I1308">
        <v>5418</v>
      </c>
      <c r="J1308">
        <v>0.29439500672780111</v>
      </c>
      <c r="K1308">
        <v>577459</v>
      </c>
      <c r="L1308">
        <v>54509</v>
      </c>
      <c r="M1308">
        <v>23</v>
      </c>
      <c r="N1308">
        <v>74239</v>
      </c>
      <c r="O1308" s="43">
        <v>28797451.974624962</v>
      </c>
      <c r="P1308" s="14">
        <f t="shared" si="62"/>
        <v>2053595.8738152012</v>
      </c>
      <c r="Q1308" s="14" t="str">
        <f t="shared" si="60"/>
        <v/>
      </c>
      <c r="R1308" s="14" t="str">
        <f t="shared" si="60"/>
        <v/>
      </c>
      <c r="S1308" s="14" t="str">
        <f t="shared" si="61"/>
        <v/>
      </c>
      <c r="T1308" s="14" t="s">
        <v>72</v>
      </c>
      <c r="U1308" s="14">
        <v>379.03209188172781</v>
      </c>
      <c r="V1308">
        <v>8806</v>
      </c>
      <c r="W1308">
        <v>15.226281738281299</v>
      </c>
      <c r="X1308">
        <v>17.149316270741199</v>
      </c>
      <c r="Y1308">
        <v>1.4351910893117199</v>
      </c>
      <c r="Z1308" s="31">
        <v>3.2914057674980302</v>
      </c>
      <c r="AA1308">
        <v>10.7326962518916</v>
      </c>
      <c r="AB1308">
        <v>0.08</v>
      </c>
      <c r="AC1308">
        <v>267170.40933129599</v>
      </c>
      <c r="AD1308">
        <v>305723.09939780203</v>
      </c>
      <c r="AE1308">
        <v>1</v>
      </c>
      <c r="AF1308">
        <v>619.38780722655918</v>
      </c>
      <c r="AG1308">
        <v>3763.475312678615</v>
      </c>
    </row>
    <row r="1309" spans="2:33" hidden="1" x14ac:dyDescent="0.25">
      <c r="B1309">
        <v>22</v>
      </c>
      <c r="C1309" t="s">
        <v>52</v>
      </c>
      <c r="D1309" t="s">
        <v>53</v>
      </c>
      <c r="E1309" t="s">
        <v>68</v>
      </c>
      <c r="F1309">
        <v>175213</v>
      </c>
      <c r="G1309">
        <v>176878</v>
      </c>
      <c r="H1309">
        <v>23</v>
      </c>
      <c r="I1309">
        <v>4298</v>
      </c>
      <c r="J1309">
        <v>0.15629982247650931</v>
      </c>
      <c r="K1309">
        <v>577459</v>
      </c>
      <c r="L1309">
        <v>54509</v>
      </c>
      <c r="M1309">
        <v>23</v>
      </c>
      <c r="N1309">
        <v>74239</v>
      </c>
      <c r="O1309" s="43">
        <v>31345798.54347216</v>
      </c>
      <c r="P1309" s="14">
        <f t="shared" si="62"/>
        <v>2548346.568847198</v>
      </c>
      <c r="Q1309" s="14" t="str">
        <f t="shared" si="60"/>
        <v/>
      </c>
      <c r="R1309" s="14" t="str">
        <f t="shared" si="60"/>
        <v/>
      </c>
      <c r="S1309" s="14" t="str">
        <f t="shared" si="61"/>
        <v/>
      </c>
      <c r="T1309" s="14" t="s">
        <v>72</v>
      </c>
      <c r="U1309" s="14">
        <v>592.91451113243409</v>
      </c>
      <c r="V1309">
        <v>8806</v>
      </c>
      <c r="W1309">
        <v>15.301660200000001</v>
      </c>
      <c r="X1309">
        <v>25.973550429843399</v>
      </c>
      <c r="Y1309">
        <v>1.2886374259903699</v>
      </c>
      <c r="Z1309" s="31">
        <v>2.0375571541753099</v>
      </c>
      <c r="AA1309">
        <v>6.89853072576632</v>
      </c>
      <c r="AB1309">
        <v>0.08</v>
      </c>
      <c r="AC1309">
        <v>267170.40933129599</v>
      </c>
      <c r="AD1309">
        <v>305723.09939780203</v>
      </c>
      <c r="AE1309">
        <v>1</v>
      </c>
      <c r="AF1309">
        <v>619.38780722655918</v>
      </c>
      <c r="AG1309">
        <v>3763.475312678615</v>
      </c>
    </row>
    <row r="1310" spans="2:33" hidden="1" x14ac:dyDescent="0.25">
      <c r="B1310">
        <v>22</v>
      </c>
      <c r="C1310" t="s">
        <v>52</v>
      </c>
      <c r="D1310" t="s">
        <v>53</v>
      </c>
      <c r="E1310" t="s">
        <v>68</v>
      </c>
      <c r="F1310">
        <v>175242</v>
      </c>
      <c r="G1310">
        <v>176878</v>
      </c>
      <c r="H1310">
        <v>24</v>
      </c>
      <c r="I1310">
        <v>2695</v>
      </c>
      <c r="J1310">
        <v>7.5419215504472017E-3</v>
      </c>
      <c r="K1310">
        <v>577459</v>
      </c>
      <c r="L1310">
        <v>54509</v>
      </c>
      <c r="M1310">
        <v>23</v>
      </c>
      <c r="N1310">
        <v>74239</v>
      </c>
      <c r="O1310" s="43">
        <v>33255595.731409919</v>
      </c>
      <c r="P1310" s="14">
        <f t="shared" si="62"/>
        <v>1909797.1879377589</v>
      </c>
      <c r="Q1310" s="14" t="str">
        <f t="shared" si="60"/>
        <v/>
      </c>
      <c r="R1310" s="14" t="str">
        <f t="shared" si="60"/>
        <v/>
      </c>
      <c r="S1310" s="14" t="str">
        <f t="shared" si="61"/>
        <v/>
      </c>
      <c r="T1310" s="14" t="s">
        <v>72</v>
      </c>
      <c r="U1310" s="14">
        <v>708.64459663738728</v>
      </c>
      <c r="V1310">
        <v>8806</v>
      </c>
      <c r="W1310">
        <v>16.689721679687501</v>
      </c>
      <c r="X1310">
        <v>21.7029107555378</v>
      </c>
      <c r="Y1310">
        <v>1.48916096843031</v>
      </c>
      <c r="Z1310" s="31">
        <v>2.9635524530013999</v>
      </c>
      <c r="AA1310">
        <v>10.074513166431901</v>
      </c>
      <c r="AB1310">
        <v>0.08</v>
      </c>
      <c r="AC1310">
        <v>267170.40933129599</v>
      </c>
      <c r="AD1310">
        <v>305723.09939780203</v>
      </c>
      <c r="AE1310">
        <v>1</v>
      </c>
      <c r="AF1310">
        <v>619.38780722655918</v>
      </c>
      <c r="AG1310">
        <v>3763.475312678615</v>
      </c>
    </row>
    <row r="1311" spans="2:33" hidden="1" x14ac:dyDescent="0.25">
      <c r="B1311">
        <v>22</v>
      </c>
      <c r="C1311" t="s">
        <v>52</v>
      </c>
      <c r="D1311" t="s">
        <v>53</v>
      </c>
      <c r="E1311" t="s">
        <v>68</v>
      </c>
      <c r="F1311">
        <v>175876</v>
      </c>
      <c r="G1311">
        <v>176878</v>
      </c>
      <c r="H1311">
        <v>25</v>
      </c>
      <c r="I1311">
        <v>1132</v>
      </c>
      <c r="J1311">
        <v>0.16488200906839739</v>
      </c>
      <c r="K1311">
        <v>577459</v>
      </c>
      <c r="L1311">
        <v>54509</v>
      </c>
      <c r="M1311">
        <v>23</v>
      </c>
      <c r="N1311">
        <v>74239</v>
      </c>
      <c r="O1311" s="43">
        <v>37490464.856275201</v>
      </c>
      <c r="P1311" s="14">
        <f t="shared" si="62"/>
        <v>4234869.1248652823</v>
      </c>
      <c r="Q1311" s="14" t="str">
        <f t="shared" si="60"/>
        <v/>
      </c>
      <c r="R1311" s="14" t="str">
        <f t="shared" si="60"/>
        <v/>
      </c>
      <c r="S1311" s="14" t="str">
        <f t="shared" si="61"/>
        <v/>
      </c>
      <c r="T1311" s="14" t="s">
        <v>72</v>
      </c>
      <c r="U1311" s="14">
        <v>3741.0504636619071</v>
      </c>
      <c r="V1311">
        <v>8806</v>
      </c>
      <c r="W1311">
        <v>1.5889526367187701</v>
      </c>
      <c r="X1311">
        <v>45.08025396</v>
      </c>
      <c r="Y1311">
        <v>0.37733777800000001</v>
      </c>
      <c r="Z1311" s="31">
        <v>5.2166704914238897</v>
      </c>
      <c r="AA1311">
        <v>14.135848768922401</v>
      </c>
      <c r="AB1311">
        <v>0.08</v>
      </c>
      <c r="AC1311">
        <v>267170.40933129599</v>
      </c>
      <c r="AD1311">
        <v>305723.09939780203</v>
      </c>
      <c r="AE1311">
        <v>1</v>
      </c>
      <c r="AF1311">
        <v>619.38780722655918</v>
      </c>
      <c r="AG1311">
        <v>3763.475312678615</v>
      </c>
    </row>
    <row r="1312" spans="2:33" hidden="1" x14ac:dyDescent="0.25">
      <c r="B1312">
        <v>22</v>
      </c>
      <c r="C1312" t="s">
        <v>52</v>
      </c>
      <c r="D1312" t="s">
        <v>53</v>
      </c>
      <c r="E1312" t="s">
        <v>68</v>
      </c>
      <c r="F1312">
        <v>176017</v>
      </c>
      <c r="G1312">
        <v>176878</v>
      </c>
      <c r="H1312">
        <v>26</v>
      </c>
      <c r="I1312">
        <v>601</v>
      </c>
      <c r="J1312">
        <v>3.6669342710795007E-2</v>
      </c>
      <c r="K1312">
        <v>577459</v>
      </c>
      <c r="L1312">
        <v>54509</v>
      </c>
      <c r="M1312">
        <v>23</v>
      </c>
      <c r="N1312">
        <v>74239</v>
      </c>
      <c r="O1312" s="43">
        <v>39304815.840972006</v>
      </c>
      <c r="P1312" s="14">
        <f t="shared" si="62"/>
        <v>1814350.9846968055</v>
      </c>
      <c r="Q1312" s="14" t="str">
        <f t="shared" si="60"/>
        <v/>
      </c>
      <c r="R1312" s="14" t="str">
        <f t="shared" si="60"/>
        <v/>
      </c>
      <c r="S1312" s="14" t="str">
        <f t="shared" si="61"/>
        <v/>
      </c>
      <c r="T1312" s="14" t="s">
        <v>72</v>
      </c>
      <c r="U1312" s="14">
        <v>3018.8868297783783</v>
      </c>
      <c r="V1312">
        <v>8806</v>
      </c>
      <c r="W1312">
        <v>10.754113769531299</v>
      </c>
      <c r="X1312">
        <v>23.827027784703802</v>
      </c>
      <c r="Y1312">
        <v>0.98520630094406603</v>
      </c>
      <c r="Z1312" s="31">
        <v>5.5519727676409198</v>
      </c>
      <c r="AA1312">
        <v>15.9240971534567</v>
      </c>
      <c r="AB1312">
        <v>0.08</v>
      </c>
      <c r="AC1312">
        <v>267170.40933129599</v>
      </c>
      <c r="AD1312">
        <v>305723.09939780203</v>
      </c>
      <c r="AE1312">
        <v>1</v>
      </c>
      <c r="AF1312">
        <v>619.38780722655918</v>
      </c>
      <c r="AG1312">
        <v>3763.475312678615</v>
      </c>
    </row>
    <row r="1313" spans="2:33" hidden="1" x14ac:dyDescent="0.25">
      <c r="B1313">
        <v>22</v>
      </c>
      <c r="C1313" t="s">
        <v>52</v>
      </c>
      <c r="D1313" t="s">
        <v>53</v>
      </c>
      <c r="E1313" t="s">
        <v>68</v>
      </c>
      <c r="F1313">
        <v>176082</v>
      </c>
      <c r="G1313">
        <v>176878</v>
      </c>
      <c r="H1313">
        <v>27</v>
      </c>
      <c r="I1313">
        <v>29</v>
      </c>
      <c r="J1313">
        <v>1.690430692341614E-2</v>
      </c>
      <c r="K1313">
        <v>577459</v>
      </c>
      <c r="L1313">
        <v>54509</v>
      </c>
      <c r="M1313">
        <v>23</v>
      </c>
      <c r="N1313">
        <v>74239</v>
      </c>
      <c r="O1313" s="43">
        <v>38163144.997517757</v>
      </c>
      <c r="P1313" s="14">
        <f t="shared" si="62"/>
        <v>-1141670.8434542492</v>
      </c>
      <c r="Q1313" s="14">
        <f t="shared" si="60"/>
        <v>-1141670.8434542492</v>
      </c>
      <c r="R1313" s="14">
        <f t="shared" si="60"/>
        <v>-1141670.8434542492</v>
      </c>
      <c r="S1313" s="14">
        <f t="shared" si="61"/>
        <v>1303412314793.5369</v>
      </c>
      <c r="T1313" s="14">
        <v>1303412314793.5369</v>
      </c>
      <c r="U1313" s="14">
        <v>-39367.960119111784</v>
      </c>
      <c r="V1313">
        <v>8806</v>
      </c>
      <c r="W1313">
        <v>12.765344238281299</v>
      </c>
      <c r="X1313">
        <v>24.642155910553502</v>
      </c>
      <c r="Y1313">
        <v>1.11300088352364</v>
      </c>
      <c r="Z1313" s="31">
        <v>4.5483549055852404</v>
      </c>
      <c r="AA1313">
        <v>14.4813616035255</v>
      </c>
      <c r="AB1313">
        <v>0.08</v>
      </c>
      <c r="AC1313">
        <v>267170.40933129599</v>
      </c>
      <c r="AD1313">
        <v>305723.09939780203</v>
      </c>
      <c r="AE1313">
        <v>1</v>
      </c>
      <c r="AF1313">
        <v>619.38780722655918</v>
      </c>
      <c r="AG1313">
        <v>3763.475312678615</v>
      </c>
    </row>
    <row r="1314" spans="2:33" hidden="1" x14ac:dyDescent="0.25">
      <c r="B1314">
        <v>22</v>
      </c>
      <c r="C1314" t="s">
        <v>52</v>
      </c>
      <c r="D1314" t="s">
        <v>53</v>
      </c>
      <c r="E1314" t="s">
        <v>68</v>
      </c>
      <c r="F1314">
        <v>176116</v>
      </c>
      <c r="G1314">
        <v>176878</v>
      </c>
      <c r="H1314">
        <v>28</v>
      </c>
      <c r="I1314">
        <v>634</v>
      </c>
      <c r="J1314">
        <v>8.8422528522484438E-3</v>
      </c>
      <c r="K1314">
        <v>577459</v>
      </c>
      <c r="L1314">
        <v>54509</v>
      </c>
      <c r="M1314">
        <v>23</v>
      </c>
      <c r="N1314">
        <v>74239</v>
      </c>
      <c r="O1314" s="43">
        <v>39593700.582986876</v>
      </c>
      <c r="P1314" s="14">
        <f t="shared" si="62"/>
        <v>1430555.5854691193</v>
      </c>
      <c r="Q1314" s="14" t="str">
        <f t="shared" si="60"/>
        <v/>
      </c>
      <c r="R1314" s="14" t="str">
        <f t="shared" si="60"/>
        <v/>
      </c>
      <c r="S1314" s="14" t="str">
        <f t="shared" si="61"/>
        <v/>
      </c>
      <c r="T1314" s="14" t="s">
        <v>72</v>
      </c>
      <c r="U1314" s="14">
        <v>2256.3968225064973</v>
      </c>
      <c r="V1314">
        <v>8806</v>
      </c>
      <c r="W1314">
        <v>5.5208374023437203</v>
      </c>
      <c r="X1314">
        <v>43.664248475126399</v>
      </c>
      <c r="Y1314">
        <v>0.51074574100000003</v>
      </c>
      <c r="Z1314" s="31">
        <v>6.17182952833355</v>
      </c>
      <c r="AA1314">
        <v>17.062183141062299</v>
      </c>
      <c r="AB1314">
        <v>0.08</v>
      </c>
      <c r="AC1314">
        <v>267170.40933129599</v>
      </c>
      <c r="AD1314">
        <v>305723.09939780203</v>
      </c>
      <c r="AE1314">
        <v>1</v>
      </c>
      <c r="AF1314">
        <v>619.38780722655918</v>
      </c>
      <c r="AG1314">
        <v>3763.475312678615</v>
      </c>
    </row>
    <row r="1315" spans="2:33" hidden="1" x14ac:dyDescent="0.25">
      <c r="B1315">
        <v>22</v>
      </c>
      <c r="C1315" t="s">
        <v>52</v>
      </c>
      <c r="D1315" t="s">
        <v>53</v>
      </c>
      <c r="E1315" t="s">
        <v>68</v>
      </c>
      <c r="F1315">
        <v>176476</v>
      </c>
      <c r="G1315">
        <v>176878</v>
      </c>
      <c r="H1315">
        <v>29</v>
      </c>
      <c r="I1315">
        <v>141</v>
      </c>
      <c r="J1315">
        <v>9.3623853729689399E-2</v>
      </c>
      <c r="K1315">
        <v>577459</v>
      </c>
      <c r="L1315">
        <v>54509</v>
      </c>
      <c r="M1315">
        <v>23</v>
      </c>
      <c r="N1315">
        <v>74239</v>
      </c>
      <c r="O1315" s="43">
        <v>41243762.524583533</v>
      </c>
      <c r="P1315" s="14">
        <f t="shared" si="62"/>
        <v>1650061.941596657</v>
      </c>
      <c r="Q1315" s="14" t="str">
        <f t="shared" si="60"/>
        <v/>
      </c>
      <c r="R1315" s="14" t="str">
        <f t="shared" si="60"/>
        <v/>
      </c>
      <c r="S1315" s="14" t="str">
        <f t="shared" si="61"/>
        <v/>
      </c>
      <c r="T1315" s="14" t="s">
        <v>72</v>
      </c>
      <c r="U1315" s="14">
        <v>11702.566961678313</v>
      </c>
      <c r="V1315">
        <v>8806</v>
      </c>
      <c r="W1315">
        <v>1.2661376953125201</v>
      </c>
      <c r="X1315">
        <v>33.866871995717702</v>
      </c>
      <c r="Y1315">
        <v>0.44387581295696299</v>
      </c>
      <c r="Z1315" s="31">
        <v>4.5226963554291704</v>
      </c>
      <c r="AA1315">
        <v>10.8814852340032</v>
      </c>
      <c r="AB1315">
        <v>0.08</v>
      </c>
      <c r="AC1315">
        <v>267170.40933129599</v>
      </c>
      <c r="AD1315">
        <v>305723.09939780203</v>
      </c>
      <c r="AE1315">
        <v>1</v>
      </c>
      <c r="AF1315">
        <v>619.38780722655918</v>
      </c>
      <c r="AG1315">
        <v>3763.475312678615</v>
      </c>
    </row>
    <row r="1316" spans="2:33" hidden="1" x14ac:dyDescent="0.25">
      <c r="B1316">
        <v>22</v>
      </c>
      <c r="C1316" t="s">
        <v>52</v>
      </c>
      <c r="D1316" t="s">
        <v>53</v>
      </c>
      <c r="E1316" t="s">
        <v>68</v>
      </c>
      <c r="F1316">
        <v>176488</v>
      </c>
      <c r="G1316">
        <v>176878</v>
      </c>
      <c r="H1316">
        <v>30</v>
      </c>
      <c r="I1316">
        <v>65</v>
      </c>
      <c r="J1316">
        <v>3.1207951243229799E-3</v>
      </c>
      <c r="K1316">
        <v>577459</v>
      </c>
      <c r="L1316">
        <v>54509</v>
      </c>
      <c r="M1316">
        <v>23</v>
      </c>
      <c r="N1316">
        <v>74239</v>
      </c>
      <c r="O1316" s="43">
        <v>42298462.066259533</v>
      </c>
      <c r="P1316" s="14">
        <f t="shared" si="62"/>
        <v>1054699.5416759998</v>
      </c>
      <c r="Q1316" s="14" t="str">
        <f t="shared" si="60"/>
        <v/>
      </c>
      <c r="R1316" s="14" t="str">
        <f t="shared" si="60"/>
        <v/>
      </c>
      <c r="S1316" s="14" t="str">
        <f t="shared" si="61"/>
        <v/>
      </c>
      <c r="T1316" s="14" t="s">
        <v>72</v>
      </c>
      <c r="U1316" s="14">
        <v>16226.14679501538</v>
      </c>
      <c r="V1316">
        <v>8806</v>
      </c>
      <c r="W1316">
        <v>8.0774169921875192</v>
      </c>
      <c r="X1316">
        <v>33.719496166314798</v>
      </c>
      <c r="Y1316">
        <v>0.71615027413264298</v>
      </c>
      <c r="Z1316" s="31">
        <v>5.9769232792199798</v>
      </c>
      <c r="AA1316">
        <v>17.4521272024162</v>
      </c>
      <c r="AB1316">
        <v>0.08</v>
      </c>
      <c r="AC1316">
        <v>267170.40933129599</v>
      </c>
      <c r="AD1316">
        <v>305723.09939780203</v>
      </c>
      <c r="AE1316">
        <v>1</v>
      </c>
      <c r="AF1316">
        <v>619.38780722655918</v>
      </c>
      <c r="AG1316">
        <v>3763.475312678615</v>
      </c>
    </row>
    <row r="1317" spans="2:33" hidden="1" x14ac:dyDescent="0.25">
      <c r="B1317">
        <v>22</v>
      </c>
      <c r="C1317" t="s">
        <v>52</v>
      </c>
      <c r="D1317" t="s">
        <v>53</v>
      </c>
      <c r="E1317" t="s">
        <v>68</v>
      </c>
      <c r="F1317">
        <v>176854</v>
      </c>
      <c r="G1317">
        <v>176878</v>
      </c>
      <c r="H1317">
        <v>31</v>
      </c>
      <c r="I1317">
        <v>34</v>
      </c>
      <c r="J1317">
        <v>9.5184251291850888E-2</v>
      </c>
      <c r="K1317">
        <v>577459</v>
      </c>
      <c r="L1317">
        <v>54509</v>
      </c>
      <c r="M1317">
        <v>23</v>
      </c>
      <c r="N1317">
        <v>74239</v>
      </c>
      <c r="O1317" s="43">
        <v>42863204.507587202</v>
      </c>
      <c r="P1317" s="14">
        <f t="shared" si="62"/>
        <v>564742.44132766873</v>
      </c>
      <c r="Q1317" s="14" t="str">
        <f t="shared" si="60"/>
        <v/>
      </c>
      <c r="R1317" s="14" t="str">
        <f t="shared" si="60"/>
        <v/>
      </c>
      <c r="S1317" s="14" t="str">
        <f t="shared" si="61"/>
        <v/>
      </c>
      <c r="T1317" s="14" t="s">
        <v>72</v>
      </c>
      <c r="U1317" s="14">
        <v>16610.071803755181</v>
      </c>
      <c r="V1317">
        <v>8806</v>
      </c>
      <c r="W1317">
        <v>7.8929077148437203</v>
      </c>
      <c r="X1317">
        <v>39.7866899999227</v>
      </c>
      <c r="Y1317">
        <v>0.64251995045824395</v>
      </c>
      <c r="Z1317" s="31">
        <v>4.3836198299999998</v>
      </c>
      <c r="AA1317">
        <v>13.7121828633724</v>
      </c>
      <c r="AB1317">
        <v>0.08</v>
      </c>
      <c r="AC1317">
        <v>267170.40933129599</v>
      </c>
      <c r="AD1317">
        <v>305723.09939780203</v>
      </c>
      <c r="AE1317">
        <v>1</v>
      </c>
      <c r="AF1317">
        <v>619.38780722655918</v>
      </c>
      <c r="AG1317">
        <v>3763.475312678615</v>
      </c>
    </row>
    <row r="1318" spans="2:33" hidden="1" x14ac:dyDescent="0.25">
      <c r="B1318">
        <v>22</v>
      </c>
      <c r="C1318" t="s">
        <v>52</v>
      </c>
      <c r="D1318" t="s">
        <v>53</v>
      </c>
      <c r="E1318" t="s">
        <v>68</v>
      </c>
      <c r="F1318">
        <v>176854</v>
      </c>
      <c r="G1318">
        <v>176878</v>
      </c>
      <c r="H1318">
        <v>32</v>
      </c>
      <c r="I1318">
        <v>360</v>
      </c>
      <c r="J1318">
        <v>0</v>
      </c>
      <c r="K1318">
        <v>577459</v>
      </c>
      <c r="L1318">
        <v>54509</v>
      </c>
      <c r="M1318">
        <v>23</v>
      </c>
      <c r="N1318">
        <v>74239</v>
      </c>
      <c r="O1318" s="43">
        <v>43818639.219748802</v>
      </c>
      <c r="P1318" s="14">
        <f t="shared" si="62"/>
        <v>955434.71216160059</v>
      </c>
      <c r="Q1318" s="14" t="str">
        <f t="shared" si="60"/>
        <v/>
      </c>
      <c r="R1318" s="14" t="str">
        <f t="shared" si="60"/>
        <v/>
      </c>
      <c r="S1318" s="14" t="str">
        <f t="shared" si="61"/>
        <v/>
      </c>
      <c r="T1318" s="14" t="s">
        <v>72</v>
      </c>
      <c r="U1318" s="14">
        <v>2653.9853115600017</v>
      </c>
      <c r="V1318">
        <v>8806</v>
      </c>
      <c r="W1318">
        <v>7.2821899414062701</v>
      </c>
      <c r="X1318">
        <v>60.479828506876899</v>
      </c>
      <c r="Y1318">
        <v>0.40454248707549201</v>
      </c>
      <c r="Z1318" s="31">
        <v>4.6432483243080398</v>
      </c>
      <c r="AA1318">
        <v>15.042194668327999</v>
      </c>
      <c r="AB1318">
        <v>0.08</v>
      </c>
      <c r="AC1318">
        <v>267170.40933129599</v>
      </c>
      <c r="AD1318">
        <v>305723.09939780203</v>
      </c>
      <c r="AE1318">
        <v>1</v>
      </c>
      <c r="AF1318">
        <v>619.38780722655918</v>
      </c>
      <c r="AG1318">
        <v>3763.475312678615</v>
      </c>
    </row>
    <row r="1319" spans="2:33" hidden="1" x14ac:dyDescent="0.25">
      <c r="B1319">
        <v>22</v>
      </c>
      <c r="C1319" t="s">
        <v>52</v>
      </c>
      <c r="D1319" t="s">
        <v>53</v>
      </c>
      <c r="E1319" t="s">
        <v>68</v>
      </c>
      <c r="F1319">
        <v>176497</v>
      </c>
      <c r="G1319">
        <v>176878</v>
      </c>
      <c r="H1319">
        <v>33</v>
      </c>
      <c r="I1319">
        <v>12</v>
      </c>
      <c r="J1319">
        <v>0</v>
      </c>
      <c r="K1319">
        <v>577459</v>
      </c>
      <c r="L1319">
        <v>54509</v>
      </c>
      <c r="M1319">
        <v>23</v>
      </c>
      <c r="N1319">
        <v>74239</v>
      </c>
      <c r="O1319" s="43">
        <v>44425417.446970567</v>
      </c>
      <c r="P1319" s="14">
        <f t="shared" si="62"/>
        <v>606778.22722176462</v>
      </c>
      <c r="Q1319" s="14" t="str">
        <f t="shared" si="60"/>
        <v/>
      </c>
      <c r="R1319" s="14" t="str">
        <f t="shared" si="60"/>
        <v/>
      </c>
      <c r="S1319" s="14" t="str">
        <f t="shared" si="61"/>
        <v/>
      </c>
      <c r="T1319" s="14" t="s">
        <v>72</v>
      </c>
      <c r="U1319" s="14">
        <v>50564.852268480383</v>
      </c>
      <c r="V1319">
        <v>8806</v>
      </c>
      <c r="W1319">
        <v>8.4801879882812692</v>
      </c>
      <c r="X1319">
        <v>31.650335584057601</v>
      </c>
      <c r="Y1319">
        <v>0.75894989329997997</v>
      </c>
      <c r="Z1319" s="31">
        <v>4.0494497809999999</v>
      </c>
      <c r="AA1319">
        <v>12.6469211307889</v>
      </c>
      <c r="AB1319">
        <v>0.08</v>
      </c>
      <c r="AC1319">
        <v>267170.40933129599</v>
      </c>
      <c r="AD1319">
        <v>305723.09939780203</v>
      </c>
      <c r="AE1319">
        <v>1</v>
      </c>
      <c r="AF1319">
        <v>619.38780722655918</v>
      </c>
      <c r="AG1319">
        <v>3763.475312678615</v>
      </c>
    </row>
    <row r="1320" spans="2:33" hidden="1" x14ac:dyDescent="0.25">
      <c r="B1320">
        <v>22</v>
      </c>
      <c r="C1320" t="s">
        <v>52</v>
      </c>
      <c r="D1320" t="s">
        <v>53</v>
      </c>
      <c r="E1320" t="s">
        <v>68</v>
      </c>
      <c r="F1320">
        <v>176863</v>
      </c>
      <c r="G1320">
        <v>176878</v>
      </c>
      <c r="H1320">
        <v>34</v>
      </c>
      <c r="I1320">
        <v>366</v>
      </c>
      <c r="J1320">
        <v>9.5184251291850888E-2</v>
      </c>
      <c r="K1320">
        <v>577459</v>
      </c>
      <c r="L1320">
        <v>54509</v>
      </c>
      <c r="M1320">
        <v>23</v>
      </c>
      <c r="N1320">
        <v>74239</v>
      </c>
      <c r="O1320" s="43">
        <v>45759401.953673773</v>
      </c>
      <c r="P1320" s="14">
        <f t="shared" si="62"/>
        <v>1333984.5067032054</v>
      </c>
      <c r="Q1320" s="14" t="str">
        <f t="shared" si="60"/>
        <v/>
      </c>
      <c r="R1320" s="14" t="str">
        <f t="shared" si="60"/>
        <v/>
      </c>
      <c r="S1320" s="14" t="str">
        <f t="shared" si="61"/>
        <v/>
      </c>
      <c r="T1320" s="14" t="s">
        <v>72</v>
      </c>
      <c r="U1320" s="14">
        <v>3644.7664117573713</v>
      </c>
      <c r="V1320">
        <v>8806</v>
      </c>
      <c r="W1320">
        <v>8.9922119140625192</v>
      </c>
      <c r="X1320">
        <v>35.335344648794603</v>
      </c>
      <c r="Y1320">
        <v>0.74334760205967199</v>
      </c>
      <c r="Z1320" s="31">
        <v>2.4266752575443702</v>
      </c>
      <c r="AA1320">
        <v>9.3572622925552391</v>
      </c>
      <c r="AB1320">
        <v>0.08</v>
      </c>
      <c r="AC1320">
        <v>267170.40933129599</v>
      </c>
      <c r="AD1320">
        <v>305723.09939780203</v>
      </c>
      <c r="AE1320">
        <v>1</v>
      </c>
      <c r="AF1320">
        <v>619.38780722655918</v>
      </c>
      <c r="AG1320">
        <v>3763.475312678615</v>
      </c>
    </row>
    <row r="1321" spans="2:33" hidden="1" x14ac:dyDescent="0.25">
      <c r="B1321">
        <v>22</v>
      </c>
      <c r="C1321" t="s">
        <v>52</v>
      </c>
      <c r="D1321" t="s">
        <v>53</v>
      </c>
      <c r="E1321" t="s">
        <v>68</v>
      </c>
      <c r="F1321">
        <v>176512</v>
      </c>
      <c r="G1321">
        <v>176878</v>
      </c>
      <c r="H1321">
        <v>35</v>
      </c>
      <c r="I1321">
        <v>0</v>
      </c>
      <c r="J1321">
        <v>0</v>
      </c>
      <c r="K1321">
        <v>577459</v>
      </c>
      <c r="L1321">
        <v>54509</v>
      </c>
      <c r="M1321">
        <v>23</v>
      </c>
      <c r="N1321">
        <v>74239</v>
      </c>
      <c r="O1321" s="43">
        <v>46850398.470707037</v>
      </c>
      <c r="P1321" s="14">
        <f t="shared" si="62"/>
        <v>1090996.517033264</v>
      </c>
      <c r="Q1321" s="14" t="str">
        <f t="shared" si="60"/>
        <v/>
      </c>
      <c r="R1321" s="14" t="str">
        <f t="shared" si="60"/>
        <v/>
      </c>
      <c r="S1321" s="14" t="str">
        <f t="shared" si="61"/>
        <v/>
      </c>
      <c r="T1321" s="14" t="s">
        <v>72</v>
      </c>
      <c r="U1321" s="14">
        <v>0</v>
      </c>
      <c r="V1321">
        <v>8806</v>
      </c>
      <c r="W1321">
        <v>12.656823730468799</v>
      </c>
      <c r="X1321">
        <v>19.4536298861163</v>
      </c>
      <c r="Y1321">
        <v>1.1811322711543799</v>
      </c>
      <c r="Z1321" s="31">
        <v>4.0243700856895703</v>
      </c>
      <c r="AA1321">
        <v>13.125241999341201</v>
      </c>
      <c r="AB1321">
        <v>0.08</v>
      </c>
      <c r="AC1321">
        <v>267170.40933129599</v>
      </c>
      <c r="AD1321">
        <v>305723.09939780203</v>
      </c>
      <c r="AE1321">
        <v>1</v>
      </c>
      <c r="AF1321">
        <v>619.38780722655918</v>
      </c>
      <c r="AG1321">
        <v>3763.475312678615</v>
      </c>
    </row>
    <row r="1322" spans="2:33" hidden="1" x14ac:dyDescent="0.25">
      <c r="B1322">
        <v>22</v>
      </c>
      <c r="C1322" t="s">
        <v>52</v>
      </c>
      <c r="D1322" t="s">
        <v>53</v>
      </c>
      <c r="E1322" t="s">
        <v>68</v>
      </c>
      <c r="F1322">
        <v>176878</v>
      </c>
      <c r="G1322">
        <v>176878</v>
      </c>
      <c r="H1322">
        <v>36</v>
      </c>
      <c r="I1322">
        <v>-357</v>
      </c>
      <c r="J1322">
        <v>9.5184251291850888E-2</v>
      </c>
      <c r="K1322">
        <v>577459</v>
      </c>
      <c r="L1322">
        <v>54509</v>
      </c>
      <c r="M1322">
        <v>23</v>
      </c>
      <c r="N1322">
        <v>74239</v>
      </c>
      <c r="O1322" s="43">
        <v>47193853.979796477</v>
      </c>
      <c r="P1322" s="14">
        <f t="shared" si="62"/>
        <v>343455.50908944011</v>
      </c>
      <c r="Q1322" s="14" t="str">
        <f t="shared" si="60"/>
        <v/>
      </c>
      <c r="R1322" s="14" t="str">
        <f t="shared" si="60"/>
        <v/>
      </c>
      <c r="S1322" s="14" t="str">
        <f t="shared" si="61"/>
        <v/>
      </c>
      <c r="T1322" s="14" t="s">
        <v>72</v>
      </c>
      <c r="U1322" s="14">
        <v>-962.06024955025237</v>
      </c>
      <c r="V1322">
        <v>8806</v>
      </c>
      <c r="W1322">
        <v>-2.1932128999999998</v>
      </c>
      <c r="X1322">
        <v>76.324678217009904</v>
      </c>
      <c r="Y1322">
        <v>0.12355617503813</v>
      </c>
      <c r="Z1322" s="31">
        <v>2.3966048110568199</v>
      </c>
      <c r="AA1322">
        <v>3.9835873264154098</v>
      </c>
      <c r="AB1322">
        <v>0.08</v>
      </c>
      <c r="AC1322">
        <v>267170.40933129599</v>
      </c>
      <c r="AD1322">
        <v>305723.09939780203</v>
      </c>
      <c r="AE1322">
        <v>1</v>
      </c>
      <c r="AF1322">
        <v>619.38780722655918</v>
      </c>
      <c r="AG1322">
        <v>3763.475312678615</v>
      </c>
    </row>
    <row r="1323" spans="2:33" hidden="1" x14ac:dyDescent="0.25">
      <c r="B1323">
        <v>22</v>
      </c>
      <c r="C1323" t="s">
        <v>52</v>
      </c>
      <c r="D1323" t="s">
        <v>53</v>
      </c>
      <c r="E1323" t="s">
        <v>68</v>
      </c>
      <c r="F1323">
        <v>176878</v>
      </c>
      <c r="G1323">
        <v>176878</v>
      </c>
      <c r="H1323">
        <v>37</v>
      </c>
      <c r="I1323">
        <v>366</v>
      </c>
      <c r="J1323">
        <v>0</v>
      </c>
      <c r="K1323">
        <v>577459</v>
      </c>
      <c r="L1323">
        <v>54509</v>
      </c>
      <c r="M1323">
        <v>23</v>
      </c>
      <c r="N1323">
        <v>74239</v>
      </c>
      <c r="O1323" s="43">
        <v>47454319.30811616</v>
      </c>
      <c r="P1323" s="14">
        <f t="shared" si="62"/>
        <v>260465.32831968367</v>
      </c>
      <c r="Q1323" s="14" t="str">
        <f t="shared" si="60"/>
        <v/>
      </c>
      <c r="R1323" s="14" t="str">
        <f t="shared" si="60"/>
        <v/>
      </c>
      <c r="S1323" s="14" t="str">
        <f t="shared" si="61"/>
        <v/>
      </c>
      <c r="T1323" s="14" t="s">
        <v>72</v>
      </c>
      <c r="U1323" s="14">
        <v>711.65390251277654</v>
      </c>
      <c r="V1323">
        <v>8806</v>
      </c>
      <c r="W1323">
        <v>-0.180456543</v>
      </c>
      <c r="X1323">
        <v>39.338140394212097</v>
      </c>
      <c r="Y1323">
        <v>0.36675045828324199</v>
      </c>
      <c r="Z1323" s="31">
        <v>1.4658600172330301</v>
      </c>
      <c r="AA1323">
        <v>12.325015294003199</v>
      </c>
      <c r="AB1323">
        <v>0.08</v>
      </c>
      <c r="AC1323">
        <v>267170.40933129599</v>
      </c>
      <c r="AD1323">
        <v>305723.09939780203</v>
      </c>
      <c r="AE1323">
        <v>1</v>
      </c>
      <c r="AF1323">
        <v>619.38780722655918</v>
      </c>
      <c r="AG1323">
        <v>3763.475312678615</v>
      </c>
    </row>
    <row r="1324" spans="2:33" hidden="1" x14ac:dyDescent="0.25">
      <c r="B1324">
        <v>22</v>
      </c>
      <c r="C1324" t="s">
        <v>52</v>
      </c>
      <c r="D1324" t="s">
        <v>53</v>
      </c>
      <c r="E1324" t="s">
        <v>68</v>
      </c>
      <c r="F1324">
        <v>176878</v>
      </c>
      <c r="G1324">
        <v>176878</v>
      </c>
      <c r="H1324">
        <v>38</v>
      </c>
      <c r="I1324">
        <v>-351</v>
      </c>
      <c r="J1324">
        <v>0</v>
      </c>
      <c r="K1324">
        <v>577459</v>
      </c>
      <c r="L1324">
        <v>54509</v>
      </c>
      <c r="M1324">
        <v>23</v>
      </c>
      <c r="N1324">
        <v>74239</v>
      </c>
      <c r="O1324" s="43">
        <v>47769975.629893437</v>
      </c>
      <c r="P1324" s="14">
        <f t="shared" si="62"/>
        <v>315656.32177727669</v>
      </c>
      <c r="Q1324" s="14" t="str">
        <f t="shared" si="60"/>
        <v/>
      </c>
      <c r="R1324" s="14" t="str">
        <f t="shared" si="60"/>
        <v/>
      </c>
      <c r="S1324" s="14" t="str">
        <f t="shared" si="61"/>
        <v/>
      </c>
      <c r="T1324" s="14" t="s">
        <v>72</v>
      </c>
      <c r="U1324" s="14">
        <v>-899.30576004924262</v>
      </c>
      <c r="V1324">
        <v>8806</v>
      </c>
      <c r="W1324">
        <v>3.6566405999999998</v>
      </c>
      <c r="X1324">
        <v>47.711228319550898</v>
      </c>
      <c r="Y1324">
        <v>0.41614278018828699</v>
      </c>
      <c r="Z1324" s="31">
        <v>3.1270668444635801</v>
      </c>
      <c r="AA1324">
        <v>11.9454064450935</v>
      </c>
      <c r="AB1324">
        <v>0.08</v>
      </c>
      <c r="AC1324">
        <v>267170.40933129599</v>
      </c>
      <c r="AD1324">
        <v>305723.09939780203</v>
      </c>
      <c r="AE1324">
        <v>1</v>
      </c>
      <c r="AF1324">
        <v>619.38780722655918</v>
      </c>
      <c r="AG1324">
        <v>3763.475312678615</v>
      </c>
    </row>
    <row r="1325" spans="2:33" hidden="1" x14ac:dyDescent="0.25">
      <c r="B1325">
        <v>22</v>
      </c>
      <c r="C1325" t="s">
        <v>52</v>
      </c>
      <c r="D1325" t="s">
        <v>53</v>
      </c>
      <c r="E1325" t="s">
        <v>68</v>
      </c>
      <c r="F1325">
        <v>176878</v>
      </c>
      <c r="G1325">
        <v>176878</v>
      </c>
      <c r="H1325">
        <v>39</v>
      </c>
      <c r="I1325">
        <v>366</v>
      </c>
      <c r="J1325">
        <v>0</v>
      </c>
      <c r="K1325">
        <v>577459</v>
      </c>
      <c r="L1325">
        <v>54509</v>
      </c>
      <c r="M1325">
        <v>23</v>
      </c>
      <c r="N1325">
        <v>74239</v>
      </c>
      <c r="O1325" s="43">
        <v>47661241.476911053</v>
      </c>
      <c r="P1325" s="14">
        <f t="shared" si="62"/>
        <v>-108734.15298238397</v>
      </c>
      <c r="Q1325" s="14">
        <f t="shared" si="60"/>
        <v>-108734.15298238397</v>
      </c>
      <c r="R1325" s="14">
        <f t="shared" si="60"/>
        <v>-108734.15298238397</v>
      </c>
      <c r="S1325" s="14">
        <f t="shared" si="61"/>
        <v>11823116024.79648</v>
      </c>
      <c r="T1325" s="14">
        <v>11823116024.79648</v>
      </c>
      <c r="U1325" s="14">
        <v>-297.08784967868542</v>
      </c>
      <c r="V1325">
        <v>8806</v>
      </c>
      <c r="W1325">
        <v>-19.279119869999999</v>
      </c>
      <c r="X1325">
        <v>83.852958089185805</v>
      </c>
      <c r="Y1325">
        <v>2.15729210527261E-2</v>
      </c>
      <c r="Z1325" s="31">
        <v>2.2419893879999999</v>
      </c>
      <c r="AA1325">
        <v>7.0948430119270398</v>
      </c>
      <c r="AB1325">
        <v>0.08</v>
      </c>
      <c r="AC1325">
        <v>267170.40933129599</v>
      </c>
      <c r="AD1325">
        <v>305723.09939780203</v>
      </c>
      <c r="AE1325">
        <v>1</v>
      </c>
      <c r="AF1325">
        <v>619.38780722655918</v>
      </c>
      <c r="AG1325">
        <v>3763.475312678615</v>
      </c>
    </row>
    <row r="1326" spans="2:33" hidden="1" x14ac:dyDescent="0.25">
      <c r="B1326">
        <v>22</v>
      </c>
      <c r="C1326" t="s">
        <v>52</v>
      </c>
      <c r="D1326" t="s">
        <v>53</v>
      </c>
      <c r="E1326" t="s">
        <v>68</v>
      </c>
      <c r="F1326">
        <v>176878</v>
      </c>
      <c r="G1326">
        <v>176878</v>
      </c>
      <c r="H1326">
        <v>40</v>
      </c>
      <c r="I1326" s="10">
        <v>0</v>
      </c>
      <c r="J1326">
        <v>0</v>
      </c>
      <c r="K1326">
        <v>577459</v>
      </c>
      <c r="L1326">
        <v>54509</v>
      </c>
      <c r="M1326">
        <v>23</v>
      </c>
      <c r="N1326">
        <v>74239</v>
      </c>
      <c r="O1326" s="43">
        <v>48124762.285929121</v>
      </c>
      <c r="P1326" s="14">
        <f t="shared" si="62"/>
        <v>463520.80901806802</v>
      </c>
      <c r="Q1326" s="14" t="str">
        <f t="shared" si="60"/>
        <v/>
      </c>
      <c r="R1326" s="14" t="str">
        <f t="shared" si="60"/>
        <v/>
      </c>
      <c r="S1326" s="14" t="str">
        <f t="shared" si="61"/>
        <v/>
      </c>
      <c r="T1326" s="14" t="s">
        <v>72</v>
      </c>
      <c r="U1326" s="14">
        <v>0</v>
      </c>
      <c r="V1326">
        <v>8806</v>
      </c>
      <c r="W1326">
        <v>-11.219610599999999</v>
      </c>
      <c r="X1326">
        <v>68.969073030000004</v>
      </c>
      <c r="Y1326">
        <v>8.0865374000000004E-2</v>
      </c>
      <c r="Z1326" s="31">
        <v>1.80679198753695</v>
      </c>
      <c r="AA1326">
        <v>3.33587884614909</v>
      </c>
      <c r="AB1326">
        <v>0.08</v>
      </c>
      <c r="AC1326">
        <v>267170.40933129599</v>
      </c>
      <c r="AD1326">
        <v>305723.09939780203</v>
      </c>
      <c r="AE1326">
        <v>1</v>
      </c>
      <c r="AF1326">
        <v>619.38780722655918</v>
      </c>
      <c r="AG1326">
        <v>3763.475312678615</v>
      </c>
    </row>
    <row r="1327" spans="2:33" hidden="1" x14ac:dyDescent="0.25">
      <c r="B1327">
        <v>22</v>
      </c>
      <c r="C1327" t="s">
        <v>52</v>
      </c>
      <c r="D1327" t="s">
        <v>53</v>
      </c>
      <c r="E1327" t="s">
        <v>68</v>
      </c>
      <c r="F1327">
        <v>176878</v>
      </c>
      <c r="G1327">
        <v>176878</v>
      </c>
      <c r="H1327">
        <v>41</v>
      </c>
      <c r="I1327" s="10">
        <v>0</v>
      </c>
      <c r="J1327">
        <v>0</v>
      </c>
      <c r="K1327">
        <v>577459</v>
      </c>
      <c r="L1327">
        <v>54509</v>
      </c>
      <c r="M1327">
        <v>23</v>
      </c>
      <c r="N1327">
        <v>74239</v>
      </c>
      <c r="O1327" s="43">
        <v>48403619.271865442</v>
      </c>
      <c r="P1327" s="14">
        <f t="shared" si="62"/>
        <v>278856.98593632132</v>
      </c>
      <c r="Q1327" s="14" t="str">
        <f t="shared" si="60"/>
        <v/>
      </c>
      <c r="R1327" s="14" t="str">
        <f t="shared" si="60"/>
        <v/>
      </c>
      <c r="S1327" s="14" t="str">
        <f t="shared" si="61"/>
        <v/>
      </c>
      <c r="T1327" s="14" t="s">
        <v>72</v>
      </c>
      <c r="U1327" s="14">
        <v>0</v>
      </c>
      <c r="V1327">
        <v>8806</v>
      </c>
      <c r="W1327">
        <v>-0.73865356400000004</v>
      </c>
      <c r="X1327">
        <v>63.450395025514403</v>
      </c>
      <c r="Y1327">
        <v>0.21224181616226601</v>
      </c>
      <c r="Z1327" s="31">
        <v>1.86000425445777</v>
      </c>
      <c r="AA1327">
        <v>3.2758862929620198</v>
      </c>
      <c r="AB1327">
        <v>0.08</v>
      </c>
      <c r="AC1327">
        <v>267170.40933129599</v>
      </c>
      <c r="AD1327">
        <v>305723.09939780203</v>
      </c>
      <c r="AE1327">
        <v>1</v>
      </c>
      <c r="AF1327">
        <v>619.38780722655918</v>
      </c>
      <c r="AG1327">
        <v>3763.475312678615</v>
      </c>
    </row>
    <row r="1328" spans="2:33" hidden="1" x14ac:dyDescent="0.25">
      <c r="B1328">
        <v>22</v>
      </c>
      <c r="C1328" t="s">
        <v>52</v>
      </c>
      <c r="D1328" t="s">
        <v>53</v>
      </c>
      <c r="E1328" t="s">
        <v>68</v>
      </c>
      <c r="F1328">
        <v>176878</v>
      </c>
      <c r="G1328">
        <v>176878</v>
      </c>
      <c r="H1328">
        <v>42</v>
      </c>
      <c r="I1328" s="10">
        <v>0</v>
      </c>
      <c r="J1328">
        <v>0</v>
      </c>
      <c r="K1328">
        <v>577459</v>
      </c>
      <c r="L1328">
        <v>54509</v>
      </c>
      <c r="M1328">
        <v>23</v>
      </c>
      <c r="N1328">
        <v>74239</v>
      </c>
      <c r="O1328" s="43">
        <v>48701644.914890893</v>
      </c>
      <c r="P1328" s="14">
        <f t="shared" si="62"/>
        <v>298025.64302545041</v>
      </c>
      <c r="Q1328" s="14" t="str">
        <f t="shared" si="60"/>
        <v/>
      </c>
      <c r="R1328" s="14" t="str">
        <f t="shared" si="60"/>
        <v/>
      </c>
      <c r="S1328" s="14" t="str">
        <f t="shared" si="61"/>
        <v/>
      </c>
      <c r="T1328" s="14" t="s">
        <v>72</v>
      </c>
      <c r="U1328" s="14">
        <v>0</v>
      </c>
      <c r="V1328">
        <v>8806</v>
      </c>
      <c r="W1328">
        <v>2.85466918945315</v>
      </c>
      <c r="X1328">
        <v>64.255843901368294</v>
      </c>
      <c r="Y1328">
        <v>0.26883522186728998</v>
      </c>
      <c r="Z1328" s="31">
        <v>1.8036454726672999</v>
      </c>
      <c r="AA1328">
        <v>4.8947668499999999</v>
      </c>
      <c r="AB1328">
        <v>0.08</v>
      </c>
      <c r="AC1328">
        <v>267170.40933129599</v>
      </c>
      <c r="AD1328">
        <v>305723.09939780203</v>
      </c>
      <c r="AE1328">
        <v>1</v>
      </c>
      <c r="AF1328">
        <v>619.38780722655918</v>
      </c>
      <c r="AG1328">
        <v>3763.475312678615</v>
      </c>
    </row>
    <row r="1329" spans="1:33" hidden="1" x14ac:dyDescent="0.25">
      <c r="B1329">
        <v>22</v>
      </c>
      <c r="C1329" t="s">
        <v>52</v>
      </c>
      <c r="D1329" t="s">
        <v>53</v>
      </c>
      <c r="E1329" t="s">
        <v>68</v>
      </c>
      <c r="F1329">
        <v>176878</v>
      </c>
      <c r="G1329">
        <v>176878</v>
      </c>
      <c r="H1329">
        <v>43</v>
      </c>
      <c r="I1329" s="10">
        <v>0</v>
      </c>
      <c r="J1329">
        <v>0</v>
      </c>
      <c r="K1329">
        <v>577459</v>
      </c>
      <c r="L1329">
        <v>54509</v>
      </c>
      <c r="M1329">
        <v>23</v>
      </c>
      <c r="N1329">
        <v>74239</v>
      </c>
      <c r="O1329" s="43">
        <v>48804247.75244832</v>
      </c>
      <c r="P1329" s="14">
        <f t="shared" si="62"/>
        <v>102602.83755742759</v>
      </c>
      <c r="Q1329" s="14" t="str">
        <f t="shared" si="60"/>
        <v/>
      </c>
      <c r="R1329" s="14" t="str">
        <f t="shared" si="60"/>
        <v/>
      </c>
      <c r="S1329" s="14" t="str">
        <f t="shared" si="61"/>
        <v/>
      </c>
      <c r="T1329" s="14" t="s">
        <v>72</v>
      </c>
      <c r="U1329" s="14">
        <v>0</v>
      </c>
      <c r="V1329">
        <v>8806</v>
      </c>
      <c r="W1329">
        <v>2.7032104492187701</v>
      </c>
      <c r="X1329">
        <v>65.689616591769393</v>
      </c>
      <c r="Y1329">
        <v>0.255296158391145</v>
      </c>
      <c r="Z1329" s="31">
        <v>2.3413304299558502</v>
      </c>
      <c r="AA1329">
        <v>12.1714047690709</v>
      </c>
      <c r="AB1329">
        <v>0.08</v>
      </c>
      <c r="AC1329">
        <v>267170.40933129599</v>
      </c>
      <c r="AD1329">
        <v>305723.09939780203</v>
      </c>
      <c r="AE1329">
        <v>1</v>
      </c>
      <c r="AF1329">
        <v>619.38780722655918</v>
      </c>
      <c r="AG1329">
        <v>3763.475312678615</v>
      </c>
    </row>
    <row r="1330" spans="1:33" hidden="1" x14ac:dyDescent="0.25">
      <c r="B1330">
        <v>22</v>
      </c>
      <c r="C1330" t="s">
        <v>52</v>
      </c>
      <c r="D1330" t="s">
        <v>53</v>
      </c>
      <c r="E1330" t="s">
        <v>68</v>
      </c>
      <c r="F1330">
        <v>176878</v>
      </c>
      <c r="G1330">
        <v>176878</v>
      </c>
      <c r="H1330">
        <v>44</v>
      </c>
      <c r="I1330" s="11">
        <v>0</v>
      </c>
      <c r="J1330">
        <v>0</v>
      </c>
      <c r="K1330">
        <v>577459</v>
      </c>
      <c r="L1330">
        <v>54509</v>
      </c>
      <c r="M1330">
        <v>23</v>
      </c>
      <c r="N1330">
        <v>74239</v>
      </c>
      <c r="O1330" s="43">
        <v>48519554.688000001</v>
      </c>
      <c r="P1330" s="14">
        <f t="shared" si="62"/>
        <v>-284693.06444831938</v>
      </c>
      <c r="Q1330" s="14">
        <f t="shared" si="60"/>
        <v>-284693.06444831938</v>
      </c>
      <c r="R1330" s="14">
        <f t="shared" si="60"/>
        <v>-284693.06444831938</v>
      </c>
      <c r="S1330" s="14">
        <f t="shared" si="61"/>
        <v>81050140944.97493</v>
      </c>
      <c r="T1330" s="14">
        <v>81050140944.97493</v>
      </c>
      <c r="U1330" s="14">
        <v>0</v>
      </c>
      <c r="V1330">
        <v>8806</v>
      </c>
      <c r="W1330">
        <v>4.0018249511719004</v>
      </c>
      <c r="X1330">
        <v>51.307178094407902</v>
      </c>
      <c r="Y1330">
        <v>0.39706474123443197</v>
      </c>
      <c r="Z1330" s="31">
        <v>2.7200225155097599</v>
      </c>
      <c r="AA1330">
        <v>12.921659022647599</v>
      </c>
      <c r="AB1330">
        <v>0.08</v>
      </c>
      <c r="AC1330">
        <v>267170.40933129599</v>
      </c>
      <c r="AD1330">
        <v>305723.09939780203</v>
      </c>
      <c r="AE1330">
        <v>1</v>
      </c>
      <c r="AF1330">
        <v>619.38780722655918</v>
      </c>
      <c r="AG1330">
        <v>3763.475312678615</v>
      </c>
    </row>
    <row r="1331" spans="1:33" hidden="1" x14ac:dyDescent="0.25">
      <c r="B1331">
        <v>22</v>
      </c>
      <c r="C1331" t="s">
        <v>52</v>
      </c>
      <c r="D1331" t="s">
        <v>53</v>
      </c>
      <c r="E1331" t="s">
        <v>68</v>
      </c>
      <c r="F1331">
        <v>176878</v>
      </c>
      <c r="G1331">
        <v>176878</v>
      </c>
      <c r="H1331">
        <v>45</v>
      </c>
      <c r="I1331" s="10">
        <v>0</v>
      </c>
      <c r="J1331">
        <v>0</v>
      </c>
      <c r="K1331">
        <v>577459</v>
      </c>
      <c r="L1331">
        <v>54509</v>
      </c>
      <c r="M1331">
        <v>23</v>
      </c>
      <c r="N1331">
        <v>74239</v>
      </c>
      <c r="O1331" s="43">
        <v>48519554.688000001</v>
      </c>
      <c r="P1331" s="14">
        <f t="shared" si="62"/>
        <v>0</v>
      </c>
      <c r="Q1331" s="14" t="str">
        <f t="shared" si="60"/>
        <v/>
      </c>
      <c r="R1331" s="14" t="str">
        <f t="shared" si="60"/>
        <v/>
      </c>
      <c r="S1331" s="14" t="str">
        <f t="shared" si="61"/>
        <v/>
      </c>
      <c r="T1331" s="14" t="s">
        <v>72</v>
      </c>
      <c r="U1331" s="14">
        <v>0</v>
      </c>
      <c r="V1331">
        <v>8806</v>
      </c>
      <c r="W1331">
        <v>-0.28177490199999999</v>
      </c>
      <c r="X1331">
        <v>54.6117436167984</v>
      </c>
      <c r="Y1331">
        <v>0.272467209866186</v>
      </c>
      <c r="Z1331" s="31">
        <v>2.6902623114628001</v>
      </c>
      <c r="AA1331">
        <v>8.3657261620885901</v>
      </c>
      <c r="AB1331">
        <v>0.08</v>
      </c>
      <c r="AC1331">
        <v>267170.40933129599</v>
      </c>
      <c r="AD1331">
        <v>305723.09939780203</v>
      </c>
      <c r="AE1331">
        <v>1</v>
      </c>
      <c r="AF1331">
        <v>619.38780722655918</v>
      </c>
      <c r="AG1331">
        <v>3763.475312678615</v>
      </c>
    </row>
    <row r="1332" spans="1:33" hidden="1" x14ac:dyDescent="0.25">
      <c r="B1332">
        <v>22</v>
      </c>
      <c r="C1332" t="s">
        <v>52</v>
      </c>
      <c r="D1332" t="s">
        <v>53</v>
      </c>
      <c r="E1332" t="s">
        <v>68</v>
      </c>
      <c r="F1332">
        <v>176878</v>
      </c>
      <c r="G1332">
        <v>176878</v>
      </c>
      <c r="H1332">
        <v>46</v>
      </c>
      <c r="I1332" s="10">
        <v>0</v>
      </c>
      <c r="J1332">
        <v>0</v>
      </c>
      <c r="K1332">
        <v>577459</v>
      </c>
      <c r="L1332">
        <v>54509</v>
      </c>
      <c r="M1332">
        <v>23</v>
      </c>
      <c r="N1332">
        <v>74239</v>
      </c>
      <c r="O1332" s="43">
        <v>48519554.688000001</v>
      </c>
      <c r="P1332" s="14">
        <f t="shared" si="62"/>
        <v>0</v>
      </c>
      <c r="Q1332" s="14" t="str">
        <f t="shared" si="60"/>
        <v/>
      </c>
      <c r="R1332" s="14" t="str">
        <f t="shared" si="60"/>
        <v/>
      </c>
      <c r="S1332" s="14" t="str">
        <f t="shared" si="61"/>
        <v/>
      </c>
      <c r="T1332" s="14" t="s">
        <v>72</v>
      </c>
      <c r="U1332" s="14">
        <v>0</v>
      </c>
      <c r="V1332">
        <v>8806</v>
      </c>
      <c r="W1332">
        <v>2.1045776367187701</v>
      </c>
      <c r="X1332">
        <v>53.825317771204602</v>
      </c>
      <c r="Y1332">
        <v>0.32920964093923599</v>
      </c>
      <c r="Z1332" s="31">
        <v>2.51693544672785</v>
      </c>
      <c r="AA1332">
        <v>12.1998589604227</v>
      </c>
      <c r="AB1332">
        <v>0.08</v>
      </c>
      <c r="AC1332">
        <v>267170.40933129599</v>
      </c>
      <c r="AD1332">
        <v>305723.09939780203</v>
      </c>
      <c r="AE1332">
        <v>1</v>
      </c>
      <c r="AF1332">
        <v>619.38780722655918</v>
      </c>
      <c r="AG1332">
        <v>3763.475312678615</v>
      </c>
    </row>
    <row r="1333" spans="1:33" hidden="1" x14ac:dyDescent="0.25">
      <c r="A1333" t="s">
        <v>100</v>
      </c>
      <c r="B1333">
        <v>23</v>
      </c>
      <c r="C1333" t="s">
        <v>54</v>
      </c>
      <c r="D1333" t="s">
        <v>41</v>
      </c>
      <c r="E1333" t="s">
        <v>67</v>
      </c>
      <c r="F1333">
        <v>0</v>
      </c>
      <c r="G1333">
        <v>139006</v>
      </c>
      <c r="H1333">
        <v>1</v>
      </c>
      <c r="I1333" s="10">
        <v>0</v>
      </c>
      <c r="J1333">
        <v>0</v>
      </c>
      <c r="K1333">
        <v>134738</v>
      </c>
      <c r="L1333">
        <v>212558</v>
      </c>
      <c r="M1333">
        <v>24784</v>
      </c>
      <c r="N1333">
        <v>114959</v>
      </c>
      <c r="O1333" s="43">
        <v>0</v>
      </c>
      <c r="P1333" s="14">
        <v>0</v>
      </c>
      <c r="Q1333" s="14" t="str">
        <f t="shared" si="60"/>
        <v/>
      </c>
      <c r="R1333" s="14" t="str">
        <f t="shared" si="60"/>
        <v/>
      </c>
      <c r="S1333" s="14" t="str">
        <f t="shared" si="61"/>
        <v/>
      </c>
      <c r="T1333" s="14" t="s">
        <v>72</v>
      </c>
      <c r="U1333" s="14">
        <v>0</v>
      </c>
      <c r="V1333">
        <v>7575</v>
      </c>
      <c r="W1333">
        <v>31.945458984375001</v>
      </c>
      <c r="X1333">
        <v>10.582439077120799</v>
      </c>
      <c r="Y1333">
        <v>4.2395273111533696</v>
      </c>
      <c r="Z1333" s="31">
        <v>3.8527324211286702</v>
      </c>
      <c r="AA1333">
        <v>6.7883607037777196</v>
      </c>
      <c r="AB1333">
        <v>0.12</v>
      </c>
      <c r="AC1333">
        <v>291878.26061998401</v>
      </c>
      <c r="AD1333">
        <v>333996.29362744768</v>
      </c>
      <c r="AE1333">
        <v>1</v>
      </c>
      <c r="AF1333">
        <v>244.55920230317039</v>
      </c>
      <c r="AG1333">
        <v>144127.10839921809</v>
      </c>
    </row>
    <row r="1334" spans="1:33" hidden="1" x14ac:dyDescent="0.25">
      <c r="B1334">
        <v>23</v>
      </c>
      <c r="C1334" t="s">
        <v>54</v>
      </c>
      <c r="D1334" t="s">
        <v>41</v>
      </c>
      <c r="E1334" t="s">
        <v>67</v>
      </c>
      <c r="F1334">
        <v>1005</v>
      </c>
      <c r="G1334">
        <v>139006</v>
      </c>
      <c r="H1334">
        <v>2</v>
      </c>
      <c r="I1334" s="10">
        <v>0</v>
      </c>
      <c r="J1334">
        <v>0.38318214190652272</v>
      </c>
      <c r="K1334">
        <v>134738</v>
      </c>
      <c r="L1334">
        <v>212558</v>
      </c>
      <c r="M1334">
        <v>24784</v>
      </c>
      <c r="N1334">
        <v>114959</v>
      </c>
      <c r="O1334" s="43">
        <v>343298.73599999998</v>
      </c>
      <c r="P1334" s="14">
        <f t="shared" si="62"/>
        <v>343298.73599999998</v>
      </c>
      <c r="Q1334" s="14" t="str">
        <f t="shared" si="60"/>
        <v/>
      </c>
      <c r="R1334" s="14" t="str">
        <f t="shared" si="60"/>
        <v/>
      </c>
      <c r="S1334" s="14" t="str">
        <f t="shared" si="61"/>
        <v/>
      </c>
      <c r="T1334" s="14" t="s">
        <v>72</v>
      </c>
      <c r="U1334" s="14">
        <v>0</v>
      </c>
      <c r="V1334">
        <v>7575</v>
      </c>
      <c r="W1334">
        <v>32.217736816406301</v>
      </c>
      <c r="X1334">
        <v>8.6739264022815803</v>
      </c>
      <c r="Y1334">
        <v>4.3971960286393701</v>
      </c>
      <c r="Z1334" s="31">
        <v>3.6993331235973299</v>
      </c>
      <c r="AA1334">
        <v>7.27635020418019</v>
      </c>
      <c r="AB1334">
        <v>0.12</v>
      </c>
      <c r="AC1334">
        <v>291878.26061998401</v>
      </c>
      <c r="AD1334">
        <v>333996.29362744768</v>
      </c>
      <c r="AE1334">
        <v>1</v>
      </c>
      <c r="AF1334">
        <v>244.55920230317039</v>
      </c>
      <c r="AG1334">
        <v>144127.10839921809</v>
      </c>
    </row>
    <row r="1335" spans="1:33" hidden="1" x14ac:dyDescent="0.25">
      <c r="B1335">
        <v>23</v>
      </c>
      <c r="C1335" t="s">
        <v>54</v>
      </c>
      <c r="D1335" t="s">
        <v>41</v>
      </c>
      <c r="E1335" t="s">
        <v>67</v>
      </c>
      <c r="F1335">
        <v>2509</v>
      </c>
      <c r="G1335">
        <v>139006</v>
      </c>
      <c r="H1335">
        <v>3</v>
      </c>
      <c r="I1335" s="10">
        <v>0</v>
      </c>
      <c r="J1335">
        <v>0.5734387476889653</v>
      </c>
      <c r="K1335">
        <v>134738</v>
      </c>
      <c r="L1335">
        <v>212558</v>
      </c>
      <c r="M1335">
        <v>24784</v>
      </c>
      <c r="N1335">
        <v>114959</v>
      </c>
      <c r="O1335" s="43">
        <v>572164.56000000006</v>
      </c>
      <c r="P1335" s="14">
        <f t="shared" si="62"/>
        <v>228865.82400000008</v>
      </c>
      <c r="Q1335" s="14" t="str">
        <f t="shared" si="60"/>
        <v/>
      </c>
      <c r="R1335" s="14" t="str">
        <f t="shared" si="60"/>
        <v/>
      </c>
      <c r="S1335" s="14" t="str">
        <f t="shared" si="61"/>
        <v/>
      </c>
      <c r="T1335" s="14" t="s">
        <v>72</v>
      </c>
      <c r="U1335" s="14">
        <v>0</v>
      </c>
      <c r="V1335">
        <v>7575</v>
      </c>
      <c r="W1335">
        <v>32.197656250000001</v>
      </c>
      <c r="X1335">
        <v>11.432587747060801</v>
      </c>
      <c r="Y1335">
        <v>4.2593489872615402</v>
      </c>
      <c r="Z1335" s="31">
        <v>1.39109001034761</v>
      </c>
      <c r="AA1335">
        <v>3.2864102936891202</v>
      </c>
      <c r="AB1335">
        <v>0.12</v>
      </c>
      <c r="AC1335">
        <v>291878.26061998401</v>
      </c>
      <c r="AD1335">
        <v>333996.29362744768</v>
      </c>
      <c r="AE1335">
        <v>1</v>
      </c>
      <c r="AF1335">
        <v>244.55920230317039</v>
      </c>
      <c r="AG1335">
        <v>144127.10839921809</v>
      </c>
    </row>
    <row r="1336" spans="1:33" hidden="1" x14ac:dyDescent="0.25">
      <c r="B1336">
        <v>23</v>
      </c>
      <c r="C1336" t="s">
        <v>54</v>
      </c>
      <c r="D1336" t="s">
        <v>41</v>
      </c>
      <c r="E1336" t="s">
        <v>67</v>
      </c>
      <c r="F1336">
        <v>3405</v>
      </c>
      <c r="G1336">
        <v>139006</v>
      </c>
      <c r="H1336">
        <v>4</v>
      </c>
      <c r="I1336" s="8">
        <v>0</v>
      </c>
      <c r="J1336">
        <v>0.34162308372959638</v>
      </c>
      <c r="K1336">
        <v>134738</v>
      </c>
      <c r="L1336">
        <v>212558</v>
      </c>
      <c r="M1336">
        <v>24784</v>
      </c>
      <c r="N1336">
        <v>114959</v>
      </c>
      <c r="O1336" s="43">
        <v>343298.73599999998</v>
      </c>
      <c r="P1336" s="14">
        <f t="shared" si="62"/>
        <v>-228865.82400000008</v>
      </c>
      <c r="Q1336" s="14">
        <f t="shared" si="60"/>
        <v>-228865.82400000008</v>
      </c>
      <c r="R1336" s="14">
        <f t="shared" si="60"/>
        <v>-228865.82400000008</v>
      </c>
      <c r="S1336" s="14">
        <f t="shared" si="61"/>
        <v>52379565395.199013</v>
      </c>
      <c r="T1336" s="14">
        <v>52379565395.199013</v>
      </c>
      <c r="U1336" s="14">
        <v>0</v>
      </c>
      <c r="V1336">
        <v>7575</v>
      </c>
      <c r="W1336">
        <v>33.942956542968801</v>
      </c>
      <c r="X1336">
        <v>8.6345755251217504</v>
      </c>
      <c r="Y1336">
        <v>4.8455020059131799</v>
      </c>
      <c r="Z1336" s="31">
        <v>1.2962988621634599</v>
      </c>
      <c r="AA1336">
        <v>2.7871705181272599</v>
      </c>
      <c r="AB1336">
        <v>0.12</v>
      </c>
      <c r="AC1336">
        <v>291878.26061998401</v>
      </c>
      <c r="AD1336">
        <v>333996.29362744768</v>
      </c>
      <c r="AE1336">
        <v>1</v>
      </c>
      <c r="AF1336">
        <v>244.55920230317039</v>
      </c>
      <c r="AG1336">
        <v>144127.10839921809</v>
      </c>
    </row>
    <row r="1337" spans="1:33" hidden="1" x14ac:dyDescent="0.25">
      <c r="B1337">
        <v>23</v>
      </c>
      <c r="C1337" t="s">
        <v>54</v>
      </c>
      <c r="D1337" t="s">
        <v>41</v>
      </c>
      <c r="E1337" t="s">
        <v>67</v>
      </c>
      <c r="F1337">
        <v>5643</v>
      </c>
      <c r="G1337">
        <v>139006</v>
      </c>
      <c r="H1337">
        <v>5</v>
      </c>
      <c r="I1337" s="8">
        <v>1005</v>
      </c>
      <c r="J1337">
        <v>0.85329515779780873</v>
      </c>
      <c r="K1337">
        <v>134738</v>
      </c>
      <c r="L1337">
        <v>212558</v>
      </c>
      <c r="M1337">
        <v>24784</v>
      </c>
      <c r="N1337">
        <v>114959</v>
      </c>
      <c r="O1337" s="43">
        <v>915463.29600000009</v>
      </c>
      <c r="P1337" s="14">
        <f t="shared" si="62"/>
        <v>572164.56000000006</v>
      </c>
      <c r="Q1337" s="14" t="str">
        <f t="shared" si="60"/>
        <v/>
      </c>
      <c r="R1337" s="14" t="str">
        <f t="shared" si="60"/>
        <v/>
      </c>
      <c r="S1337" s="14" t="str">
        <f t="shared" si="61"/>
        <v/>
      </c>
      <c r="T1337" s="14" t="s">
        <v>72</v>
      </c>
      <c r="U1337" s="14">
        <v>569.31797014925382</v>
      </c>
      <c r="V1337">
        <v>7575</v>
      </c>
      <c r="W1337">
        <v>31.932519531250001</v>
      </c>
      <c r="X1337">
        <v>9.9979509683977899</v>
      </c>
      <c r="Y1337">
        <v>4.2641626606968996</v>
      </c>
      <c r="Z1337" s="31">
        <v>4.4944393261468703</v>
      </c>
      <c r="AA1337">
        <v>7.4181384242784798</v>
      </c>
      <c r="AB1337">
        <v>0.12</v>
      </c>
      <c r="AC1337">
        <v>291878.26061998401</v>
      </c>
      <c r="AD1337">
        <v>333996.29362744768</v>
      </c>
      <c r="AE1337">
        <v>1</v>
      </c>
      <c r="AF1337">
        <v>244.55920230317039</v>
      </c>
      <c r="AG1337">
        <v>144127.10839921809</v>
      </c>
    </row>
    <row r="1338" spans="1:33" hidden="1" x14ac:dyDescent="0.25">
      <c r="B1338">
        <v>23</v>
      </c>
      <c r="C1338" t="s">
        <v>54</v>
      </c>
      <c r="D1338" t="s">
        <v>41</v>
      </c>
      <c r="E1338" t="s">
        <v>67</v>
      </c>
      <c r="F1338">
        <v>12217</v>
      </c>
      <c r="G1338">
        <v>139006</v>
      </c>
      <c r="H1338">
        <v>6</v>
      </c>
      <c r="I1338" s="8">
        <v>1504</v>
      </c>
      <c r="J1338">
        <v>2.5065068665606769</v>
      </c>
      <c r="K1338">
        <v>134738</v>
      </c>
      <c r="L1338">
        <v>212558</v>
      </c>
      <c r="M1338">
        <v>24784</v>
      </c>
      <c r="N1338">
        <v>114959</v>
      </c>
      <c r="O1338" s="43">
        <v>2860822.8</v>
      </c>
      <c r="P1338" s="14">
        <f t="shared" si="62"/>
        <v>1945359.5039999997</v>
      </c>
      <c r="Q1338" s="14" t="str">
        <f t="shared" si="60"/>
        <v/>
      </c>
      <c r="R1338" s="14" t="str">
        <f t="shared" si="60"/>
        <v/>
      </c>
      <c r="S1338" s="14" t="str">
        <f t="shared" si="61"/>
        <v/>
      </c>
      <c r="T1338" s="14" t="s">
        <v>72</v>
      </c>
      <c r="U1338" s="14">
        <v>1293.4571170212766</v>
      </c>
      <c r="V1338">
        <v>7575</v>
      </c>
      <c r="W1338">
        <v>33.185266113281301</v>
      </c>
      <c r="X1338">
        <v>5.2007051676768601</v>
      </c>
      <c r="Y1338">
        <v>4.8195720496027503</v>
      </c>
      <c r="Z1338" s="31">
        <v>2.8714358088706802</v>
      </c>
      <c r="AA1338">
        <v>4.0160754367239599</v>
      </c>
      <c r="AB1338">
        <v>0.12</v>
      </c>
      <c r="AC1338">
        <v>291878.26061998401</v>
      </c>
      <c r="AD1338">
        <v>333996.29362744768</v>
      </c>
      <c r="AE1338">
        <v>1</v>
      </c>
      <c r="AF1338">
        <v>244.55920230317039</v>
      </c>
      <c r="AG1338">
        <v>144127.10839921809</v>
      </c>
    </row>
    <row r="1339" spans="1:33" hidden="1" x14ac:dyDescent="0.25">
      <c r="B1339">
        <v>23</v>
      </c>
      <c r="C1339" t="s">
        <v>54</v>
      </c>
      <c r="D1339" t="s">
        <v>41</v>
      </c>
      <c r="E1339" t="s">
        <v>67</v>
      </c>
      <c r="F1339">
        <v>13387</v>
      </c>
      <c r="G1339">
        <v>139006</v>
      </c>
      <c r="H1339">
        <v>7</v>
      </c>
      <c r="I1339" s="8">
        <v>896</v>
      </c>
      <c r="J1339">
        <v>0.44609264281654881</v>
      </c>
      <c r="K1339">
        <v>134738</v>
      </c>
      <c r="L1339">
        <v>212558</v>
      </c>
      <c r="M1339">
        <v>24784</v>
      </c>
      <c r="N1339">
        <v>114959</v>
      </c>
      <c r="O1339" s="43">
        <v>3890719.0079999999</v>
      </c>
      <c r="P1339" s="14">
        <f t="shared" si="62"/>
        <v>1029896.2080000001</v>
      </c>
      <c r="Q1339" s="14" t="str">
        <f t="shared" si="60"/>
        <v/>
      </c>
      <c r="R1339" s="14" t="str">
        <f t="shared" si="60"/>
        <v/>
      </c>
      <c r="S1339" s="14" t="str">
        <f t="shared" si="61"/>
        <v/>
      </c>
      <c r="T1339" s="14" t="s">
        <v>72</v>
      </c>
      <c r="U1339" s="14">
        <v>1149.4377321428572</v>
      </c>
      <c r="V1339">
        <v>7575</v>
      </c>
      <c r="W1339">
        <v>29.355981445312501</v>
      </c>
      <c r="X1339">
        <v>14.456150730621401</v>
      </c>
      <c r="Y1339">
        <v>3.4987620679114402</v>
      </c>
      <c r="Z1339" s="31">
        <v>4.7721199103481204</v>
      </c>
      <c r="AA1339">
        <v>7.6618979000285803</v>
      </c>
      <c r="AB1339">
        <v>0.12</v>
      </c>
      <c r="AC1339">
        <v>291878.26061998401</v>
      </c>
      <c r="AD1339">
        <v>333996.29362744768</v>
      </c>
      <c r="AE1339">
        <v>1</v>
      </c>
      <c r="AF1339">
        <v>244.55920230317039</v>
      </c>
      <c r="AG1339">
        <v>144127.10839921809</v>
      </c>
    </row>
    <row r="1340" spans="1:33" hidden="1" x14ac:dyDescent="0.25">
      <c r="B1340">
        <v>23</v>
      </c>
      <c r="C1340" t="s">
        <v>54</v>
      </c>
      <c r="D1340" t="s">
        <v>41</v>
      </c>
      <c r="E1340" t="s">
        <v>67</v>
      </c>
      <c r="F1340">
        <v>20119</v>
      </c>
      <c r="G1340">
        <v>139006</v>
      </c>
      <c r="H1340">
        <v>8</v>
      </c>
      <c r="I1340" s="8">
        <v>2238</v>
      </c>
      <c r="J1340">
        <v>2.566748437129065</v>
      </c>
      <c r="K1340">
        <v>134738</v>
      </c>
      <c r="L1340">
        <v>212558</v>
      </c>
      <c r="M1340">
        <v>24784</v>
      </c>
      <c r="N1340">
        <v>114959</v>
      </c>
      <c r="O1340" s="43">
        <v>4920615.216</v>
      </c>
      <c r="P1340" s="14">
        <f t="shared" si="62"/>
        <v>1029896.2080000001</v>
      </c>
      <c r="Q1340" s="14" t="str">
        <f t="shared" si="60"/>
        <v/>
      </c>
      <c r="R1340" s="14" t="str">
        <f t="shared" si="60"/>
        <v/>
      </c>
      <c r="S1340" s="14" t="str">
        <f t="shared" si="61"/>
        <v/>
      </c>
      <c r="T1340" s="14" t="s">
        <v>72</v>
      </c>
      <c r="U1340" s="14">
        <v>460.18597319034836</v>
      </c>
      <c r="V1340">
        <v>7575</v>
      </c>
      <c r="W1340">
        <v>29.286279296875001</v>
      </c>
      <c r="X1340">
        <v>6.6461999876517996</v>
      </c>
      <c r="Y1340">
        <v>3.80316023692962</v>
      </c>
      <c r="Z1340" s="31">
        <v>4.6716334487483202</v>
      </c>
      <c r="AA1340">
        <v>7.4486540106997499</v>
      </c>
      <c r="AB1340">
        <v>0.12</v>
      </c>
      <c r="AC1340">
        <v>291878.26061998401</v>
      </c>
      <c r="AD1340">
        <v>333996.29362744768</v>
      </c>
      <c r="AE1340">
        <v>1</v>
      </c>
      <c r="AF1340">
        <v>244.55920230317039</v>
      </c>
      <c r="AG1340">
        <v>144127.10839921809</v>
      </c>
    </row>
    <row r="1341" spans="1:33" hidden="1" x14ac:dyDescent="0.25">
      <c r="B1341">
        <v>23</v>
      </c>
      <c r="C1341" t="s">
        <v>54</v>
      </c>
      <c r="D1341" t="s">
        <v>41</v>
      </c>
      <c r="E1341" t="s">
        <v>67</v>
      </c>
      <c r="F1341">
        <v>23054</v>
      </c>
      <c r="G1341">
        <v>139006</v>
      </c>
      <c r="H1341">
        <v>9</v>
      </c>
      <c r="I1341" s="8">
        <v>6574</v>
      </c>
      <c r="J1341">
        <v>1.119044364672283</v>
      </c>
      <c r="K1341">
        <v>134738</v>
      </c>
      <c r="L1341">
        <v>212558</v>
      </c>
      <c r="M1341">
        <v>24784</v>
      </c>
      <c r="N1341">
        <v>114959</v>
      </c>
      <c r="O1341" s="43">
        <v>5435563.3200000003</v>
      </c>
      <c r="P1341" s="14">
        <f t="shared" si="62"/>
        <v>514948.10400000028</v>
      </c>
      <c r="Q1341" s="14" t="str">
        <f t="shared" si="60"/>
        <v/>
      </c>
      <c r="R1341" s="14" t="str">
        <f t="shared" si="60"/>
        <v/>
      </c>
      <c r="S1341" s="14" t="str">
        <f t="shared" si="61"/>
        <v/>
      </c>
      <c r="T1341" s="14" t="s">
        <v>72</v>
      </c>
      <c r="U1341" s="14">
        <v>78.331016732582952</v>
      </c>
      <c r="V1341">
        <v>7575</v>
      </c>
      <c r="W1341">
        <v>29.253564453125001</v>
      </c>
      <c r="X1341">
        <v>2.9145575041430898</v>
      </c>
      <c r="Y1341">
        <v>3.9474915604416498</v>
      </c>
      <c r="Z1341" s="31">
        <v>5.1249488200708404</v>
      </c>
      <c r="AA1341">
        <v>8.1498442243895806</v>
      </c>
      <c r="AB1341">
        <v>0.12</v>
      </c>
      <c r="AC1341">
        <v>291878.26061998401</v>
      </c>
      <c r="AD1341">
        <v>333996.29362744768</v>
      </c>
      <c r="AE1341">
        <v>1</v>
      </c>
      <c r="AF1341">
        <v>244.55920230317039</v>
      </c>
      <c r="AG1341">
        <v>144127.10839921809</v>
      </c>
    </row>
    <row r="1342" spans="1:33" hidden="1" x14ac:dyDescent="0.25">
      <c r="B1342">
        <v>23</v>
      </c>
      <c r="C1342" t="s">
        <v>54</v>
      </c>
      <c r="D1342" t="s">
        <v>41</v>
      </c>
      <c r="E1342" t="s">
        <v>67</v>
      </c>
      <c r="F1342">
        <v>29412</v>
      </c>
      <c r="G1342">
        <v>139006</v>
      </c>
      <c r="H1342">
        <v>10</v>
      </c>
      <c r="I1342" s="8">
        <v>1170</v>
      </c>
      <c r="J1342">
        <v>2.4241513017330059</v>
      </c>
      <c r="K1342">
        <v>134738</v>
      </c>
      <c r="L1342">
        <v>212558</v>
      </c>
      <c r="M1342">
        <v>24784</v>
      </c>
      <c r="N1342">
        <v>114959</v>
      </c>
      <c r="O1342" s="43">
        <v>6179377.2480000006</v>
      </c>
      <c r="P1342" s="14">
        <f t="shared" si="62"/>
        <v>743813.92800000031</v>
      </c>
      <c r="Q1342" s="14" t="str">
        <f t="shared" si="60"/>
        <v/>
      </c>
      <c r="R1342" s="14" t="str">
        <f t="shared" si="60"/>
        <v/>
      </c>
      <c r="S1342" s="14" t="str">
        <f t="shared" si="61"/>
        <v/>
      </c>
      <c r="T1342" s="14" t="s">
        <v>72</v>
      </c>
      <c r="U1342" s="14">
        <v>635.7384000000003</v>
      </c>
      <c r="V1342">
        <v>7575</v>
      </c>
      <c r="W1342">
        <v>30.401696777343702</v>
      </c>
      <c r="X1342">
        <v>5.3631631676067704</v>
      </c>
      <c r="Y1342">
        <v>4.1103106265107003</v>
      </c>
      <c r="Z1342" s="31">
        <v>4.1604775668468896</v>
      </c>
      <c r="AA1342">
        <v>6.0508043427154403</v>
      </c>
      <c r="AB1342">
        <v>0.12</v>
      </c>
      <c r="AC1342">
        <v>291878.26061998401</v>
      </c>
      <c r="AD1342">
        <v>333996.29362744768</v>
      </c>
      <c r="AE1342">
        <v>1</v>
      </c>
      <c r="AF1342">
        <v>244.55920230317039</v>
      </c>
      <c r="AG1342">
        <v>144127.10839921809</v>
      </c>
    </row>
    <row r="1343" spans="1:33" hidden="1" x14ac:dyDescent="0.25">
      <c r="B1343">
        <v>23</v>
      </c>
      <c r="C1343" t="s">
        <v>54</v>
      </c>
      <c r="D1343" t="s">
        <v>41</v>
      </c>
      <c r="E1343" t="s">
        <v>67</v>
      </c>
      <c r="F1343">
        <v>36441</v>
      </c>
      <c r="G1343">
        <v>139006</v>
      </c>
      <c r="H1343">
        <v>11</v>
      </c>
      <c r="I1343" s="8">
        <v>6732</v>
      </c>
      <c r="J1343">
        <v>2.6799873387671131</v>
      </c>
      <c r="K1343">
        <v>134738</v>
      </c>
      <c r="L1343">
        <v>212558</v>
      </c>
      <c r="M1343">
        <v>24784</v>
      </c>
      <c r="N1343">
        <v>114959</v>
      </c>
      <c r="O1343" s="43">
        <v>7094840.5440000007</v>
      </c>
      <c r="P1343" s="14">
        <f t="shared" si="62"/>
        <v>915463.29600000009</v>
      </c>
      <c r="Q1343" s="14" t="str">
        <f t="shared" si="60"/>
        <v/>
      </c>
      <c r="R1343" s="14" t="str">
        <f t="shared" si="60"/>
        <v/>
      </c>
      <c r="S1343" s="14" t="str">
        <f t="shared" si="61"/>
        <v/>
      </c>
      <c r="T1343" s="14" t="s">
        <v>72</v>
      </c>
      <c r="U1343" s="14">
        <v>135.98682352941177</v>
      </c>
      <c r="V1343">
        <v>7575</v>
      </c>
      <c r="W1343">
        <v>30.603601074218801</v>
      </c>
      <c r="X1343">
        <v>6.5913979148933501</v>
      </c>
      <c r="Y1343">
        <v>4.1040307283984303</v>
      </c>
      <c r="Z1343" s="31">
        <v>4.2692379863847201</v>
      </c>
      <c r="AA1343">
        <v>6.3987062910882297</v>
      </c>
      <c r="AB1343">
        <v>0.12</v>
      </c>
      <c r="AC1343">
        <v>291878.26061998401</v>
      </c>
      <c r="AD1343">
        <v>333996.29362744768</v>
      </c>
      <c r="AE1343">
        <v>1</v>
      </c>
      <c r="AF1343">
        <v>244.55920230317039</v>
      </c>
      <c r="AG1343">
        <v>144127.10839921809</v>
      </c>
    </row>
    <row r="1344" spans="1:33" hidden="1" x14ac:dyDescent="0.25">
      <c r="B1344">
        <v>23</v>
      </c>
      <c r="C1344" t="s">
        <v>54</v>
      </c>
      <c r="D1344" t="s">
        <v>41</v>
      </c>
      <c r="E1344" t="s">
        <v>67</v>
      </c>
      <c r="F1344">
        <v>50949</v>
      </c>
      <c r="G1344">
        <v>139006</v>
      </c>
      <c r="H1344">
        <v>12</v>
      </c>
      <c r="I1344" s="8">
        <v>2935</v>
      </c>
      <c r="J1344">
        <v>5.5315487709252054</v>
      </c>
      <c r="K1344">
        <v>134738</v>
      </c>
      <c r="L1344">
        <v>212558</v>
      </c>
      <c r="M1344">
        <v>24784</v>
      </c>
      <c r="N1344">
        <v>114959</v>
      </c>
      <c r="O1344" s="43">
        <v>8010303.8400000008</v>
      </c>
      <c r="P1344" s="14">
        <f t="shared" si="62"/>
        <v>915463.29600000009</v>
      </c>
      <c r="Q1344" s="14" t="str">
        <f t="shared" si="60"/>
        <v/>
      </c>
      <c r="R1344" s="14" t="str">
        <f t="shared" si="60"/>
        <v/>
      </c>
      <c r="S1344" s="14" t="str">
        <f t="shared" si="61"/>
        <v/>
      </c>
      <c r="T1344" s="14" t="s">
        <v>72</v>
      </c>
      <c r="U1344" s="14">
        <v>311.91253696763204</v>
      </c>
      <c r="V1344">
        <v>7575</v>
      </c>
      <c r="W1344">
        <v>31.498010253906301</v>
      </c>
      <c r="X1344">
        <v>4.9619896866393303</v>
      </c>
      <c r="Y1344">
        <v>4.39354634114697</v>
      </c>
      <c r="Z1344" s="31">
        <v>3.7076869343021599</v>
      </c>
      <c r="AA1344">
        <v>5.3553349553564003</v>
      </c>
      <c r="AB1344">
        <v>0.12</v>
      </c>
      <c r="AC1344">
        <v>291878.26061998401</v>
      </c>
      <c r="AD1344">
        <v>333996.29362744768</v>
      </c>
      <c r="AE1344">
        <v>1</v>
      </c>
      <c r="AF1344">
        <v>244.55920230317039</v>
      </c>
      <c r="AG1344">
        <v>144127.10839921809</v>
      </c>
    </row>
    <row r="1345" spans="2:33" hidden="1" x14ac:dyDescent="0.25">
      <c r="B1345">
        <v>23</v>
      </c>
      <c r="C1345" t="s">
        <v>54</v>
      </c>
      <c r="D1345" t="s">
        <v>41</v>
      </c>
      <c r="E1345" t="s">
        <v>67</v>
      </c>
      <c r="F1345">
        <v>68323</v>
      </c>
      <c r="G1345">
        <v>139006</v>
      </c>
      <c r="H1345">
        <v>13</v>
      </c>
      <c r="I1345" s="8">
        <v>6358</v>
      </c>
      <c r="J1345">
        <v>6.6242851079442042</v>
      </c>
      <c r="K1345">
        <v>134738</v>
      </c>
      <c r="L1345">
        <v>212558</v>
      </c>
      <c r="M1345">
        <v>24784</v>
      </c>
      <c r="N1345">
        <v>114959</v>
      </c>
      <c r="O1345" s="43">
        <v>9269065.8720000014</v>
      </c>
      <c r="P1345" s="14">
        <f t="shared" si="62"/>
        <v>1258762.0320000006</v>
      </c>
      <c r="Q1345" s="14" t="str">
        <f t="shared" si="60"/>
        <v/>
      </c>
      <c r="R1345" s="14" t="str">
        <f t="shared" si="60"/>
        <v/>
      </c>
      <c r="S1345" s="14" t="str">
        <f t="shared" si="61"/>
        <v/>
      </c>
      <c r="T1345" s="14" t="s">
        <v>72</v>
      </c>
      <c r="U1345" s="14">
        <v>197.98081660899663</v>
      </c>
      <c r="V1345">
        <v>7575</v>
      </c>
      <c r="W1345">
        <v>29.596459960937501</v>
      </c>
      <c r="X1345">
        <v>5.6525057666778897</v>
      </c>
      <c r="Y1345">
        <v>3.9128764845931201</v>
      </c>
      <c r="Z1345" s="31">
        <v>5.4145185399486602</v>
      </c>
      <c r="AA1345">
        <v>8.4607419217050293</v>
      </c>
      <c r="AB1345">
        <v>0.12</v>
      </c>
      <c r="AC1345">
        <v>291878.26061998401</v>
      </c>
      <c r="AD1345">
        <v>333996.29362744768</v>
      </c>
      <c r="AE1345">
        <v>1</v>
      </c>
      <c r="AF1345">
        <v>244.55920230317039</v>
      </c>
      <c r="AG1345">
        <v>144127.10839921809</v>
      </c>
    </row>
    <row r="1346" spans="2:33" hidden="1" x14ac:dyDescent="0.25">
      <c r="B1346">
        <v>23</v>
      </c>
      <c r="C1346" t="s">
        <v>54</v>
      </c>
      <c r="D1346" t="s">
        <v>41</v>
      </c>
      <c r="E1346" t="s">
        <v>67</v>
      </c>
      <c r="F1346">
        <v>73712</v>
      </c>
      <c r="G1346">
        <v>139006</v>
      </c>
      <c r="H1346">
        <v>14</v>
      </c>
      <c r="I1346" s="8">
        <v>7029</v>
      </c>
      <c r="J1346">
        <v>2.0546950872977621</v>
      </c>
      <c r="K1346">
        <v>134738</v>
      </c>
      <c r="L1346">
        <v>212558</v>
      </c>
      <c r="M1346">
        <v>24784</v>
      </c>
      <c r="N1346">
        <v>114959</v>
      </c>
      <c r="O1346" s="43">
        <v>10756693.728</v>
      </c>
      <c r="P1346" s="14">
        <f t="shared" si="62"/>
        <v>1487627.8559999987</v>
      </c>
      <c r="Q1346" s="14" t="str">
        <f t="shared" si="60"/>
        <v/>
      </c>
      <c r="R1346" s="14" t="str">
        <f t="shared" si="60"/>
        <v/>
      </c>
      <c r="S1346" s="14" t="str">
        <f t="shared" si="61"/>
        <v/>
      </c>
      <c r="T1346" s="14" t="s">
        <v>72</v>
      </c>
      <c r="U1346" s="14">
        <v>211.64146478873221</v>
      </c>
      <c r="V1346">
        <v>7575</v>
      </c>
      <c r="W1346">
        <v>29.948510742187501</v>
      </c>
      <c r="X1346">
        <v>6.3474094136763997</v>
      </c>
      <c r="Y1346">
        <v>3.96339329381783</v>
      </c>
      <c r="Z1346" s="31">
        <v>5.0364433268759798</v>
      </c>
      <c r="AA1346">
        <v>8.7824875393589696</v>
      </c>
      <c r="AB1346">
        <v>0.12</v>
      </c>
      <c r="AC1346">
        <v>291878.26061998401</v>
      </c>
      <c r="AD1346">
        <v>333996.29362744768</v>
      </c>
      <c r="AE1346">
        <v>1</v>
      </c>
      <c r="AF1346">
        <v>244.55920230317039</v>
      </c>
      <c r="AG1346">
        <v>144127.10839921809</v>
      </c>
    </row>
    <row r="1347" spans="2:33" hidden="1" x14ac:dyDescent="0.25">
      <c r="B1347">
        <v>23</v>
      </c>
      <c r="C1347" t="s">
        <v>54</v>
      </c>
      <c r="D1347" t="s">
        <v>41</v>
      </c>
      <c r="E1347" t="s">
        <v>67</v>
      </c>
      <c r="F1347">
        <v>74807</v>
      </c>
      <c r="G1347">
        <v>139006</v>
      </c>
      <c r="H1347">
        <v>15</v>
      </c>
      <c r="I1347" s="8">
        <v>14508</v>
      </c>
      <c r="J1347">
        <v>0.41749696058471869</v>
      </c>
      <c r="K1347">
        <v>134738</v>
      </c>
      <c r="L1347">
        <v>212558</v>
      </c>
      <c r="M1347">
        <v>24784</v>
      </c>
      <c r="N1347">
        <v>114959</v>
      </c>
      <c r="O1347" s="43">
        <v>12015455.76</v>
      </c>
      <c r="P1347" s="14">
        <f t="shared" si="62"/>
        <v>1258762.0319999997</v>
      </c>
      <c r="Q1347" s="14" t="str">
        <f t="shared" ref="Q1347:R1410" si="63">IF(P1347&gt;=0,"",P1347)</f>
        <v/>
      </c>
      <c r="R1347" s="14" t="str">
        <f t="shared" si="63"/>
        <v/>
      </c>
      <c r="S1347" s="14" t="str">
        <f t="shared" ref="S1347:S1410" si="64">IFERROR(IF(ISNA(Q1347),NA(),Q1347^2),"")</f>
        <v/>
      </c>
      <c r="T1347" s="14" t="s">
        <v>72</v>
      </c>
      <c r="U1347" s="14">
        <v>86.763305210918219</v>
      </c>
      <c r="V1347">
        <v>7575</v>
      </c>
      <c r="W1347">
        <v>31.268579101562501</v>
      </c>
      <c r="X1347">
        <v>5.9136952895296497</v>
      </c>
      <c r="Y1347">
        <v>4.2933014171222101</v>
      </c>
      <c r="Z1347" s="31">
        <v>5.15222848001559</v>
      </c>
      <c r="AA1347">
        <v>8.8417279439280101</v>
      </c>
      <c r="AB1347">
        <v>0.12</v>
      </c>
      <c r="AC1347">
        <v>291878.26061998401</v>
      </c>
      <c r="AD1347">
        <v>333996.29362744768</v>
      </c>
      <c r="AE1347">
        <v>1</v>
      </c>
      <c r="AF1347">
        <v>244.55920230317039</v>
      </c>
      <c r="AG1347">
        <v>144127.10839921809</v>
      </c>
    </row>
    <row r="1348" spans="2:33" hidden="1" x14ac:dyDescent="0.25">
      <c r="B1348">
        <v>23</v>
      </c>
      <c r="C1348" t="s">
        <v>54</v>
      </c>
      <c r="D1348" t="s">
        <v>41</v>
      </c>
      <c r="E1348" t="s">
        <v>67</v>
      </c>
      <c r="F1348">
        <v>81107</v>
      </c>
      <c r="G1348">
        <v>139006</v>
      </c>
      <c r="H1348">
        <v>16</v>
      </c>
      <c r="I1348" s="8">
        <v>17374</v>
      </c>
      <c r="J1348">
        <v>2.4020373074737238</v>
      </c>
      <c r="K1348">
        <v>134738</v>
      </c>
      <c r="L1348">
        <v>212558</v>
      </c>
      <c r="M1348">
        <v>24784</v>
      </c>
      <c r="N1348">
        <v>114959</v>
      </c>
      <c r="O1348" s="43">
        <v>13159784.880000001</v>
      </c>
      <c r="P1348" s="14">
        <f t="shared" ref="P1348:P1411" si="65">O1348-O1347</f>
        <v>1144329.120000001</v>
      </c>
      <c r="Q1348" s="14" t="str">
        <f t="shared" si="63"/>
        <v/>
      </c>
      <c r="R1348" s="14" t="str">
        <f t="shared" si="63"/>
        <v/>
      </c>
      <c r="S1348" s="14" t="str">
        <f t="shared" si="64"/>
        <v/>
      </c>
      <c r="T1348" s="14" t="s">
        <v>72</v>
      </c>
      <c r="U1348" s="14">
        <v>65.864459537239512</v>
      </c>
      <c r="V1348">
        <v>7575</v>
      </c>
      <c r="W1348">
        <v>32.697839355468801</v>
      </c>
      <c r="X1348">
        <v>5.7545151208399199</v>
      </c>
      <c r="Y1348">
        <v>4.6621862046108502</v>
      </c>
      <c r="Z1348" s="31">
        <v>2.8096550154108102</v>
      </c>
      <c r="AA1348">
        <v>5.0511688558410803</v>
      </c>
      <c r="AB1348">
        <v>0.12</v>
      </c>
      <c r="AC1348">
        <v>291878.26061998401</v>
      </c>
      <c r="AD1348">
        <v>333996.29362744768</v>
      </c>
      <c r="AE1348">
        <v>1</v>
      </c>
      <c r="AF1348">
        <v>244.55920230317039</v>
      </c>
      <c r="AG1348">
        <v>144127.10839921809</v>
      </c>
    </row>
    <row r="1349" spans="2:33" hidden="1" x14ac:dyDescent="0.25">
      <c r="B1349">
        <v>23</v>
      </c>
      <c r="C1349" t="s">
        <v>54</v>
      </c>
      <c r="D1349" t="s">
        <v>41</v>
      </c>
      <c r="E1349" t="s">
        <v>67</v>
      </c>
      <c r="F1349">
        <v>85407</v>
      </c>
      <c r="G1349">
        <v>139006</v>
      </c>
      <c r="H1349">
        <v>17</v>
      </c>
      <c r="I1349" s="8">
        <v>5389</v>
      </c>
      <c r="J1349">
        <v>1.6394857812915899</v>
      </c>
      <c r="K1349">
        <v>134738</v>
      </c>
      <c r="L1349">
        <v>212558</v>
      </c>
      <c r="M1349">
        <v>24784</v>
      </c>
      <c r="N1349">
        <v>114959</v>
      </c>
      <c r="O1349" s="43">
        <v>13159784.880000001</v>
      </c>
      <c r="P1349" s="14">
        <f t="shared" si="65"/>
        <v>0</v>
      </c>
      <c r="Q1349" s="14" t="str">
        <f t="shared" si="63"/>
        <v/>
      </c>
      <c r="R1349" s="14" t="str">
        <f t="shared" si="63"/>
        <v/>
      </c>
      <c r="S1349" s="14" t="str">
        <f t="shared" si="64"/>
        <v/>
      </c>
      <c r="T1349" s="14" t="s">
        <v>72</v>
      </c>
      <c r="U1349" s="14">
        <v>0</v>
      </c>
      <c r="V1349">
        <v>7575</v>
      </c>
      <c r="W1349">
        <v>32.315270996093702</v>
      </c>
      <c r="X1349">
        <v>6.8276284279672597</v>
      </c>
      <c r="Y1349">
        <v>4.5109138986735902</v>
      </c>
      <c r="Z1349" s="31">
        <v>2.8907114736487598</v>
      </c>
      <c r="AA1349">
        <v>4.8888532934320601</v>
      </c>
      <c r="AB1349">
        <v>0.12</v>
      </c>
      <c r="AC1349">
        <v>291878.26061998401</v>
      </c>
      <c r="AD1349">
        <v>333996.29362744768</v>
      </c>
      <c r="AE1349">
        <v>1</v>
      </c>
      <c r="AF1349">
        <v>244.55920230317039</v>
      </c>
      <c r="AG1349">
        <v>144127.10839921809</v>
      </c>
    </row>
    <row r="1350" spans="2:33" hidden="1" x14ac:dyDescent="0.25">
      <c r="B1350">
        <v>23</v>
      </c>
      <c r="C1350" t="s">
        <v>54</v>
      </c>
      <c r="D1350" t="s">
        <v>41</v>
      </c>
      <c r="E1350" t="s">
        <v>67</v>
      </c>
      <c r="F1350">
        <v>87209</v>
      </c>
      <c r="G1350">
        <v>139006</v>
      </c>
      <c r="H1350">
        <v>18</v>
      </c>
      <c r="I1350" s="8">
        <v>1095</v>
      </c>
      <c r="J1350">
        <v>0.68705892509010336</v>
      </c>
      <c r="K1350">
        <v>134738</v>
      </c>
      <c r="L1350">
        <v>212558</v>
      </c>
      <c r="M1350">
        <v>24784</v>
      </c>
      <c r="N1350">
        <v>114959</v>
      </c>
      <c r="O1350" s="43">
        <v>15791741.856000001</v>
      </c>
      <c r="P1350" s="14">
        <f t="shared" si="65"/>
        <v>2631956.9759999998</v>
      </c>
      <c r="Q1350" s="14" t="str">
        <f t="shared" si="63"/>
        <v/>
      </c>
      <c r="R1350" s="14" t="str">
        <f t="shared" si="63"/>
        <v/>
      </c>
      <c r="S1350" s="14" t="str">
        <f t="shared" si="64"/>
        <v/>
      </c>
      <c r="T1350" s="14" t="s">
        <v>72</v>
      </c>
      <c r="U1350" s="14">
        <v>2403.6136767123285</v>
      </c>
      <c r="V1350">
        <v>7575</v>
      </c>
      <c r="W1350">
        <v>32.557031250000001</v>
      </c>
      <c r="X1350">
        <v>6.0715490207176597</v>
      </c>
      <c r="Y1350">
        <v>4.6098591505557804</v>
      </c>
      <c r="Z1350" s="31">
        <v>2.6372641958660199</v>
      </c>
      <c r="AA1350">
        <v>4.1847804412084999</v>
      </c>
      <c r="AB1350">
        <v>0.12</v>
      </c>
      <c r="AC1350">
        <v>291878.26061998401</v>
      </c>
      <c r="AD1350">
        <v>333996.29362744768</v>
      </c>
      <c r="AE1350">
        <v>1</v>
      </c>
      <c r="AF1350">
        <v>244.55920230317039</v>
      </c>
      <c r="AG1350">
        <v>144127.10839921809</v>
      </c>
    </row>
    <row r="1351" spans="2:33" hidden="1" x14ac:dyDescent="0.25">
      <c r="B1351">
        <v>23</v>
      </c>
      <c r="C1351" t="s">
        <v>54</v>
      </c>
      <c r="D1351" t="s">
        <v>41</v>
      </c>
      <c r="E1351" t="s">
        <v>67</v>
      </c>
      <c r="F1351">
        <v>119755</v>
      </c>
      <c r="G1351">
        <v>139006</v>
      </c>
      <c r="H1351">
        <v>19</v>
      </c>
      <c r="I1351" s="8">
        <v>6300</v>
      </c>
      <c r="J1351">
        <v>12.40900098556188</v>
      </c>
      <c r="K1351">
        <v>134738</v>
      </c>
      <c r="L1351">
        <v>212558</v>
      </c>
      <c r="M1351">
        <v>24784</v>
      </c>
      <c r="N1351">
        <v>114959</v>
      </c>
      <c r="O1351" s="43">
        <v>17393802.624000002</v>
      </c>
      <c r="P1351" s="14">
        <f t="shared" si="65"/>
        <v>1602060.7680000011</v>
      </c>
      <c r="Q1351" s="14" t="str">
        <f t="shared" si="63"/>
        <v/>
      </c>
      <c r="R1351" s="14" t="str">
        <f t="shared" si="63"/>
        <v/>
      </c>
      <c r="S1351" s="14" t="str">
        <f t="shared" si="64"/>
        <v/>
      </c>
      <c r="T1351" s="14" t="s">
        <v>72</v>
      </c>
      <c r="U1351" s="14">
        <v>254.29536000000016</v>
      </c>
      <c r="V1351">
        <v>7575</v>
      </c>
      <c r="W1351">
        <v>33.703393554687501</v>
      </c>
      <c r="X1351">
        <v>4.83853429987282</v>
      </c>
      <c r="Y1351">
        <v>4.9801190675663198</v>
      </c>
      <c r="Z1351" s="31">
        <v>0.41576970722179302</v>
      </c>
      <c r="AA1351">
        <v>1.6003302178011301</v>
      </c>
      <c r="AB1351">
        <v>0.12</v>
      </c>
      <c r="AC1351">
        <v>291878.26061998401</v>
      </c>
      <c r="AD1351">
        <v>333996.29362744768</v>
      </c>
      <c r="AE1351">
        <v>1</v>
      </c>
      <c r="AF1351">
        <v>244.55920230317039</v>
      </c>
      <c r="AG1351">
        <v>144127.10839921809</v>
      </c>
    </row>
    <row r="1352" spans="2:33" hidden="1" x14ac:dyDescent="0.25">
      <c r="B1352">
        <v>23</v>
      </c>
      <c r="C1352" t="s">
        <v>54</v>
      </c>
      <c r="D1352" t="s">
        <v>41</v>
      </c>
      <c r="E1352" t="s">
        <v>67</v>
      </c>
      <c r="F1352">
        <v>121781</v>
      </c>
      <c r="G1352">
        <v>139006</v>
      </c>
      <c r="H1352">
        <v>20</v>
      </c>
      <c r="I1352" s="8">
        <v>4300</v>
      </c>
      <c r="J1352">
        <v>0.77246469602250245</v>
      </c>
      <c r="K1352">
        <v>134738</v>
      </c>
      <c r="L1352">
        <v>212558</v>
      </c>
      <c r="M1352">
        <v>24784</v>
      </c>
      <c r="N1352">
        <v>114959</v>
      </c>
      <c r="O1352" s="43">
        <v>19568027.952</v>
      </c>
      <c r="P1352" s="14">
        <f t="shared" si="65"/>
        <v>2174225.3279999979</v>
      </c>
      <c r="Q1352" s="14" t="str">
        <f t="shared" si="63"/>
        <v/>
      </c>
      <c r="R1352" s="14" t="str">
        <f t="shared" si="63"/>
        <v/>
      </c>
      <c r="S1352" s="14" t="str">
        <f t="shared" si="64"/>
        <v/>
      </c>
      <c r="T1352" s="14" t="s">
        <v>72</v>
      </c>
      <c r="U1352" s="14">
        <v>505.63379720930271</v>
      </c>
      <c r="V1352">
        <v>7575</v>
      </c>
      <c r="W1352">
        <v>34.235253906250001</v>
      </c>
      <c r="X1352">
        <v>6.1464259146846398</v>
      </c>
      <c r="Y1352">
        <v>5.0592196270625802</v>
      </c>
      <c r="Z1352" s="31">
        <v>2.3591368739898102</v>
      </c>
      <c r="AA1352">
        <v>4.7509218007447398</v>
      </c>
      <c r="AB1352">
        <v>0.12</v>
      </c>
      <c r="AC1352">
        <v>291878.26061998401</v>
      </c>
      <c r="AD1352">
        <v>333996.29362744768</v>
      </c>
      <c r="AE1352">
        <v>1</v>
      </c>
      <c r="AF1352">
        <v>244.55920230317039</v>
      </c>
      <c r="AG1352">
        <v>144127.10839921809</v>
      </c>
    </row>
    <row r="1353" spans="2:33" hidden="1" x14ac:dyDescent="0.25">
      <c r="B1353">
        <v>23</v>
      </c>
      <c r="C1353" t="s">
        <v>54</v>
      </c>
      <c r="D1353" t="s">
        <v>41</v>
      </c>
      <c r="E1353" t="s">
        <v>67</v>
      </c>
      <c r="F1353">
        <v>124790</v>
      </c>
      <c r="G1353">
        <v>139006</v>
      </c>
      <c r="H1353">
        <v>21</v>
      </c>
      <c r="I1353" s="8">
        <v>1802</v>
      </c>
      <c r="J1353">
        <v>1.147258771141022</v>
      </c>
      <c r="K1353">
        <v>134738</v>
      </c>
      <c r="L1353">
        <v>212558</v>
      </c>
      <c r="M1353">
        <v>24784</v>
      </c>
      <c r="N1353">
        <v>114959</v>
      </c>
      <c r="O1353" s="43">
        <v>20826789.984000001</v>
      </c>
      <c r="P1353" s="14">
        <f t="shared" si="65"/>
        <v>1258762.0320000015</v>
      </c>
      <c r="Q1353" s="14" t="str">
        <f t="shared" si="63"/>
        <v/>
      </c>
      <c r="R1353" s="14" t="str">
        <f t="shared" si="63"/>
        <v/>
      </c>
      <c r="S1353" s="14" t="str">
        <f t="shared" si="64"/>
        <v/>
      </c>
      <c r="T1353" s="14" t="s">
        <v>72</v>
      </c>
      <c r="U1353" s="14">
        <v>698.53608879023182</v>
      </c>
      <c r="V1353">
        <v>7575</v>
      </c>
      <c r="W1353">
        <v>32.734582519531301</v>
      </c>
      <c r="X1353">
        <v>10.355317958309101</v>
      </c>
      <c r="Y1353">
        <v>4.4434927372137798</v>
      </c>
      <c r="Z1353" s="31">
        <v>3.0108992122381899</v>
      </c>
      <c r="AA1353">
        <v>6.4530765381569601</v>
      </c>
      <c r="AB1353">
        <v>0.12</v>
      </c>
      <c r="AC1353">
        <v>291878.26061998401</v>
      </c>
      <c r="AD1353">
        <v>333996.29362744768</v>
      </c>
      <c r="AE1353">
        <v>1</v>
      </c>
      <c r="AF1353">
        <v>244.55920230317039</v>
      </c>
      <c r="AG1353">
        <v>144127.10839921809</v>
      </c>
    </row>
    <row r="1354" spans="2:33" hidden="1" x14ac:dyDescent="0.25">
      <c r="B1354">
        <v>23</v>
      </c>
      <c r="C1354" t="s">
        <v>54</v>
      </c>
      <c r="D1354" t="s">
        <v>41</v>
      </c>
      <c r="E1354" t="s">
        <v>67</v>
      </c>
      <c r="F1354">
        <v>126613</v>
      </c>
      <c r="G1354">
        <v>139006</v>
      </c>
      <c r="H1354">
        <v>22</v>
      </c>
      <c r="I1354" s="8">
        <v>32546</v>
      </c>
      <c r="J1354">
        <v>0.69506571611501577</v>
      </c>
      <c r="K1354">
        <v>134738</v>
      </c>
      <c r="L1354">
        <v>212558</v>
      </c>
      <c r="M1354">
        <v>24784</v>
      </c>
      <c r="N1354">
        <v>114959</v>
      </c>
      <c r="O1354" s="43">
        <v>22199984.927999999</v>
      </c>
      <c r="P1354" s="14">
        <f t="shared" si="65"/>
        <v>1373194.9439999983</v>
      </c>
      <c r="Q1354" s="14" t="str">
        <f t="shared" si="63"/>
        <v/>
      </c>
      <c r="R1354" s="14" t="str">
        <f t="shared" si="63"/>
        <v/>
      </c>
      <c r="S1354" s="14" t="str">
        <f t="shared" si="64"/>
        <v/>
      </c>
      <c r="T1354" s="14" t="s">
        <v>72</v>
      </c>
      <c r="U1354" s="14">
        <v>42.192433601671539</v>
      </c>
      <c r="V1354">
        <v>7575</v>
      </c>
      <c r="W1354">
        <v>31.025781250000001</v>
      </c>
      <c r="X1354">
        <v>14.6462762186048</v>
      </c>
      <c r="Y1354">
        <v>3.8410080748986699</v>
      </c>
      <c r="Z1354" s="31">
        <v>3.9267510858113899</v>
      </c>
      <c r="AA1354">
        <v>6.7622542378089499</v>
      </c>
      <c r="AB1354">
        <v>0.12</v>
      </c>
      <c r="AC1354">
        <v>291878.26061998401</v>
      </c>
      <c r="AD1354">
        <v>333996.29362744768</v>
      </c>
      <c r="AE1354">
        <v>1</v>
      </c>
      <c r="AF1354">
        <v>244.55920230317039</v>
      </c>
      <c r="AG1354">
        <v>144127.10839921809</v>
      </c>
    </row>
    <row r="1355" spans="2:33" hidden="1" x14ac:dyDescent="0.25">
      <c r="B1355">
        <v>23</v>
      </c>
      <c r="C1355" t="s">
        <v>54</v>
      </c>
      <c r="D1355" t="s">
        <v>41</v>
      </c>
      <c r="E1355" t="s">
        <v>67</v>
      </c>
      <c r="F1355">
        <v>129715</v>
      </c>
      <c r="G1355">
        <v>139006</v>
      </c>
      <c r="H1355">
        <v>23</v>
      </c>
      <c r="I1355" s="8">
        <v>2026</v>
      </c>
      <c r="J1355">
        <v>1.1827174171084911</v>
      </c>
      <c r="K1355">
        <v>134738</v>
      </c>
      <c r="L1355">
        <v>212558</v>
      </c>
      <c r="M1355">
        <v>24784</v>
      </c>
      <c r="N1355">
        <v>114959</v>
      </c>
      <c r="O1355" s="43">
        <v>23229881.136</v>
      </c>
      <c r="P1355" s="14">
        <f t="shared" si="65"/>
        <v>1029896.2080000006</v>
      </c>
      <c r="Q1355" s="14" t="str">
        <f t="shared" si="63"/>
        <v/>
      </c>
      <c r="R1355" s="14" t="str">
        <f t="shared" si="63"/>
        <v/>
      </c>
      <c r="S1355" s="14" t="str">
        <f t="shared" si="64"/>
        <v/>
      </c>
      <c r="T1355" s="14" t="s">
        <v>72</v>
      </c>
      <c r="U1355" s="14">
        <v>508.33968805527979</v>
      </c>
      <c r="V1355">
        <v>7575</v>
      </c>
      <c r="W1355">
        <v>31.673486328125001</v>
      </c>
      <c r="X1355">
        <v>11.285140798012099</v>
      </c>
      <c r="Y1355">
        <v>4.1419662753917903</v>
      </c>
      <c r="Z1355" s="31">
        <v>2.2118865452458998</v>
      </c>
      <c r="AA1355">
        <v>3.6052283641710101</v>
      </c>
      <c r="AB1355">
        <v>0.12</v>
      </c>
      <c r="AC1355">
        <v>291878.26061998401</v>
      </c>
      <c r="AD1355">
        <v>333996.29362744768</v>
      </c>
      <c r="AE1355">
        <v>1</v>
      </c>
      <c r="AF1355">
        <v>244.55920230317039</v>
      </c>
      <c r="AG1355">
        <v>144127.10839921809</v>
      </c>
    </row>
    <row r="1356" spans="2:33" hidden="1" x14ac:dyDescent="0.25">
      <c r="B1356">
        <v>23</v>
      </c>
      <c r="C1356" t="s">
        <v>54</v>
      </c>
      <c r="D1356" t="s">
        <v>41</v>
      </c>
      <c r="E1356" t="s">
        <v>67</v>
      </c>
      <c r="F1356">
        <v>133783</v>
      </c>
      <c r="G1356">
        <v>139006</v>
      </c>
      <c r="H1356">
        <v>24</v>
      </c>
      <c r="I1356" s="8">
        <v>3009</v>
      </c>
      <c r="J1356">
        <v>1.5510298042544619</v>
      </c>
      <c r="K1356">
        <v>134738</v>
      </c>
      <c r="L1356">
        <v>212558</v>
      </c>
      <c r="M1356">
        <v>24784</v>
      </c>
      <c r="N1356">
        <v>114959</v>
      </c>
      <c r="O1356" s="43">
        <v>24259777.344000001</v>
      </c>
      <c r="P1356" s="14">
        <f t="shared" si="65"/>
        <v>1029896.2080000006</v>
      </c>
      <c r="Q1356" s="14" t="str">
        <f t="shared" si="63"/>
        <v/>
      </c>
      <c r="R1356" s="14" t="str">
        <f t="shared" si="63"/>
        <v/>
      </c>
      <c r="S1356" s="14" t="str">
        <f t="shared" si="64"/>
        <v/>
      </c>
      <c r="T1356" s="14" t="s">
        <v>72</v>
      </c>
      <c r="U1356" s="14">
        <v>342.27192023928234</v>
      </c>
      <c r="V1356">
        <v>7575</v>
      </c>
      <c r="W1356">
        <v>32.801416015625001</v>
      </c>
      <c r="X1356">
        <v>7.2900840266699998</v>
      </c>
      <c r="Y1356">
        <v>4.6129264997332404</v>
      </c>
      <c r="Z1356" s="31">
        <v>1.7545920652837399</v>
      </c>
      <c r="AA1356">
        <v>2.9191235853262798</v>
      </c>
      <c r="AB1356">
        <v>0.12</v>
      </c>
      <c r="AC1356">
        <v>291878.26061998401</v>
      </c>
      <c r="AD1356">
        <v>333996.29362744768</v>
      </c>
      <c r="AE1356">
        <v>1</v>
      </c>
      <c r="AF1356">
        <v>244.55920230317039</v>
      </c>
      <c r="AG1356">
        <v>144127.10839921809</v>
      </c>
    </row>
    <row r="1357" spans="2:33" hidden="1" x14ac:dyDescent="0.25">
      <c r="B1357">
        <v>23</v>
      </c>
      <c r="C1357" t="s">
        <v>54</v>
      </c>
      <c r="D1357" t="s">
        <v>41</v>
      </c>
      <c r="E1357" t="s">
        <v>67</v>
      </c>
      <c r="F1357">
        <v>134999</v>
      </c>
      <c r="G1357">
        <v>139006</v>
      </c>
      <c r="H1357">
        <v>25</v>
      </c>
      <c r="I1357" s="8">
        <v>1823</v>
      </c>
      <c r="J1357">
        <v>0.4636313279187379</v>
      </c>
      <c r="K1357">
        <v>134738</v>
      </c>
      <c r="L1357">
        <v>212558</v>
      </c>
      <c r="M1357">
        <v>24784</v>
      </c>
      <c r="N1357">
        <v>114959</v>
      </c>
      <c r="O1357" s="43">
        <v>25404106.464000002</v>
      </c>
      <c r="P1357" s="14">
        <f t="shared" si="65"/>
        <v>1144329.120000001</v>
      </c>
      <c r="Q1357" s="14" t="str">
        <f t="shared" si="63"/>
        <v/>
      </c>
      <c r="R1357" s="14" t="str">
        <f t="shared" si="63"/>
        <v/>
      </c>
      <c r="S1357" s="14" t="str">
        <f t="shared" si="64"/>
        <v/>
      </c>
      <c r="T1357" s="14" t="s">
        <v>72</v>
      </c>
      <c r="U1357" s="14">
        <v>627.71756445419692</v>
      </c>
      <c r="V1357">
        <v>7575</v>
      </c>
      <c r="W1357">
        <v>31.822351074218801</v>
      </c>
      <c r="X1357">
        <v>10.6407679114467</v>
      </c>
      <c r="Y1357">
        <v>4.2073821335356199</v>
      </c>
      <c r="Z1357" s="31">
        <v>3.29748296178012</v>
      </c>
      <c r="AA1357">
        <v>4.1763829307910996</v>
      </c>
      <c r="AB1357">
        <v>0.12</v>
      </c>
      <c r="AC1357">
        <v>291878.26061998401</v>
      </c>
      <c r="AD1357">
        <v>333996.29362744768</v>
      </c>
      <c r="AE1357">
        <v>1</v>
      </c>
      <c r="AF1357">
        <v>244.55920230317039</v>
      </c>
      <c r="AG1357">
        <v>144127.10839921809</v>
      </c>
    </row>
    <row r="1358" spans="2:33" hidden="1" x14ac:dyDescent="0.25">
      <c r="B1358">
        <v>23</v>
      </c>
      <c r="C1358" t="s">
        <v>54</v>
      </c>
      <c r="D1358" t="s">
        <v>41</v>
      </c>
      <c r="E1358" t="s">
        <v>67</v>
      </c>
      <c r="F1358">
        <v>135920</v>
      </c>
      <c r="G1358">
        <v>139006</v>
      </c>
      <c r="H1358">
        <v>26</v>
      </c>
      <c r="I1358" s="8">
        <v>3102</v>
      </c>
      <c r="J1358">
        <v>0.35115497780687299</v>
      </c>
      <c r="K1358">
        <v>134738</v>
      </c>
      <c r="L1358">
        <v>212558</v>
      </c>
      <c r="M1358">
        <v>24784</v>
      </c>
      <c r="N1358">
        <v>114959</v>
      </c>
      <c r="O1358" s="43">
        <v>27006167.232000001</v>
      </c>
      <c r="P1358" s="14">
        <f t="shared" si="65"/>
        <v>1602060.7679999992</v>
      </c>
      <c r="Q1358" s="14" t="str">
        <f t="shared" si="63"/>
        <v/>
      </c>
      <c r="R1358" s="14" t="str">
        <f t="shared" si="63"/>
        <v/>
      </c>
      <c r="S1358" s="14" t="str">
        <f t="shared" si="64"/>
        <v/>
      </c>
      <c r="T1358" s="14" t="s">
        <v>72</v>
      </c>
      <c r="U1358" s="14">
        <v>516.46059574468063</v>
      </c>
      <c r="V1358">
        <v>7575</v>
      </c>
      <c r="W1358">
        <v>31.029687500000001</v>
      </c>
      <c r="X1358">
        <v>14.4652482323971</v>
      </c>
      <c r="Y1358">
        <v>3.8500238004551401</v>
      </c>
      <c r="Z1358" s="31">
        <v>3.8962311824062601</v>
      </c>
      <c r="AA1358">
        <v>8.1442048929656394</v>
      </c>
      <c r="AB1358">
        <v>0.12</v>
      </c>
      <c r="AC1358">
        <v>291878.26061998401</v>
      </c>
      <c r="AD1358">
        <v>333996.29362744768</v>
      </c>
      <c r="AE1358">
        <v>1</v>
      </c>
      <c r="AF1358">
        <v>244.55920230317039</v>
      </c>
      <c r="AG1358">
        <v>144127.10839921809</v>
      </c>
    </row>
    <row r="1359" spans="2:33" hidden="1" x14ac:dyDescent="0.25">
      <c r="B1359">
        <v>23</v>
      </c>
      <c r="C1359" t="s">
        <v>54</v>
      </c>
      <c r="D1359" t="s">
        <v>41</v>
      </c>
      <c r="E1359" t="s">
        <v>67</v>
      </c>
      <c r="F1359">
        <v>135958</v>
      </c>
      <c r="G1359">
        <v>139006</v>
      </c>
      <c r="H1359">
        <v>27</v>
      </c>
      <c r="I1359" s="8">
        <v>4068</v>
      </c>
      <c r="J1359">
        <v>1.4488478997460559E-2</v>
      </c>
      <c r="K1359">
        <v>134738</v>
      </c>
      <c r="L1359">
        <v>212558</v>
      </c>
      <c r="M1359">
        <v>24784</v>
      </c>
      <c r="N1359">
        <v>114959</v>
      </c>
      <c r="O1359" s="43">
        <v>28608228</v>
      </c>
      <c r="P1359" s="14">
        <f t="shared" si="65"/>
        <v>1602060.7679999992</v>
      </c>
      <c r="Q1359" s="14" t="str">
        <f t="shared" si="63"/>
        <v/>
      </c>
      <c r="R1359" s="14" t="str">
        <f t="shared" si="63"/>
        <v/>
      </c>
      <c r="S1359" s="14" t="str">
        <f t="shared" si="64"/>
        <v/>
      </c>
      <c r="T1359" s="14" t="s">
        <v>72</v>
      </c>
      <c r="U1359" s="14">
        <v>393.82024778761132</v>
      </c>
      <c r="V1359">
        <v>7575</v>
      </c>
      <c r="W1359">
        <v>30.483728027343702</v>
      </c>
      <c r="X1359">
        <v>17.097765689401299</v>
      </c>
      <c r="Y1359">
        <v>3.6170365993723701</v>
      </c>
      <c r="Z1359" s="31">
        <v>2.3436540375872701</v>
      </c>
      <c r="AA1359">
        <v>3.86420617977085</v>
      </c>
      <c r="AB1359">
        <v>0.12</v>
      </c>
      <c r="AC1359">
        <v>291878.26061998401</v>
      </c>
      <c r="AD1359">
        <v>333996.29362744768</v>
      </c>
      <c r="AE1359">
        <v>1</v>
      </c>
      <c r="AF1359">
        <v>244.55920230317039</v>
      </c>
      <c r="AG1359">
        <v>144127.10839921809</v>
      </c>
    </row>
    <row r="1360" spans="2:33" hidden="1" x14ac:dyDescent="0.25">
      <c r="B1360">
        <v>23</v>
      </c>
      <c r="C1360" t="s">
        <v>54</v>
      </c>
      <c r="D1360" t="s">
        <v>41</v>
      </c>
      <c r="E1360" t="s">
        <v>67</v>
      </c>
      <c r="F1360">
        <v>139006</v>
      </c>
      <c r="G1360">
        <v>139006</v>
      </c>
      <c r="H1360">
        <v>28</v>
      </c>
      <c r="I1360" s="8">
        <v>1216</v>
      </c>
      <c r="J1360">
        <v>1.162128525901573</v>
      </c>
      <c r="K1360">
        <v>134738</v>
      </c>
      <c r="L1360">
        <v>212558</v>
      </c>
      <c r="M1360">
        <v>24784</v>
      </c>
      <c r="N1360">
        <v>114959</v>
      </c>
      <c r="O1360" s="43">
        <v>29752557.120000001</v>
      </c>
      <c r="P1360" s="14">
        <f t="shared" si="65"/>
        <v>1144329.120000001</v>
      </c>
      <c r="Q1360" s="14" t="str">
        <f t="shared" si="63"/>
        <v/>
      </c>
      <c r="R1360" s="14" t="str">
        <f t="shared" si="63"/>
        <v/>
      </c>
      <c r="S1360" s="14" t="str">
        <f t="shared" si="64"/>
        <v/>
      </c>
      <c r="T1360" s="14" t="s">
        <v>72</v>
      </c>
      <c r="U1360" s="14">
        <v>941.06013157894517</v>
      </c>
      <c r="V1360">
        <v>7575</v>
      </c>
      <c r="W1360">
        <v>28.776879882812501</v>
      </c>
      <c r="X1360">
        <v>24.598589620118801</v>
      </c>
      <c r="Y1360">
        <v>2.9820044861663599</v>
      </c>
      <c r="Z1360" s="31">
        <v>1.25852563086598</v>
      </c>
      <c r="AA1360">
        <v>0.39958561038178197</v>
      </c>
      <c r="AB1360">
        <v>0.12</v>
      </c>
      <c r="AC1360">
        <v>291878.26061998401</v>
      </c>
      <c r="AD1360">
        <v>333996.29362744768</v>
      </c>
      <c r="AE1360">
        <v>1</v>
      </c>
      <c r="AF1360">
        <v>244.55920230317039</v>
      </c>
      <c r="AG1360">
        <v>144127.10839921809</v>
      </c>
    </row>
    <row r="1361" spans="2:33" hidden="1" x14ac:dyDescent="0.25">
      <c r="B1361">
        <v>23</v>
      </c>
      <c r="C1361" t="s">
        <v>54</v>
      </c>
      <c r="D1361" t="s">
        <v>41</v>
      </c>
      <c r="E1361" t="s">
        <v>67</v>
      </c>
      <c r="F1361">
        <v>139006</v>
      </c>
      <c r="G1361">
        <v>139006</v>
      </c>
      <c r="H1361">
        <v>29</v>
      </c>
      <c r="I1361" s="8">
        <v>921</v>
      </c>
      <c r="J1361">
        <v>0</v>
      </c>
      <c r="K1361">
        <v>134738</v>
      </c>
      <c r="L1361">
        <v>212558</v>
      </c>
      <c r="M1361">
        <v>24784</v>
      </c>
      <c r="N1361">
        <v>114959</v>
      </c>
      <c r="O1361" s="43">
        <v>30668020.416000001</v>
      </c>
      <c r="P1361" s="14">
        <f t="shared" si="65"/>
        <v>915463.29600000009</v>
      </c>
      <c r="Q1361" s="14" t="str">
        <f t="shared" si="63"/>
        <v/>
      </c>
      <c r="R1361" s="14" t="str">
        <f t="shared" si="63"/>
        <v/>
      </c>
      <c r="S1361" s="14" t="str">
        <f t="shared" si="64"/>
        <v/>
      </c>
      <c r="T1361" s="14" t="s">
        <v>72</v>
      </c>
      <c r="U1361" s="14">
        <v>993.98837785016292</v>
      </c>
      <c r="V1361">
        <v>7575</v>
      </c>
      <c r="W1361">
        <v>30.035791015625001</v>
      </c>
      <c r="X1361">
        <v>15.8028767416967</v>
      </c>
      <c r="Y1361">
        <v>3.5807137332289001</v>
      </c>
      <c r="Z1361" s="31">
        <v>3.9031771328663201</v>
      </c>
      <c r="AA1361">
        <v>6.91180960616422</v>
      </c>
      <c r="AB1361">
        <v>0.12</v>
      </c>
      <c r="AC1361">
        <v>291878.26061998401</v>
      </c>
      <c r="AD1361">
        <v>333996.29362744768</v>
      </c>
      <c r="AE1361">
        <v>1</v>
      </c>
      <c r="AF1361">
        <v>244.55920230317039</v>
      </c>
      <c r="AG1361">
        <v>144127.10839921809</v>
      </c>
    </row>
    <row r="1362" spans="2:33" hidden="1" x14ac:dyDescent="0.25">
      <c r="B1362">
        <v>23</v>
      </c>
      <c r="C1362" t="s">
        <v>54</v>
      </c>
      <c r="D1362" t="s">
        <v>41</v>
      </c>
      <c r="E1362" t="s">
        <v>67</v>
      </c>
      <c r="F1362">
        <v>139006</v>
      </c>
      <c r="G1362">
        <v>139006</v>
      </c>
      <c r="H1362">
        <v>30</v>
      </c>
      <c r="I1362" s="8">
        <v>38</v>
      </c>
      <c r="J1362">
        <v>3.8127576309106742E-4</v>
      </c>
      <c r="K1362">
        <v>134738</v>
      </c>
      <c r="L1362">
        <v>212558</v>
      </c>
      <c r="M1362">
        <v>24784</v>
      </c>
      <c r="N1362">
        <v>114959</v>
      </c>
      <c r="O1362" s="43">
        <v>31697916.624000002</v>
      </c>
      <c r="P1362" s="14">
        <f t="shared" si="65"/>
        <v>1029896.2080000006</v>
      </c>
      <c r="Q1362" s="14" t="str">
        <f t="shared" si="63"/>
        <v/>
      </c>
      <c r="R1362" s="14" t="str">
        <f t="shared" si="63"/>
        <v/>
      </c>
      <c r="S1362" s="14" t="str">
        <f t="shared" si="64"/>
        <v/>
      </c>
      <c r="T1362" s="14" t="s">
        <v>72</v>
      </c>
      <c r="U1362" s="14">
        <v>27102.531789473698</v>
      </c>
      <c r="V1362">
        <v>7575</v>
      </c>
      <c r="W1362">
        <v>28.084619140625001</v>
      </c>
      <c r="X1362">
        <v>15.332473832944601</v>
      </c>
      <c r="Y1362">
        <v>3.2172917191579802</v>
      </c>
      <c r="Z1362" s="31">
        <v>0.87157562264188704</v>
      </c>
      <c r="AA1362">
        <v>2.3416403465298998</v>
      </c>
      <c r="AB1362">
        <v>0.12</v>
      </c>
      <c r="AC1362">
        <v>291878.26061998401</v>
      </c>
      <c r="AD1362">
        <v>333996.29362744768</v>
      </c>
      <c r="AE1362">
        <v>1</v>
      </c>
      <c r="AF1362">
        <v>244.55920230317039</v>
      </c>
      <c r="AG1362">
        <v>144127.10839921809</v>
      </c>
    </row>
    <row r="1363" spans="2:33" hidden="1" x14ac:dyDescent="0.25">
      <c r="B1363">
        <v>23</v>
      </c>
      <c r="C1363" t="s">
        <v>54</v>
      </c>
      <c r="D1363" t="s">
        <v>41</v>
      </c>
      <c r="E1363" t="s">
        <v>67</v>
      </c>
      <c r="F1363">
        <v>139006</v>
      </c>
      <c r="G1363">
        <v>139006</v>
      </c>
      <c r="H1363">
        <v>31</v>
      </c>
      <c r="I1363" s="8">
        <v>3048</v>
      </c>
      <c r="J1363">
        <v>0</v>
      </c>
      <c r="K1363">
        <v>134738</v>
      </c>
      <c r="L1363">
        <v>212558</v>
      </c>
      <c r="M1363">
        <v>24784</v>
      </c>
      <c r="N1363">
        <v>114959</v>
      </c>
      <c r="O1363" s="43">
        <v>32097161.610676799</v>
      </c>
      <c r="P1363" s="14">
        <f t="shared" si="65"/>
        <v>399244.98667679727</v>
      </c>
      <c r="Q1363" s="14" t="str">
        <f t="shared" si="63"/>
        <v/>
      </c>
      <c r="R1363" s="14" t="str">
        <f t="shared" si="63"/>
        <v/>
      </c>
      <c r="S1363" s="14" t="str">
        <f t="shared" si="64"/>
        <v/>
      </c>
      <c r="T1363" s="14" t="s">
        <v>72</v>
      </c>
      <c r="U1363" s="14">
        <v>130.98588801732316</v>
      </c>
      <c r="V1363">
        <v>7575</v>
      </c>
      <c r="W1363">
        <v>23.119409179687501</v>
      </c>
      <c r="X1363">
        <v>25.1521234831722</v>
      </c>
      <c r="Y1363">
        <v>2.1191955848273598</v>
      </c>
      <c r="Z1363" s="31">
        <v>4.2417268547408398</v>
      </c>
      <c r="AA1363">
        <v>7.2674731822799998</v>
      </c>
      <c r="AB1363">
        <v>0.12</v>
      </c>
      <c r="AC1363">
        <v>291878.26061998401</v>
      </c>
      <c r="AD1363">
        <v>333996.29362744768</v>
      </c>
      <c r="AE1363">
        <v>1</v>
      </c>
      <c r="AF1363">
        <v>244.55920230317039</v>
      </c>
      <c r="AG1363">
        <v>144127.10839921809</v>
      </c>
    </row>
    <row r="1364" spans="2:33" hidden="1" x14ac:dyDescent="0.25">
      <c r="B1364">
        <v>23</v>
      </c>
      <c r="C1364" t="s">
        <v>54</v>
      </c>
      <c r="D1364" t="s">
        <v>41</v>
      </c>
      <c r="E1364" t="s">
        <v>67</v>
      </c>
      <c r="F1364">
        <v>139006</v>
      </c>
      <c r="G1364">
        <v>139006</v>
      </c>
      <c r="H1364">
        <v>32</v>
      </c>
      <c r="I1364" s="12">
        <v>0</v>
      </c>
      <c r="J1364">
        <v>0</v>
      </c>
      <c r="K1364">
        <v>134738</v>
      </c>
      <c r="L1364">
        <v>212558</v>
      </c>
      <c r="M1364">
        <v>24784</v>
      </c>
      <c r="N1364">
        <v>114959</v>
      </c>
      <c r="O1364" s="43">
        <v>32931503.41536</v>
      </c>
      <c r="P1364" s="14">
        <f t="shared" si="65"/>
        <v>834341.80468320101</v>
      </c>
      <c r="Q1364" s="14" t="str">
        <f t="shared" si="63"/>
        <v/>
      </c>
      <c r="R1364" s="14" t="str">
        <f t="shared" si="63"/>
        <v/>
      </c>
      <c r="S1364" s="14" t="str">
        <f t="shared" si="64"/>
        <v/>
      </c>
      <c r="T1364" s="14" t="s">
        <v>72</v>
      </c>
      <c r="U1364" s="14">
        <v>0</v>
      </c>
      <c r="V1364">
        <v>7575</v>
      </c>
      <c r="W1364">
        <v>26.340356445312501</v>
      </c>
      <c r="X1364">
        <v>13.303475877838499</v>
      </c>
      <c r="Y1364">
        <v>2.9747707159091399</v>
      </c>
      <c r="Z1364" s="31">
        <v>1.6831065833063401</v>
      </c>
      <c r="AA1364">
        <v>9.0699025922395204</v>
      </c>
      <c r="AB1364">
        <v>0.12</v>
      </c>
      <c r="AC1364">
        <v>291878.26061998401</v>
      </c>
      <c r="AD1364">
        <v>333996.29362744768</v>
      </c>
      <c r="AE1364">
        <v>1</v>
      </c>
      <c r="AF1364">
        <v>244.55920230317039</v>
      </c>
      <c r="AG1364">
        <v>144127.10839921809</v>
      </c>
    </row>
    <row r="1365" spans="2:33" hidden="1" x14ac:dyDescent="0.25">
      <c r="B1365">
        <v>23</v>
      </c>
      <c r="C1365" t="s">
        <v>54</v>
      </c>
      <c r="D1365" t="s">
        <v>41</v>
      </c>
      <c r="E1365" t="s">
        <v>67</v>
      </c>
      <c r="F1365">
        <v>139006</v>
      </c>
      <c r="G1365">
        <v>139006</v>
      </c>
      <c r="H1365">
        <v>33</v>
      </c>
      <c r="I1365" s="12">
        <v>1</v>
      </c>
      <c r="J1365">
        <v>0</v>
      </c>
      <c r="K1365">
        <v>134738</v>
      </c>
      <c r="L1365">
        <v>212558</v>
      </c>
      <c r="M1365">
        <v>24784</v>
      </c>
      <c r="N1365">
        <v>114959</v>
      </c>
      <c r="O1365" s="43">
        <v>32931503.41536</v>
      </c>
      <c r="P1365" s="14">
        <f t="shared" si="65"/>
        <v>0</v>
      </c>
      <c r="Q1365" s="14" t="str">
        <f t="shared" si="63"/>
        <v/>
      </c>
      <c r="R1365" s="14" t="str">
        <f t="shared" si="63"/>
        <v/>
      </c>
      <c r="S1365" s="14" t="str">
        <f t="shared" si="64"/>
        <v/>
      </c>
      <c r="T1365" s="14" t="s">
        <v>72</v>
      </c>
      <c r="U1365" s="14">
        <v>0</v>
      </c>
      <c r="V1365">
        <v>7575</v>
      </c>
      <c r="W1365">
        <v>26.340356445312501</v>
      </c>
      <c r="X1365">
        <v>13.303475877838499</v>
      </c>
      <c r="Y1365">
        <v>2.9747707159091399</v>
      </c>
      <c r="Z1365" s="31">
        <v>1.6831065833063401</v>
      </c>
      <c r="AA1365">
        <v>9.0699025922395204</v>
      </c>
      <c r="AB1365">
        <v>0.12</v>
      </c>
      <c r="AC1365">
        <v>291878.26061998401</v>
      </c>
      <c r="AD1365">
        <v>333996.29362744768</v>
      </c>
      <c r="AE1365">
        <v>1</v>
      </c>
      <c r="AF1365">
        <v>244.55920230317039</v>
      </c>
      <c r="AG1365">
        <v>144127.10839921809</v>
      </c>
    </row>
    <row r="1366" spans="2:33" hidden="1" x14ac:dyDescent="0.25">
      <c r="B1366">
        <v>23</v>
      </c>
      <c r="C1366" t="s">
        <v>54</v>
      </c>
      <c r="D1366" t="s">
        <v>41</v>
      </c>
      <c r="E1366" t="s">
        <v>67</v>
      </c>
      <c r="F1366">
        <v>139006</v>
      </c>
      <c r="G1366">
        <v>139006</v>
      </c>
      <c r="H1366">
        <v>34</v>
      </c>
      <c r="I1366" s="12">
        <v>0</v>
      </c>
      <c r="J1366">
        <v>0</v>
      </c>
      <c r="K1366">
        <v>134738</v>
      </c>
      <c r="L1366">
        <v>212558</v>
      </c>
      <c r="M1366">
        <v>24784</v>
      </c>
      <c r="N1366">
        <v>114959</v>
      </c>
      <c r="O1366" s="43">
        <v>34745265.070560001</v>
      </c>
      <c r="P1366" s="14">
        <f t="shared" si="65"/>
        <v>1813761.6552000009</v>
      </c>
      <c r="Q1366" s="14" t="str">
        <f t="shared" si="63"/>
        <v/>
      </c>
      <c r="R1366" s="14" t="str">
        <f t="shared" si="63"/>
        <v/>
      </c>
      <c r="S1366" s="14" t="str">
        <f t="shared" si="64"/>
        <v/>
      </c>
      <c r="T1366" s="14" t="s">
        <v>72</v>
      </c>
      <c r="U1366" s="14">
        <v>0</v>
      </c>
      <c r="V1366">
        <v>7575</v>
      </c>
      <c r="W1366">
        <v>26.340356445312501</v>
      </c>
      <c r="X1366">
        <v>13.303475877838499</v>
      </c>
      <c r="Y1366">
        <v>2.9747707159091399</v>
      </c>
      <c r="Z1366" s="31">
        <v>1.6831065833063401</v>
      </c>
      <c r="AA1366">
        <v>9.0699025922395204</v>
      </c>
      <c r="AB1366">
        <v>0.12</v>
      </c>
      <c r="AC1366">
        <v>291878.26061998401</v>
      </c>
      <c r="AD1366">
        <v>333996.29362744768</v>
      </c>
      <c r="AE1366">
        <v>1</v>
      </c>
      <c r="AF1366">
        <v>244.55920230317039</v>
      </c>
      <c r="AG1366">
        <v>144127.10839921809</v>
      </c>
    </row>
    <row r="1367" spans="2:33" hidden="1" x14ac:dyDescent="0.25">
      <c r="B1367">
        <v>23</v>
      </c>
      <c r="C1367" t="s">
        <v>54</v>
      </c>
      <c r="D1367" t="s">
        <v>41</v>
      </c>
      <c r="E1367" t="s">
        <v>67</v>
      </c>
      <c r="F1367">
        <v>139006</v>
      </c>
      <c r="G1367">
        <v>139006</v>
      </c>
      <c r="H1367">
        <v>35</v>
      </c>
      <c r="I1367" s="12">
        <v>0</v>
      </c>
      <c r="J1367">
        <v>0</v>
      </c>
      <c r="K1367">
        <v>134738</v>
      </c>
      <c r="L1367">
        <v>212558</v>
      </c>
      <c r="M1367">
        <v>24784</v>
      </c>
      <c r="N1367">
        <v>114959</v>
      </c>
      <c r="O1367" s="43">
        <v>35650429.404480003</v>
      </c>
      <c r="P1367" s="14">
        <f t="shared" si="65"/>
        <v>905164.33392000198</v>
      </c>
      <c r="Q1367" s="14" t="str">
        <f t="shared" si="63"/>
        <v/>
      </c>
      <c r="R1367" s="14" t="str">
        <f t="shared" si="63"/>
        <v/>
      </c>
      <c r="S1367" s="14" t="str">
        <f t="shared" si="64"/>
        <v/>
      </c>
      <c r="T1367" s="14" t="s">
        <v>72</v>
      </c>
      <c r="U1367" s="14">
        <v>0</v>
      </c>
      <c r="V1367">
        <v>7575</v>
      </c>
      <c r="W1367">
        <v>26.340356445312501</v>
      </c>
      <c r="X1367">
        <v>13.303475877838499</v>
      </c>
      <c r="Y1367">
        <v>2.9747707159091399</v>
      </c>
      <c r="Z1367" s="31">
        <v>1.6831065833063401</v>
      </c>
      <c r="AA1367">
        <v>9.0699025922395204</v>
      </c>
      <c r="AB1367">
        <v>0.12</v>
      </c>
      <c r="AC1367">
        <v>291878.26061998401</v>
      </c>
      <c r="AD1367">
        <v>333996.29362744768</v>
      </c>
      <c r="AE1367">
        <v>1</v>
      </c>
      <c r="AF1367">
        <v>244.55920230317039</v>
      </c>
      <c r="AG1367">
        <v>144127.10839921809</v>
      </c>
    </row>
    <row r="1368" spans="2:33" hidden="1" x14ac:dyDescent="0.25">
      <c r="B1368">
        <v>23</v>
      </c>
      <c r="C1368" t="s">
        <v>54</v>
      </c>
      <c r="D1368" t="s">
        <v>41</v>
      </c>
      <c r="E1368" t="s">
        <v>67</v>
      </c>
      <c r="F1368">
        <v>139006</v>
      </c>
      <c r="G1368">
        <v>139006</v>
      </c>
      <c r="H1368">
        <v>36</v>
      </c>
      <c r="I1368" s="12">
        <v>0</v>
      </c>
      <c r="J1368">
        <v>0</v>
      </c>
      <c r="K1368">
        <v>134738</v>
      </c>
      <c r="L1368">
        <v>212558</v>
      </c>
      <c r="M1368">
        <v>24784</v>
      </c>
      <c r="N1368">
        <v>114959</v>
      </c>
      <c r="O1368" s="43">
        <v>36050486.864832006</v>
      </c>
      <c r="P1368" s="14">
        <f t="shared" si="65"/>
        <v>400057.46035200357</v>
      </c>
      <c r="Q1368" s="14" t="str">
        <f t="shared" si="63"/>
        <v/>
      </c>
      <c r="R1368" s="14" t="str">
        <f t="shared" si="63"/>
        <v/>
      </c>
      <c r="S1368" s="14" t="str">
        <f t="shared" si="64"/>
        <v/>
      </c>
      <c r="T1368" s="14" t="s">
        <v>72</v>
      </c>
      <c r="U1368" s="14">
        <v>0</v>
      </c>
      <c r="V1368">
        <v>7575</v>
      </c>
      <c r="W1368">
        <v>26.340356445312501</v>
      </c>
      <c r="X1368">
        <v>13.303475877838499</v>
      </c>
      <c r="Y1368">
        <v>2.9747707159091399</v>
      </c>
      <c r="Z1368" s="31">
        <v>1.6831065833063401</v>
      </c>
      <c r="AA1368">
        <v>9.0699025922395204</v>
      </c>
      <c r="AB1368">
        <v>0.12</v>
      </c>
      <c r="AC1368">
        <v>291878.26061998401</v>
      </c>
      <c r="AD1368">
        <v>333996.29362744768</v>
      </c>
      <c r="AE1368">
        <v>1</v>
      </c>
      <c r="AF1368">
        <v>244.55920230317039</v>
      </c>
      <c r="AG1368">
        <v>144127.10839921809</v>
      </c>
    </row>
    <row r="1369" spans="2:33" hidden="1" x14ac:dyDescent="0.25">
      <c r="B1369">
        <v>23</v>
      </c>
      <c r="C1369" t="s">
        <v>54</v>
      </c>
      <c r="D1369" t="s">
        <v>41</v>
      </c>
      <c r="E1369" t="s">
        <v>67</v>
      </c>
      <c r="F1369">
        <v>139006</v>
      </c>
      <c r="G1369">
        <v>139006</v>
      </c>
      <c r="H1369">
        <v>37</v>
      </c>
      <c r="I1369" s="12">
        <v>0</v>
      </c>
      <c r="J1369">
        <v>0</v>
      </c>
      <c r="K1369">
        <v>134738</v>
      </c>
      <c r="L1369">
        <v>212558</v>
      </c>
      <c r="M1369">
        <v>24784</v>
      </c>
      <c r="N1369">
        <v>114959</v>
      </c>
      <c r="O1369" s="43">
        <v>34765862.994719997</v>
      </c>
      <c r="P1369" s="14">
        <f t="shared" si="65"/>
        <v>-1284623.8701120093</v>
      </c>
      <c r="Q1369" s="14">
        <f t="shared" si="63"/>
        <v>-1284623.8701120093</v>
      </c>
      <c r="R1369" s="14">
        <f t="shared" si="63"/>
        <v>-1284623.8701120093</v>
      </c>
      <c r="S1369" s="14">
        <f t="shared" si="64"/>
        <v>1650258487661.5566</v>
      </c>
      <c r="T1369" s="14">
        <v>1650258487661.5566</v>
      </c>
      <c r="U1369" s="14">
        <v>0</v>
      </c>
      <c r="V1369">
        <v>7575</v>
      </c>
      <c r="W1369">
        <v>26.340356445312501</v>
      </c>
      <c r="X1369">
        <v>13.303475877838499</v>
      </c>
      <c r="Y1369">
        <v>2.9747707159091399</v>
      </c>
      <c r="Z1369" s="31">
        <v>1.6831065833063401</v>
      </c>
      <c r="AA1369">
        <v>9.0699025922395204</v>
      </c>
      <c r="AB1369">
        <v>0.12</v>
      </c>
      <c r="AC1369">
        <v>291878.26061998401</v>
      </c>
      <c r="AD1369">
        <v>333996.29362744768</v>
      </c>
      <c r="AE1369">
        <v>1</v>
      </c>
      <c r="AF1369">
        <v>244.55920230317039</v>
      </c>
      <c r="AG1369">
        <v>144127.10839921809</v>
      </c>
    </row>
    <row r="1370" spans="2:33" hidden="1" x14ac:dyDescent="0.25">
      <c r="B1370">
        <v>23</v>
      </c>
      <c r="C1370" t="s">
        <v>54</v>
      </c>
      <c r="D1370" t="s">
        <v>41</v>
      </c>
      <c r="E1370" t="s">
        <v>67</v>
      </c>
      <c r="F1370">
        <v>139006</v>
      </c>
      <c r="G1370">
        <v>139006</v>
      </c>
      <c r="H1370">
        <v>38</v>
      </c>
      <c r="I1370" s="12">
        <v>0</v>
      </c>
      <c r="J1370">
        <v>0</v>
      </c>
      <c r="K1370">
        <v>134738</v>
      </c>
      <c r="L1370">
        <v>212558</v>
      </c>
      <c r="M1370">
        <v>24784</v>
      </c>
      <c r="N1370">
        <v>114959</v>
      </c>
      <c r="O1370" s="43">
        <v>36139057.938720003</v>
      </c>
      <c r="P1370" s="14">
        <f t="shared" si="65"/>
        <v>1373194.9440000057</v>
      </c>
      <c r="Q1370" s="14" t="str">
        <f t="shared" si="63"/>
        <v/>
      </c>
      <c r="R1370" s="14" t="str">
        <f t="shared" si="63"/>
        <v/>
      </c>
      <c r="S1370" s="14" t="str">
        <f t="shared" si="64"/>
        <v/>
      </c>
      <c r="T1370" s="14" t="s">
        <v>72</v>
      </c>
      <c r="U1370" s="14">
        <v>0</v>
      </c>
      <c r="V1370">
        <v>7575</v>
      </c>
      <c r="W1370">
        <v>26.340356445312501</v>
      </c>
      <c r="X1370">
        <v>13.303475877838499</v>
      </c>
      <c r="Y1370">
        <v>2.9747707159091399</v>
      </c>
      <c r="Z1370" s="31">
        <v>1.6831065833063401</v>
      </c>
      <c r="AA1370">
        <v>9.0699025922395204</v>
      </c>
      <c r="AB1370">
        <v>0.12</v>
      </c>
      <c r="AC1370">
        <v>291878.26061998401</v>
      </c>
      <c r="AD1370">
        <v>333996.29362744768</v>
      </c>
      <c r="AE1370">
        <v>1</v>
      </c>
      <c r="AF1370">
        <v>244.55920230317039</v>
      </c>
      <c r="AG1370">
        <v>144127.10839921809</v>
      </c>
    </row>
    <row r="1371" spans="2:33" hidden="1" x14ac:dyDescent="0.25">
      <c r="B1371">
        <v>23</v>
      </c>
      <c r="C1371" t="s">
        <v>54</v>
      </c>
      <c r="D1371" t="s">
        <v>41</v>
      </c>
      <c r="E1371" t="s">
        <v>67</v>
      </c>
      <c r="F1371">
        <v>139006</v>
      </c>
      <c r="G1371">
        <v>139006</v>
      </c>
      <c r="H1371">
        <v>39</v>
      </c>
      <c r="I1371" s="12">
        <v>0</v>
      </c>
      <c r="J1371">
        <v>0</v>
      </c>
      <c r="K1371">
        <v>134738</v>
      </c>
      <c r="L1371">
        <v>212558</v>
      </c>
      <c r="M1371">
        <v>24784</v>
      </c>
      <c r="N1371">
        <v>114959</v>
      </c>
      <c r="O1371" s="43">
        <v>36005171.431680001</v>
      </c>
      <c r="P1371" s="14">
        <f t="shared" si="65"/>
        <v>-133886.50704000145</v>
      </c>
      <c r="Q1371" s="14">
        <f t="shared" si="63"/>
        <v>-133886.50704000145</v>
      </c>
      <c r="R1371" s="14">
        <f t="shared" si="63"/>
        <v>-133886.50704000145</v>
      </c>
      <c r="S1371" s="14">
        <f t="shared" si="64"/>
        <v>17925596767.37236</v>
      </c>
      <c r="T1371" s="14">
        <v>17925596767.37236</v>
      </c>
      <c r="U1371" s="14">
        <v>0</v>
      </c>
      <c r="V1371">
        <v>7575</v>
      </c>
      <c r="W1371">
        <v>26.340356445312501</v>
      </c>
      <c r="X1371">
        <v>13.303475877838499</v>
      </c>
      <c r="Y1371">
        <v>2.9747707159091399</v>
      </c>
      <c r="Z1371" s="31">
        <v>1.6831065833063401</v>
      </c>
      <c r="AA1371">
        <v>9.0699025922395204</v>
      </c>
      <c r="AB1371">
        <v>0.12</v>
      </c>
      <c r="AC1371">
        <v>291878.26061998401</v>
      </c>
      <c r="AD1371">
        <v>333996.29362744768</v>
      </c>
      <c r="AE1371">
        <v>1</v>
      </c>
      <c r="AF1371">
        <v>244.55920230317039</v>
      </c>
      <c r="AG1371">
        <v>144127.10839921809</v>
      </c>
    </row>
    <row r="1372" spans="2:33" hidden="1" x14ac:dyDescent="0.25">
      <c r="B1372">
        <v>23</v>
      </c>
      <c r="C1372" t="s">
        <v>54</v>
      </c>
      <c r="D1372" t="s">
        <v>41</v>
      </c>
      <c r="E1372" t="s">
        <v>67</v>
      </c>
      <c r="F1372">
        <v>139006</v>
      </c>
      <c r="G1372">
        <v>139006</v>
      </c>
      <c r="H1372">
        <v>40</v>
      </c>
      <c r="I1372" s="12">
        <v>0</v>
      </c>
      <c r="J1372">
        <v>0</v>
      </c>
      <c r="K1372">
        <v>134738</v>
      </c>
      <c r="L1372">
        <v>212558</v>
      </c>
      <c r="M1372">
        <v>24784</v>
      </c>
      <c r="N1372">
        <v>114959</v>
      </c>
      <c r="O1372" s="43">
        <v>37503098.249760002</v>
      </c>
      <c r="P1372" s="14">
        <f t="shared" si="65"/>
        <v>1497926.8180800006</v>
      </c>
      <c r="Q1372" s="14" t="str">
        <f t="shared" si="63"/>
        <v/>
      </c>
      <c r="R1372" s="14" t="str">
        <f t="shared" si="63"/>
        <v/>
      </c>
      <c r="S1372" s="14" t="str">
        <f t="shared" si="64"/>
        <v/>
      </c>
      <c r="T1372" s="14" t="s">
        <v>72</v>
      </c>
      <c r="U1372" s="14">
        <v>0</v>
      </c>
      <c r="V1372">
        <v>7575</v>
      </c>
      <c r="W1372">
        <v>26.340356445312501</v>
      </c>
      <c r="X1372">
        <v>13.303475877838499</v>
      </c>
      <c r="Y1372">
        <v>2.9747707159091399</v>
      </c>
      <c r="Z1372" s="31">
        <v>1.6831065833063401</v>
      </c>
      <c r="AA1372">
        <v>9.0699025922395204</v>
      </c>
      <c r="AB1372">
        <v>0.12</v>
      </c>
      <c r="AC1372">
        <v>291878.26061998401</v>
      </c>
      <c r="AD1372">
        <v>333996.29362744768</v>
      </c>
      <c r="AE1372">
        <v>1</v>
      </c>
      <c r="AF1372">
        <v>244.55920230317039</v>
      </c>
      <c r="AG1372">
        <v>144127.10839921809</v>
      </c>
    </row>
    <row r="1373" spans="2:33" hidden="1" x14ac:dyDescent="0.25">
      <c r="B1373">
        <v>23</v>
      </c>
      <c r="C1373" t="s">
        <v>54</v>
      </c>
      <c r="D1373" t="s">
        <v>41</v>
      </c>
      <c r="E1373" t="s">
        <v>67</v>
      </c>
      <c r="F1373">
        <v>139006</v>
      </c>
      <c r="G1373">
        <v>139006</v>
      </c>
      <c r="H1373">
        <v>41</v>
      </c>
      <c r="I1373" s="12">
        <v>0</v>
      </c>
      <c r="J1373">
        <v>0</v>
      </c>
      <c r="K1373">
        <v>134738</v>
      </c>
      <c r="L1373">
        <v>212558</v>
      </c>
      <c r="M1373">
        <v>24784</v>
      </c>
      <c r="N1373">
        <v>114959</v>
      </c>
      <c r="O1373" s="43">
        <v>37920778.378560007</v>
      </c>
      <c r="P1373" s="14">
        <f t="shared" si="65"/>
        <v>417680.12880000472</v>
      </c>
      <c r="Q1373" s="14" t="str">
        <f t="shared" si="63"/>
        <v/>
      </c>
      <c r="R1373" s="14" t="str">
        <f t="shared" si="63"/>
        <v/>
      </c>
      <c r="S1373" s="14" t="str">
        <f t="shared" si="64"/>
        <v/>
      </c>
      <c r="T1373" s="14" t="s">
        <v>72</v>
      </c>
      <c r="U1373" s="14">
        <v>0</v>
      </c>
      <c r="V1373">
        <v>7575</v>
      </c>
      <c r="W1373">
        <v>26.340356445312501</v>
      </c>
      <c r="X1373">
        <v>13.303475877838499</v>
      </c>
      <c r="Y1373">
        <v>2.9747707159091399</v>
      </c>
      <c r="Z1373" s="31">
        <v>1.6831065833063401</v>
      </c>
      <c r="AA1373">
        <v>9.0699025922395204</v>
      </c>
      <c r="AB1373">
        <v>0.12</v>
      </c>
      <c r="AC1373">
        <v>291878.26061998401</v>
      </c>
      <c r="AD1373">
        <v>333996.29362744768</v>
      </c>
      <c r="AE1373">
        <v>1</v>
      </c>
      <c r="AF1373">
        <v>244.55920230317039</v>
      </c>
      <c r="AG1373">
        <v>144127.10839921809</v>
      </c>
    </row>
    <row r="1374" spans="2:33" hidden="1" x14ac:dyDescent="0.25">
      <c r="B1374">
        <v>23</v>
      </c>
      <c r="C1374" t="s">
        <v>54</v>
      </c>
      <c r="D1374" t="s">
        <v>41</v>
      </c>
      <c r="E1374" t="s">
        <v>67</v>
      </c>
      <c r="F1374">
        <v>139006</v>
      </c>
      <c r="G1374">
        <v>139006</v>
      </c>
      <c r="H1374">
        <v>42</v>
      </c>
      <c r="I1374" s="12">
        <v>0</v>
      </c>
      <c r="J1374">
        <v>0</v>
      </c>
      <c r="K1374">
        <v>134738</v>
      </c>
      <c r="L1374">
        <v>212558</v>
      </c>
      <c r="M1374">
        <v>24784</v>
      </c>
      <c r="N1374">
        <v>114959</v>
      </c>
      <c r="O1374" s="43">
        <v>38203427.6712</v>
      </c>
      <c r="P1374" s="14">
        <f t="shared" si="65"/>
        <v>282649.29263999313</v>
      </c>
      <c r="Q1374" s="14" t="str">
        <f t="shared" si="63"/>
        <v/>
      </c>
      <c r="R1374" s="14" t="str">
        <f t="shared" si="63"/>
        <v/>
      </c>
      <c r="S1374" s="14" t="str">
        <f t="shared" si="64"/>
        <v/>
      </c>
      <c r="T1374" s="14" t="s">
        <v>72</v>
      </c>
      <c r="U1374" s="14">
        <v>0</v>
      </c>
      <c r="V1374">
        <v>7575</v>
      </c>
      <c r="W1374">
        <v>26.340356445312501</v>
      </c>
      <c r="X1374">
        <v>13.303475877838499</v>
      </c>
      <c r="Y1374">
        <v>2.9747707159091399</v>
      </c>
      <c r="Z1374" s="31">
        <v>1.6831065833063401</v>
      </c>
      <c r="AA1374">
        <v>9.0699025922395204</v>
      </c>
      <c r="AB1374">
        <v>0.12</v>
      </c>
      <c r="AC1374">
        <v>291878.26061998401</v>
      </c>
      <c r="AD1374">
        <v>333996.29362744768</v>
      </c>
      <c r="AE1374">
        <v>1</v>
      </c>
      <c r="AF1374">
        <v>244.55920230317039</v>
      </c>
      <c r="AG1374">
        <v>144127.10839921809</v>
      </c>
    </row>
    <row r="1375" spans="2:33" hidden="1" x14ac:dyDescent="0.25">
      <c r="B1375">
        <v>23</v>
      </c>
      <c r="C1375" t="s">
        <v>54</v>
      </c>
      <c r="D1375" t="s">
        <v>41</v>
      </c>
      <c r="E1375" t="s">
        <v>67</v>
      </c>
      <c r="F1375">
        <v>139006</v>
      </c>
      <c r="G1375">
        <v>139006</v>
      </c>
      <c r="H1375">
        <v>43</v>
      </c>
      <c r="I1375" s="12">
        <v>0</v>
      </c>
      <c r="J1375">
        <v>0</v>
      </c>
      <c r="K1375">
        <v>134738</v>
      </c>
      <c r="L1375">
        <v>212558</v>
      </c>
      <c r="M1375">
        <v>24784</v>
      </c>
      <c r="N1375">
        <v>114959</v>
      </c>
      <c r="O1375" s="43">
        <v>38587922.255520001</v>
      </c>
      <c r="P1375" s="14">
        <f t="shared" si="65"/>
        <v>384494.5843200013</v>
      </c>
      <c r="Q1375" s="14" t="str">
        <f t="shared" si="63"/>
        <v/>
      </c>
      <c r="R1375" s="14" t="str">
        <f t="shared" si="63"/>
        <v/>
      </c>
      <c r="S1375" s="14" t="str">
        <f t="shared" si="64"/>
        <v/>
      </c>
      <c r="T1375" s="14" t="s">
        <v>72</v>
      </c>
      <c r="U1375" s="14">
        <v>0</v>
      </c>
      <c r="V1375">
        <v>7575</v>
      </c>
      <c r="W1375">
        <v>26.340356445312501</v>
      </c>
      <c r="X1375">
        <v>13.303475877838499</v>
      </c>
      <c r="Y1375">
        <v>2.9747707159091399</v>
      </c>
      <c r="Z1375" s="31">
        <v>1.6831065833063401</v>
      </c>
      <c r="AA1375">
        <v>9.0699025922395204</v>
      </c>
      <c r="AB1375">
        <v>0.12</v>
      </c>
      <c r="AC1375">
        <v>291878.26061998401</v>
      </c>
      <c r="AD1375">
        <v>333996.29362744768</v>
      </c>
      <c r="AE1375">
        <v>1</v>
      </c>
      <c r="AF1375">
        <v>244.55920230317039</v>
      </c>
      <c r="AG1375">
        <v>144127.10839921809</v>
      </c>
    </row>
    <row r="1376" spans="2:33" hidden="1" x14ac:dyDescent="0.25">
      <c r="B1376">
        <v>23</v>
      </c>
      <c r="C1376" t="s">
        <v>54</v>
      </c>
      <c r="D1376" t="s">
        <v>41</v>
      </c>
      <c r="E1376" t="s">
        <v>67</v>
      </c>
      <c r="F1376">
        <v>139006</v>
      </c>
      <c r="G1376">
        <v>139006</v>
      </c>
      <c r="H1376">
        <v>44</v>
      </c>
      <c r="I1376" s="12">
        <v>0</v>
      </c>
      <c r="J1376">
        <v>0</v>
      </c>
      <c r="K1376">
        <v>134738</v>
      </c>
      <c r="L1376">
        <v>212558</v>
      </c>
      <c r="M1376">
        <v>24784</v>
      </c>
      <c r="N1376">
        <v>114959</v>
      </c>
      <c r="O1376" s="43">
        <v>38907190.080000013</v>
      </c>
      <c r="P1376" s="14">
        <f t="shared" si="65"/>
        <v>319267.82448001206</v>
      </c>
      <c r="Q1376" s="14" t="str">
        <f t="shared" si="63"/>
        <v/>
      </c>
      <c r="R1376" s="14" t="str">
        <f t="shared" si="63"/>
        <v/>
      </c>
      <c r="S1376" s="14" t="str">
        <f t="shared" si="64"/>
        <v/>
      </c>
      <c r="T1376" s="14" t="s">
        <v>72</v>
      </c>
      <c r="U1376" s="14">
        <v>0</v>
      </c>
      <c r="V1376">
        <v>7575</v>
      </c>
      <c r="W1376">
        <v>26.340356445312501</v>
      </c>
      <c r="X1376">
        <v>13.303475877838499</v>
      </c>
      <c r="Y1376">
        <v>2.9747707159091399</v>
      </c>
      <c r="Z1376" s="31">
        <v>1.6831065833063401</v>
      </c>
      <c r="AA1376">
        <v>9.0699025922395204</v>
      </c>
      <c r="AB1376">
        <v>0.12</v>
      </c>
      <c r="AC1376">
        <v>291878.26061998401</v>
      </c>
      <c r="AD1376">
        <v>333996.29362744768</v>
      </c>
      <c r="AE1376">
        <v>1</v>
      </c>
      <c r="AF1376">
        <v>244.55920230317039</v>
      </c>
      <c r="AG1376">
        <v>144127.10839921809</v>
      </c>
    </row>
    <row r="1377" spans="2:33" hidden="1" x14ac:dyDescent="0.25">
      <c r="B1377">
        <v>23</v>
      </c>
      <c r="C1377" t="s">
        <v>54</v>
      </c>
      <c r="D1377" t="s">
        <v>41</v>
      </c>
      <c r="E1377" t="s">
        <v>67</v>
      </c>
      <c r="F1377">
        <v>139006</v>
      </c>
      <c r="G1377">
        <v>139006</v>
      </c>
      <c r="H1377">
        <v>45</v>
      </c>
      <c r="I1377" s="12">
        <v>0</v>
      </c>
      <c r="J1377">
        <v>0</v>
      </c>
      <c r="K1377">
        <v>134738</v>
      </c>
      <c r="L1377">
        <v>212558</v>
      </c>
      <c r="M1377">
        <v>24784</v>
      </c>
      <c r="N1377">
        <v>114959</v>
      </c>
      <c r="O1377" s="43">
        <v>38907190.080000013</v>
      </c>
      <c r="P1377" s="14">
        <f t="shared" si="65"/>
        <v>0</v>
      </c>
      <c r="Q1377" s="14" t="str">
        <f t="shared" si="63"/>
        <v/>
      </c>
      <c r="R1377" s="14" t="str">
        <f t="shared" si="63"/>
        <v/>
      </c>
      <c r="S1377" s="14" t="str">
        <f t="shared" si="64"/>
        <v/>
      </c>
      <c r="T1377" s="14" t="s">
        <v>72</v>
      </c>
      <c r="U1377" s="14">
        <v>0</v>
      </c>
      <c r="V1377">
        <v>7575</v>
      </c>
      <c r="W1377">
        <v>26.340356445312501</v>
      </c>
      <c r="X1377">
        <v>13.303475877838499</v>
      </c>
      <c r="Y1377">
        <v>2.9747707159091399</v>
      </c>
      <c r="Z1377" s="31">
        <v>1.6831065833063401</v>
      </c>
      <c r="AA1377">
        <v>9.0699025922395204</v>
      </c>
      <c r="AB1377">
        <v>0.12</v>
      </c>
      <c r="AC1377">
        <v>291878.26061998401</v>
      </c>
      <c r="AD1377">
        <v>333996.29362744768</v>
      </c>
      <c r="AE1377">
        <v>1</v>
      </c>
      <c r="AF1377">
        <v>244.55920230317039</v>
      </c>
      <c r="AG1377">
        <v>144127.10839921809</v>
      </c>
    </row>
    <row r="1378" spans="2:33" hidden="1" x14ac:dyDescent="0.25">
      <c r="B1378">
        <v>23</v>
      </c>
      <c r="C1378" t="s">
        <v>54</v>
      </c>
      <c r="D1378" t="s">
        <v>41</v>
      </c>
      <c r="E1378" t="s">
        <v>67</v>
      </c>
      <c r="F1378">
        <v>139006</v>
      </c>
      <c r="G1378">
        <v>139006</v>
      </c>
      <c r="H1378">
        <v>46</v>
      </c>
      <c r="I1378" s="12">
        <v>0</v>
      </c>
      <c r="J1378">
        <v>0</v>
      </c>
      <c r="K1378">
        <v>134738</v>
      </c>
      <c r="L1378">
        <v>212558</v>
      </c>
      <c r="M1378">
        <v>24784</v>
      </c>
      <c r="N1378">
        <v>114959</v>
      </c>
      <c r="O1378" s="43">
        <v>38907190.080000013</v>
      </c>
      <c r="P1378" s="14">
        <f t="shared" si="65"/>
        <v>0</v>
      </c>
      <c r="Q1378" s="14" t="str">
        <f t="shared" si="63"/>
        <v/>
      </c>
      <c r="R1378" s="14" t="str">
        <f t="shared" si="63"/>
        <v/>
      </c>
      <c r="S1378" s="14" t="str">
        <f t="shared" si="64"/>
        <v/>
      </c>
      <c r="T1378" s="14" t="s">
        <v>72</v>
      </c>
      <c r="U1378" s="14">
        <v>0</v>
      </c>
      <c r="V1378">
        <v>7575</v>
      </c>
      <c r="W1378">
        <v>26.340356445312501</v>
      </c>
      <c r="X1378">
        <v>13.303475877838499</v>
      </c>
      <c r="Y1378">
        <v>2.9747707159091399</v>
      </c>
      <c r="Z1378" s="31">
        <v>1.6831065833063401</v>
      </c>
      <c r="AA1378">
        <v>9.0699025922395204</v>
      </c>
      <c r="AB1378">
        <v>0.12</v>
      </c>
      <c r="AC1378">
        <v>291878.26061998401</v>
      </c>
      <c r="AD1378">
        <v>333996.29362744768</v>
      </c>
      <c r="AE1378">
        <v>1</v>
      </c>
      <c r="AF1378">
        <v>244.55920230317039</v>
      </c>
      <c r="AG1378">
        <v>144127.10839921809</v>
      </c>
    </row>
    <row r="1379" spans="2:33" hidden="1" x14ac:dyDescent="0.25">
      <c r="B1379">
        <v>23</v>
      </c>
      <c r="C1379" t="s">
        <v>54</v>
      </c>
      <c r="D1379" t="s">
        <v>41</v>
      </c>
      <c r="E1379" t="s">
        <v>67</v>
      </c>
      <c r="F1379">
        <v>139006</v>
      </c>
      <c r="G1379">
        <v>139006</v>
      </c>
      <c r="H1379">
        <v>47</v>
      </c>
      <c r="I1379" s="12">
        <v>0</v>
      </c>
      <c r="J1379">
        <v>0</v>
      </c>
      <c r="K1379">
        <v>134738</v>
      </c>
      <c r="L1379">
        <v>212558</v>
      </c>
      <c r="M1379">
        <v>24784</v>
      </c>
      <c r="N1379">
        <v>114959</v>
      </c>
      <c r="O1379" s="43">
        <v>40051519.200000003</v>
      </c>
      <c r="P1379" s="14">
        <f t="shared" si="65"/>
        <v>1144329.1199999899</v>
      </c>
      <c r="Q1379" s="14" t="str">
        <f t="shared" si="63"/>
        <v/>
      </c>
      <c r="R1379" s="14" t="str">
        <f t="shared" si="63"/>
        <v/>
      </c>
      <c r="S1379" s="14" t="str">
        <f t="shared" si="64"/>
        <v/>
      </c>
      <c r="T1379" s="14" t="s">
        <v>72</v>
      </c>
      <c r="U1379" s="14">
        <v>0</v>
      </c>
      <c r="V1379">
        <v>7575</v>
      </c>
      <c r="W1379">
        <v>26.340356445312501</v>
      </c>
      <c r="X1379">
        <v>13.303475877838499</v>
      </c>
      <c r="Y1379">
        <v>2.9747707159091399</v>
      </c>
      <c r="Z1379" s="31">
        <v>1.6831065833063401</v>
      </c>
      <c r="AA1379">
        <v>9.0699025922395204</v>
      </c>
      <c r="AB1379">
        <v>0.12</v>
      </c>
      <c r="AC1379">
        <v>291878.26061998401</v>
      </c>
      <c r="AD1379">
        <v>333996.29362744768</v>
      </c>
      <c r="AE1379">
        <v>1</v>
      </c>
      <c r="AF1379">
        <v>244.55920230317039</v>
      </c>
      <c r="AG1379">
        <v>144127.10839921809</v>
      </c>
    </row>
    <row r="1380" spans="2:33" hidden="1" x14ac:dyDescent="0.25">
      <c r="B1380">
        <v>23</v>
      </c>
      <c r="C1380" t="s">
        <v>54</v>
      </c>
      <c r="D1380" t="s">
        <v>41</v>
      </c>
      <c r="E1380" t="s">
        <v>67</v>
      </c>
      <c r="F1380">
        <v>139006</v>
      </c>
      <c r="G1380">
        <v>139006</v>
      </c>
      <c r="H1380">
        <v>48</v>
      </c>
      <c r="I1380" s="12">
        <v>0</v>
      </c>
      <c r="J1380">
        <v>0</v>
      </c>
      <c r="K1380">
        <v>134738</v>
      </c>
      <c r="L1380">
        <v>212558</v>
      </c>
      <c r="M1380">
        <v>24784</v>
      </c>
      <c r="N1380">
        <v>114959</v>
      </c>
      <c r="O1380" s="43">
        <v>40051519.200000003</v>
      </c>
      <c r="P1380" s="14">
        <f t="shared" si="65"/>
        <v>0</v>
      </c>
      <c r="Q1380" s="14" t="str">
        <f t="shared" si="63"/>
        <v/>
      </c>
      <c r="R1380" s="14" t="str">
        <f t="shared" si="63"/>
        <v/>
      </c>
      <c r="S1380" s="14" t="str">
        <f t="shared" si="64"/>
        <v/>
      </c>
      <c r="T1380" s="14" t="s">
        <v>72</v>
      </c>
      <c r="U1380" s="14">
        <v>0</v>
      </c>
      <c r="V1380">
        <v>7575</v>
      </c>
      <c r="W1380">
        <v>26.340356445312501</v>
      </c>
      <c r="X1380">
        <v>13.303475877838499</v>
      </c>
      <c r="Y1380">
        <v>2.9747707159091399</v>
      </c>
      <c r="Z1380" s="31">
        <v>1.6831065833063401</v>
      </c>
      <c r="AA1380">
        <v>9.0699025922395204</v>
      </c>
      <c r="AB1380">
        <v>0.12</v>
      </c>
      <c r="AC1380">
        <v>291878.26061998401</v>
      </c>
      <c r="AD1380">
        <v>333996.29362744768</v>
      </c>
      <c r="AE1380">
        <v>1</v>
      </c>
      <c r="AF1380">
        <v>244.55920230317039</v>
      </c>
      <c r="AG1380">
        <v>144127.10839921809</v>
      </c>
    </row>
    <row r="1381" spans="2:33" hidden="1" x14ac:dyDescent="0.25">
      <c r="B1381">
        <v>23</v>
      </c>
      <c r="C1381" t="s">
        <v>54</v>
      </c>
      <c r="D1381" t="s">
        <v>41</v>
      </c>
      <c r="E1381" t="s">
        <v>67</v>
      </c>
      <c r="F1381">
        <v>139006</v>
      </c>
      <c r="G1381">
        <v>139006</v>
      </c>
      <c r="H1381">
        <v>49</v>
      </c>
      <c r="I1381" s="12">
        <v>0</v>
      </c>
      <c r="J1381">
        <v>0</v>
      </c>
      <c r="K1381">
        <v>134738</v>
      </c>
      <c r="L1381">
        <v>212558</v>
      </c>
      <c r="M1381">
        <v>24784</v>
      </c>
      <c r="N1381">
        <v>114959</v>
      </c>
      <c r="O1381" s="43">
        <v>40051519.200000003</v>
      </c>
      <c r="P1381" s="14">
        <f t="shared" si="65"/>
        <v>0</v>
      </c>
      <c r="Q1381" s="14" t="str">
        <f t="shared" si="63"/>
        <v/>
      </c>
      <c r="R1381" s="14" t="str">
        <f t="shared" si="63"/>
        <v/>
      </c>
      <c r="S1381" s="14" t="str">
        <f t="shared" si="64"/>
        <v/>
      </c>
      <c r="T1381" s="14" t="s">
        <v>72</v>
      </c>
      <c r="U1381" s="14">
        <v>0</v>
      </c>
      <c r="V1381">
        <v>7575</v>
      </c>
      <c r="W1381">
        <v>26.340356445312501</v>
      </c>
      <c r="X1381">
        <v>13.303475877838499</v>
      </c>
      <c r="Y1381">
        <v>2.9747707159091399</v>
      </c>
      <c r="Z1381" s="31">
        <v>1.6831065833063401</v>
      </c>
      <c r="AA1381">
        <v>9.0699025922395204</v>
      </c>
      <c r="AB1381">
        <v>0.12</v>
      </c>
      <c r="AC1381">
        <v>291878.26061998401</v>
      </c>
      <c r="AD1381">
        <v>333996.29362744768</v>
      </c>
      <c r="AE1381">
        <v>1</v>
      </c>
      <c r="AF1381">
        <v>244.55920230317039</v>
      </c>
      <c r="AG1381">
        <v>144127.10839921809</v>
      </c>
    </row>
    <row r="1382" spans="2:33" hidden="1" x14ac:dyDescent="0.25">
      <c r="B1382">
        <v>23</v>
      </c>
      <c r="C1382" t="s">
        <v>54</v>
      </c>
      <c r="D1382" t="s">
        <v>41</v>
      </c>
      <c r="E1382" t="s">
        <v>67</v>
      </c>
      <c r="F1382">
        <v>139006</v>
      </c>
      <c r="G1382">
        <v>139006</v>
      </c>
      <c r="H1382">
        <v>50</v>
      </c>
      <c r="I1382" s="12">
        <v>0</v>
      </c>
      <c r="J1382">
        <v>0</v>
      </c>
      <c r="K1382">
        <v>134738</v>
      </c>
      <c r="L1382">
        <v>212558</v>
      </c>
      <c r="M1382">
        <v>24784</v>
      </c>
      <c r="N1382">
        <v>114959</v>
      </c>
      <c r="O1382" s="43">
        <v>40051519.200000003</v>
      </c>
      <c r="P1382" s="14">
        <f t="shared" si="65"/>
        <v>0</v>
      </c>
      <c r="Q1382" s="14" t="str">
        <f t="shared" si="63"/>
        <v/>
      </c>
      <c r="R1382" s="14" t="str">
        <f t="shared" si="63"/>
        <v/>
      </c>
      <c r="S1382" s="14" t="str">
        <f t="shared" si="64"/>
        <v/>
      </c>
      <c r="T1382" s="14" t="s">
        <v>72</v>
      </c>
      <c r="U1382" s="14">
        <v>0</v>
      </c>
      <c r="V1382">
        <v>7575</v>
      </c>
      <c r="W1382">
        <v>26.340356445312501</v>
      </c>
      <c r="X1382">
        <v>13.303475877838499</v>
      </c>
      <c r="Y1382">
        <v>2.9747707159091399</v>
      </c>
      <c r="Z1382" s="31">
        <v>1.6831065833063401</v>
      </c>
      <c r="AA1382">
        <v>9.0699025922395204</v>
      </c>
      <c r="AB1382">
        <v>0.12</v>
      </c>
      <c r="AC1382">
        <v>291878.26061998401</v>
      </c>
      <c r="AD1382">
        <v>333996.29362744768</v>
      </c>
      <c r="AE1382">
        <v>1</v>
      </c>
      <c r="AF1382">
        <v>244.55920230317039</v>
      </c>
      <c r="AG1382">
        <v>144127.10839921809</v>
      </c>
    </row>
    <row r="1383" spans="2:33" hidden="1" x14ac:dyDescent="0.25">
      <c r="B1383">
        <v>23</v>
      </c>
      <c r="C1383" t="s">
        <v>54</v>
      </c>
      <c r="D1383" t="s">
        <v>41</v>
      </c>
      <c r="E1383" t="s">
        <v>67</v>
      </c>
      <c r="F1383">
        <v>139006</v>
      </c>
      <c r="G1383">
        <v>139006</v>
      </c>
      <c r="H1383">
        <v>51</v>
      </c>
      <c r="I1383" s="12">
        <v>0</v>
      </c>
      <c r="J1383">
        <v>0</v>
      </c>
      <c r="K1383">
        <v>134738</v>
      </c>
      <c r="L1383">
        <v>212558</v>
      </c>
      <c r="M1383">
        <v>24784</v>
      </c>
      <c r="N1383">
        <v>114959</v>
      </c>
      <c r="O1383" s="43">
        <v>40051519.200000003</v>
      </c>
      <c r="P1383" s="14">
        <f t="shared" si="65"/>
        <v>0</v>
      </c>
      <c r="Q1383" s="14" t="str">
        <f t="shared" si="63"/>
        <v/>
      </c>
      <c r="R1383" s="14" t="str">
        <f t="shared" si="63"/>
        <v/>
      </c>
      <c r="S1383" s="14" t="str">
        <f t="shared" si="64"/>
        <v/>
      </c>
      <c r="T1383" s="14" t="s">
        <v>72</v>
      </c>
      <c r="U1383" s="14">
        <v>0</v>
      </c>
      <c r="V1383">
        <v>7575</v>
      </c>
      <c r="W1383">
        <v>26.340356445312501</v>
      </c>
      <c r="X1383">
        <v>13.303475877838499</v>
      </c>
      <c r="Y1383">
        <v>2.9747707159091399</v>
      </c>
      <c r="Z1383" s="31">
        <v>1.6831065833063401</v>
      </c>
      <c r="AA1383">
        <v>9.0699025922395204</v>
      </c>
      <c r="AB1383">
        <v>0.12</v>
      </c>
      <c r="AC1383">
        <v>291878.26061998401</v>
      </c>
      <c r="AD1383">
        <v>333996.29362744768</v>
      </c>
      <c r="AE1383">
        <v>1</v>
      </c>
      <c r="AF1383">
        <v>244.55920230317039</v>
      </c>
      <c r="AG1383">
        <v>144127.10839921809</v>
      </c>
    </row>
    <row r="1384" spans="2:33" hidden="1" x14ac:dyDescent="0.25">
      <c r="B1384">
        <v>23</v>
      </c>
      <c r="C1384" t="s">
        <v>54</v>
      </c>
      <c r="D1384" t="s">
        <v>41</v>
      </c>
      <c r="E1384" t="s">
        <v>67</v>
      </c>
      <c r="F1384">
        <v>139006</v>
      </c>
      <c r="G1384">
        <v>139006</v>
      </c>
      <c r="H1384">
        <v>52</v>
      </c>
      <c r="I1384" s="12">
        <v>0</v>
      </c>
      <c r="J1384">
        <v>0</v>
      </c>
      <c r="K1384">
        <v>134738</v>
      </c>
      <c r="L1384">
        <v>212558</v>
      </c>
      <c r="M1384">
        <v>24784</v>
      </c>
      <c r="N1384">
        <v>114959</v>
      </c>
      <c r="O1384" s="43">
        <v>40051519.200000003</v>
      </c>
      <c r="P1384" s="14">
        <f t="shared" si="65"/>
        <v>0</v>
      </c>
      <c r="Q1384" s="14" t="str">
        <f t="shared" si="63"/>
        <v/>
      </c>
      <c r="R1384" s="14" t="str">
        <f t="shared" si="63"/>
        <v/>
      </c>
      <c r="S1384" s="14" t="str">
        <f t="shared" si="64"/>
        <v/>
      </c>
      <c r="T1384" s="14" t="s">
        <v>72</v>
      </c>
      <c r="U1384" s="14">
        <v>0</v>
      </c>
      <c r="V1384">
        <v>7575</v>
      </c>
      <c r="W1384">
        <v>26.340356445312501</v>
      </c>
      <c r="X1384">
        <v>13.303475877838499</v>
      </c>
      <c r="Y1384">
        <v>2.9747707159091399</v>
      </c>
      <c r="Z1384" s="31">
        <v>1.6831065833063401</v>
      </c>
      <c r="AA1384">
        <v>9.0699025922395204</v>
      </c>
      <c r="AB1384">
        <v>0.12</v>
      </c>
      <c r="AC1384">
        <v>291878.26061998401</v>
      </c>
      <c r="AD1384">
        <v>333996.29362744768</v>
      </c>
      <c r="AE1384">
        <v>1</v>
      </c>
      <c r="AF1384">
        <v>244.55920230317039</v>
      </c>
      <c r="AG1384">
        <v>144127.10839921809</v>
      </c>
    </row>
    <row r="1385" spans="2:33" hidden="1" x14ac:dyDescent="0.25">
      <c r="B1385">
        <v>23</v>
      </c>
      <c r="C1385" t="s">
        <v>54</v>
      </c>
      <c r="D1385" t="s">
        <v>41</v>
      </c>
      <c r="E1385" t="s">
        <v>67</v>
      </c>
      <c r="F1385">
        <v>139006</v>
      </c>
      <c r="G1385">
        <v>139006</v>
      </c>
      <c r="H1385">
        <v>53</v>
      </c>
      <c r="I1385" s="12">
        <v>0</v>
      </c>
      <c r="J1385">
        <v>0</v>
      </c>
      <c r="K1385">
        <v>134738</v>
      </c>
      <c r="L1385">
        <v>212558</v>
      </c>
      <c r="M1385">
        <v>24784</v>
      </c>
      <c r="N1385">
        <v>114959</v>
      </c>
      <c r="O1385" s="43">
        <v>40051519.200000003</v>
      </c>
      <c r="P1385" s="14">
        <f t="shared" si="65"/>
        <v>0</v>
      </c>
      <c r="Q1385" s="14" t="str">
        <f t="shared" si="63"/>
        <v/>
      </c>
      <c r="R1385" s="14" t="str">
        <f t="shared" si="63"/>
        <v/>
      </c>
      <c r="S1385" s="14" t="str">
        <f t="shared" si="64"/>
        <v/>
      </c>
      <c r="T1385" s="14" t="s">
        <v>72</v>
      </c>
      <c r="U1385" s="14">
        <v>0</v>
      </c>
      <c r="V1385">
        <v>7575</v>
      </c>
      <c r="W1385">
        <v>26.340356445312501</v>
      </c>
      <c r="X1385">
        <v>13.303475877838499</v>
      </c>
      <c r="Y1385">
        <v>2.9747707159091399</v>
      </c>
      <c r="Z1385" s="31">
        <v>1.6831065833063401</v>
      </c>
      <c r="AA1385">
        <v>9.0699025922395204</v>
      </c>
      <c r="AB1385">
        <v>0.12</v>
      </c>
      <c r="AC1385">
        <v>291878.26061998401</v>
      </c>
      <c r="AD1385">
        <v>333996.29362744768</v>
      </c>
      <c r="AE1385">
        <v>1</v>
      </c>
      <c r="AF1385">
        <v>244.55920230317039</v>
      </c>
      <c r="AG1385">
        <v>144127.10839921809</v>
      </c>
    </row>
    <row r="1386" spans="2:33" hidden="1" x14ac:dyDescent="0.25">
      <c r="B1386">
        <v>23</v>
      </c>
      <c r="C1386" t="s">
        <v>54</v>
      </c>
      <c r="D1386" t="s">
        <v>41</v>
      </c>
      <c r="E1386" t="s">
        <v>67</v>
      </c>
      <c r="F1386">
        <v>139006</v>
      </c>
      <c r="G1386">
        <v>139006</v>
      </c>
      <c r="H1386">
        <v>54</v>
      </c>
      <c r="I1386" s="12">
        <v>0</v>
      </c>
      <c r="J1386">
        <v>0</v>
      </c>
      <c r="K1386">
        <v>134738</v>
      </c>
      <c r="L1386">
        <v>212558</v>
      </c>
      <c r="M1386">
        <v>24784</v>
      </c>
      <c r="N1386">
        <v>114959</v>
      </c>
      <c r="O1386" s="43">
        <v>40051519.200000003</v>
      </c>
      <c r="P1386" s="14">
        <f t="shared" si="65"/>
        <v>0</v>
      </c>
      <c r="Q1386" s="14" t="str">
        <f t="shared" si="63"/>
        <v/>
      </c>
      <c r="R1386" s="14" t="str">
        <f t="shared" si="63"/>
        <v/>
      </c>
      <c r="S1386" s="14" t="str">
        <f t="shared" si="64"/>
        <v/>
      </c>
      <c r="T1386" s="14" t="s">
        <v>72</v>
      </c>
      <c r="U1386" s="14">
        <v>0</v>
      </c>
      <c r="V1386">
        <v>7575</v>
      </c>
      <c r="W1386">
        <v>26.340356445312501</v>
      </c>
      <c r="X1386">
        <v>13.303475877838499</v>
      </c>
      <c r="Y1386">
        <v>2.9747707159091399</v>
      </c>
      <c r="Z1386" s="31">
        <v>1.6831065833063401</v>
      </c>
      <c r="AA1386">
        <v>9.0699025922395204</v>
      </c>
      <c r="AB1386">
        <v>0.12</v>
      </c>
      <c r="AC1386">
        <v>291878.26061998401</v>
      </c>
      <c r="AD1386">
        <v>333996.29362744768</v>
      </c>
      <c r="AE1386">
        <v>1</v>
      </c>
      <c r="AF1386">
        <v>244.55920230317039</v>
      </c>
      <c r="AG1386">
        <v>144127.10839921809</v>
      </c>
    </row>
    <row r="1387" spans="2:33" hidden="1" x14ac:dyDescent="0.25">
      <c r="B1387">
        <v>24</v>
      </c>
      <c r="C1387" t="s">
        <v>55</v>
      </c>
      <c r="D1387" t="s">
        <v>56</v>
      </c>
      <c r="E1387" t="s">
        <v>68</v>
      </c>
      <c r="F1387">
        <v>29125</v>
      </c>
      <c r="G1387">
        <v>171130</v>
      </c>
      <c r="H1387">
        <v>1</v>
      </c>
      <c r="I1387" s="12">
        <v>0</v>
      </c>
      <c r="J1387">
        <v>2.3826915210658561</v>
      </c>
      <c r="K1387">
        <v>0</v>
      </c>
      <c r="L1387">
        <v>172160</v>
      </c>
      <c r="M1387">
        <v>453</v>
      </c>
      <c r="N1387">
        <v>179561</v>
      </c>
      <c r="O1387" s="43">
        <v>84807</v>
      </c>
      <c r="P1387" s="14">
        <v>0</v>
      </c>
      <c r="Q1387" s="14" t="str">
        <f t="shared" si="63"/>
        <v/>
      </c>
      <c r="R1387" s="14" t="str">
        <f t="shared" si="63"/>
        <v/>
      </c>
      <c r="S1387" s="14" t="str">
        <f t="shared" si="64"/>
        <v/>
      </c>
      <c r="T1387" s="14" t="s">
        <v>72</v>
      </c>
      <c r="U1387" s="14">
        <v>0</v>
      </c>
      <c r="V1387">
        <v>3274</v>
      </c>
      <c r="W1387">
        <v>32.424005126953098</v>
      </c>
      <c r="X1387">
        <v>16.9514229583455</v>
      </c>
      <c r="Y1387">
        <v>4.0446820442212301</v>
      </c>
      <c r="Z1387" s="31">
        <v>4.7386782020020402</v>
      </c>
      <c r="AA1387">
        <v>8.5208833484908197</v>
      </c>
      <c r="AB1387">
        <v>0.06</v>
      </c>
      <c r="AC1387">
        <v>161215.857763779</v>
      </c>
      <c r="AD1387">
        <v>182302.89195928129</v>
      </c>
      <c r="AE1387">
        <v>1</v>
      </c>
      <c r="AF1387">
        <v>4863.5617523708434</v>
      </c>
      <c r="AG1387">
        <v>6293.3231824435734</v>
      </c>
    </row>
    <row r="1388" spans="2:33" hidden="1" x14ac:dyDescent="0.25">
      <c r="B1388">
        <v>24</v>
      </c>
      <c r="C1388" t="s">
        <v>55</v>
      </c>
      <c r="D1388" t="s">
        <v>56</v>
      </c>
      <c r="E1388" t="s">
        <v>68</v>
      </c>
      <c r="F1388">
        <v>42181</v>
      </c>
      <c r="G1388">
        <v>171130</v>
      </c>
      <c r="H1388">
        <v>2</v>
      </c>
      <c r="I1388" s="12">
        <v>0</v>
      </c>
      <c r="J1388">
        <v>1.068100274645007</v>
      </c>
      <c r="K1388">
        <v>0</v>
      </c>
      <c r="L1388">
        <v>172160</v>
      </c>
      <c r="M1388">
        <v>453</v>
      </c>
      <c r="N1388">
        <v>179561</v>
      </c>
      <c r="O1388" s="43">
        <v>84807</v>
      </c>
      <c r="P1388" s="14">
        <f t="shared" si="65"/>
        <v>0</v>
      </c>
      <c r="Q1388" s="14" t="str">
        <f t="shared" si="63"/>
        <v/>
      </c>
      <c r="R1388" s="14" t="str">
        <f t="shared" si="63"/>
        <v/>
      </c>
      <c r="S1388" s="14" t="str">
        <f t="shared" si="64"/>
        <v/>
      </c>
      <c r="T1388" s="14" t="s">
        <v>72</v>
      </c>
      <c r="U1388" s="14">
        <v>0</v>
      </c>
      <c r="V1388">
        <v>3274</v>
      </c>
      <c r="W1388">
        <v>36.241052246093702</v>
      </c>
      <c r="X1388">
        <v>9.4178100545526693</v>
      </c>
      <c r="Y1388">
        <v>5.4535912194159897</v>
      </c>
      <c r="Z1388" s="31">
        <v>4.0112398985927804</v>
      </c>
      <c r="AA1388">
        <v>6.8076968085451499</v>
      </c>
      <c r="AB1388">
        <v>0.06</v>
      </c>
      <c r="AC1388">
        <v>161215.857763779</v>
      </c>
      <c r="AD1388">
        <v>182302.89195928129</v>
      </c>
      <c r="AE1388">
        <v>1</v>
      </c>
      <c r="AF1388">
        <v>4863.5617523708434</v>
      </c>
      <c r="AG1388">
        <v>6293.3231824435734</v>
      </c>
    </row>
    <row r="1389" spans="2:33" hidden="1" x14ac:dyDescent="0.25">
      <c r="B1389">
        <v>24</v>
      </c>
      <c r="C1389" t="s">
        <v>55</v>
      </c>
      <c r="D1389" t="s">
        <v>56</v>
      </c>
      <c r="E1389" t="s">
        <v>68</v>
      </c>
      <c r="F1389">
        <v>149453</v>
      </c>
      <c r="G1389">
        <v>171130</v>
      </c>
      <c r="H1389">
        <v>3</v>
      </c>
      <c r="I1389" s="12">
        <v>0</v>
      </c>
      <c r="J1389">
        <v>8.7758312394086371</v>
      </c>
      <c r="K1389">
        <v>0</v>
      </c>
      <c r="L1389">
        <v>172160</v>
      </c>
      <c r="M1389">
        <v>453</v>
      </c>
      <c r="N1389">
        <v>179561</v>
      </c>
      <c r="O1389" s="43">
        <v>537111</v>
      </c>
      <c r="P1389" s="14">
        <f t="shared" si="65"/>
        <v>452304</v>
      </c>
      <c r="Q1389" s="14" t="str">
        <f t="shared" si="63"/>
        <v/>
      </c>
      <c r="R1389" s="14" t="str">
        <f t="shared" si="63"/>
        <v/>
      </c>
      <c r="S1389" s="14" t="str">
        <f t="shared" si="64"/>
        <v/>
      </c>
      <c r="T1389" s="14" t="s">
        <v>72</v>
      </c>
      <c r="U1389" s="14">
        <v>0</v>
      </c>
      <c r="V1389">
        <v>3274</v>
      </c>
      <c r="W1389">
        <v>25.347741699218801</v>
      </c>
      <c r="X1389">
        <v>19.927565672299</v>
      </c>
      <c r="Y1389">
        <v>2.59069640311301</v>
      </c>
      <c r="Z1389" s="31">
        <v>4.9260773366040196</v>
      </c>
      <c r="AA1389">
        <v>9.0761595641377504</v>
      </c>
      <c r="AB1389">
        <v>0.06</v>
      </c>
      <c r="AC1389">
        <v>161215.857763779</v>
      </c>
      <c r="AD1389">
        <v>182302.89195928129</v>
      </c>
      <c r="AE1389">
        <v>1</v>
      </c>
      <c r="AF1389">
        <v>4863.5617523708434</v>
      </c>
      <c r="AG1389">
        <v>6293.3231824435734</v>
      </c>
    </row>
    <row r="1390" spans="2:33" hidden="1" x14ac:dyDescent="0.25">
      <c r="B1390">
        <v>24</v>
      </c>
      <c r="C1390" t="s">
        <v>55</v>
      </c>
      <c r="D1390" t="s">
        <v>56</v>
      </c>
      <c r="E1390" t="s">
        <v>68</v>
      </c>
      <c r="F1390">
        <v>165348</v>
      </c>
      <c r="G1390">
        <v>171130</v>
      </c>
      <c r="H1390">
        <v>4</v>
      </c>
      <c r="I1390">
        <v>29125</v>
      </c>
      <c r="J1390">
        <v>1.300356454157658</v>
      </c>
      <c r="K1390">
        <v>0</v>
      </c>
      <c r="L1390">
        <v>172160</v>
      </c>
      <c r="M1390">
        <v>453</v>
      </c>
      <c r="N1390">
        <v>179561</v>
      </c>
      <c r="O1390" s="43">
        <v>989415</v>
      </c>
      <c r="P1390" s="14">
        <f t="shared" si="65"/>
        <v>452304</v>
      </c>
      <c r="Q1390" s="14" t="str">
        <f t="shared" si="63"/>
        <v/>
      </c>
      <c r="R1390" s="14" t="str">
        <f t="shared" si="63"/>
        <v/>
      </c>
      <c r="S1390" s="14" t="str">
        <f t="shared" si="64"/>
        <v/>
      </c>
      <c r="T1390" s="14" t="s">
        <v>72</v>
      </c>
      <c r="U1390" s="14">
        <v>15.529751072961373</v>
      </c>
      <c r="V1390">
        <v>3274</v>
      </c>
      <c r="W1390">
        <v>29.535150146484401</v>
      </c>
      <c r="X1390">
        <v>20.964232046597498</v>
      </c>
      <c r="Y1390">
        <v>3.2656686055066402</v>
      </c>
      <c r="Z1390">
        <v>7.5560351659720499</v>
      </c>
      <c r="AA1390">
        <v>14.2977784005323</v>
      </c>
      <c r="AB1390">
        <v>0.06</v>
      </c>
      <c r="AC1390">
        <v>161215.857763779</v>
      </c>
      <c r="AD1390">
        <v>182302.89195928129</v>
      </c>
      <c r="AE1390">
        <v>1</v>
      </c>
      <c r="AF1390">
        <v>4863.5617523708434</v>
      </c>
      <c r="AG1390">
        <v>6293.3231824435734</v>
      </c>
    </row>
    <row r="1391" spans="2:33" hidden="1" x14ac:dyDescent="0.25">
      <c r="B1391">
        <v>24</v>
      </c>
      <c r="C1391" t="s">
        <v>55</v>
      </c>
      <c r="D1391" t="s">
        <v>56</v>
      </c>
      <c r="E1391" t="s">
        <v>68</v>
      </c>
      <c r="F1391">
        <v>170225</v>
      </c>
      <c r="G1391">
        <v>171130</v>
      </c>
      <c r="H1391">
        <v>5</v>
      </c>
      <c r="I1391">
        <v>13056</v>
      </c>
      <c r="J1391">
        <v>0.3989832291240577</v>
      </c>
      <c r="K1391">
        <v>0</v>
      </c>
      <c r="L1391">
        <v>172160</v>
      </c>
      <c r="M1391">
        <v>453</v>
      </c>
      <c r="N1391">
        <v>179561</v>
      </c>
      <c r="O1391" s="43">
        <v>989415</v>
      </c>
      <c r="P1391" s="14">
        <f t="shared" si="65"/>
        <v>0</v>
      </c>
      <c r="Q1391" s="14" t="str">
        <f t="shared" si="63"/>
        <v/>
      </c>
      <c r="R1391" s="14" t="str">
        <f t="shared" si="63"/>
        <v/>
      </c>
      <c r="S1391" s="14" t="str">
        <f t="shared" si="64"/>
        <v/>
      </c>
      <c r="T1391" s="14" t="s">
        <v>72</v>
      </c>
      <c r="U1391" s="14">
        <v>0</v>
      </c>
      <c r="V1391">
        <v>3274</v>
      </c>
      <c r="W1391">
        <v>33.550836181640598</v>
      </c>
      <c r="X1391">
        <v>18.5788902152369</v>
      </c>
      <c r="Y1391">
        <v>4.22371603989499</v>
      </c>
      <c r="Z1391">
        <v>6.0735705208404704</v>
      </c>
      <c r="AA1391">
        <v>10.1692327413823</v>
      </c>
      <c r="AB1391">
        <v>0.06</v>
      </c>
      <c r="AC1391">
        <v>161215.857763779</v>
      </c>
      <c r="AD1391">
        <v>182302.89195928129</v>
      </c>
      <c r="AE1391">
        <v>1</v>
      </c>
      <c r="AF1391">
        <v>4863.5617523708434</v>
      </c>
      <c r="AG1391">
        <v>6293.3231824435734</v>
      </c>
    </row>
    <row r="1392" spans="2:33" hidden="1" x14ac:dyDescent="0.25">
      <c r="B1392">
        <v>24</v>
      </c>
      <c r="C1392" t="s">
        <v>55</v>
      </c>
      <c r="D1392" t="s">
        <v>56</v>
      </c>
      <c r="E1392" t="s">
        <v>68</v>
      </c>
      <c r="F1392">
        <v>170760</v>
      </c>
      <c r="G1392">
        <v>171130</v>
      </c>
      <c r="H1392">
        <v>6</v>
      </c>
      <c r="I1392">
        <v>107272</v>
      </c>
      <c r="J1392">
        <v>4.3767895751767663E-2</v>
      </c>
      <c r="K1392">
        <v>0</v>
      </c>
      <c r="L1392">
        <v>172160</v>
      </c>
      <c r="M1392">
        <v>453</v>
      </c>
      <c r="N1392">
        <v>179561</v>
      </c>
      <c r="O1392" s="43">
        <v>4636116</v>
      </c>
      <c r="P1392" s="14">
        <f t="shared" si="65"/>
        <v>3646701</v>
      </c>
      <c r="Q1392" s="14" t="str">
        <f t="shared" si="63"/>
        <v/>
      </c>
      <c r="R1392" s="14" t="str">
        <f t="shared" si="63"/>
        <v/>
      </c>
      <c r="S1392" s="14" t="str">
        <f t="shared" si="64"/>
        <v/>
      </c>
      <c r="T1392" s="14" t="s">
        <v>72</v>
      </c>
      <c r="U1392" s="14">
        <v>33.994900812886868</v>
      </c>
      <c r="V1392">
        <v>3274</v>
      </c>
      <c r="W1392">
        <v>25.945520019531301</v>
      </c>
      <c r="X1392">
        <v>26.058285330885901</v>
      </c>
      <c r="Y1392">
        <v>2.4782953055008701</v>
      </c>
      <c r="Z1392">
        <v>3.4643310363881099</v>
      </c>
      <c r="AA1392">
        <v>10.6714150603269</v>
      </c>
      <c r="AB1392">
        <v>0.06</v>
      </c>
      <c r="AC1392">
        <v>161215.857763779</v>
      </c>
      <c r="AD1392">
        <v>182302.89195928129</v>
      </c>
      <c r="AE1392">
        <v>1</v>
      </c>
      <c r="AF1392">
        <v>4863.5617523708434</v>
      </c>
      <c r="AG1392">
        <v>6293.3231824435734</v>
      </c>
    </row>
    <row r="1393" spans="1:33" hidden="1" x14ac:dyDescent="0.25">
      <c r="B1393">
        <v>24</v>
      </c>
      <c r="C1393" t="s">
        <v>55</v>
      </c>
      <c r="D1393" t="s">
        <v>56</v>
      </c>
      <c r="E1393" t="s">
        <v>68</v>
      </c>
      <c r="F1393">
        <v>170770</v>
      </c>
      <c r="G1393">
        <v>171130</v>
      </c>
      <c r="H1393">
        <v>7</v>
      </c>
      <c r="I1393">
        <v>15895</v>
      </c>
      <c r="J1393">
        <v>8.1809150937883475E-4</v>
      </c>
      <c r="K1393">
        <v>0</v>
      </c>
      <c r="L1393">
        <v>172160</v>
      </c>
      <c r="M1393">
        <v>453</v>
      </c>
      <c r="N1393">
        <v>179561</v>
      </c>
      <c r="O1393" s="43">
        <v>5088420</v>
      </c>
      <c r="P1393" s="14">
        <f t="shared" si="65"/>
        <v>452304</v>
      </c>
      <c r="Q1393" s="14" t="str">
        <f t="shared" si="63"/>
        <v/>
      </c>
      <c r="R1393" s="14" t="str">
        <f t="shared" si="63"/>
        <v/>
      </c>
      <c r="S1393" s="14" t="str">
        <f t="shared" si="64"/>
        <v/>
      </c>
      <c r="T1393" s="14" t="s">
        <v>72</v>
      </c>
      <c r="U1393" s="14">
        <v>28.455740798993393</v>
      </c>
      <c r="V1393">
        <v>3274</v>
      </c>
      <c r="W1393">
        <v>30.512475585937501</v>
      </c>
      <c r="X1393">
        <v>19.148795035672698</v>
      </c>
      <c r="Y1393">
        <v>3.5331851668829701</v>
      </c>
      <c r="Z1393" s="31">
        <v>1.2955196149602699</v>
      </c>
      <c r="AA1393">
        <v>5.7140789155136602</v>
      </c>
      <c r="AB1393">
        <v>0.06</v>
      </c>
      <c r="AC1393">
        <v>161215.857763779</v>
      </c>
      <c r="AD1393">
        <v>182302.89195928129</v>
      </c>
      <c r="AE1393">
        <v>1</v>
      </c>
      <c r="AF1393">
        <v>4863.5617523708434</v>
      </c>
      <c r="AG1393">
        <v>6293.3231824435734</v>
      </c>
    </row>
    <row r="1394" spans="1:33" hidden="1" x14ac:dyDescent="0.25">
      <c r="B1394">
        <v>24</v>
      </c>
      <c r="C1394" t="s">
        <v>55</v>
      </c>
      <c r="D1394" t="s">
        <v>56</v>
      </c>
      <c r="E1394" t="s">
        <v>68</v>
      </c>
      <c r="F1394">
        <v>170848</v>
      </c>
      <c r="G1394">
        <v>171130</v>
      </c>
      <c r="H1394">
        <v>8</v>
      </c>
      <c r="I1394">
        <v>4877</v>
      </c>
      <c r="J1394">
        <v>6.3811137731549124E-3</v>
      </c>
      <c r="K1394">
        <v>0</v>
      </c>
      <c r="L1394">
        <v>172160</v>
      </c>
      <c r="M1394">
        <v>453</v>
      </c>
      <c r="N1394">
        <v>179561</v>
      </c>
      <c r="O1394" s="43">
        <v>5540724</v>
      </c>
      <c r="P1394" s="14">
        <f t="shared" si="65"/>
        <v>452304</v>
      </c>
      <c r="Q1394" s="14" t="str">
        <f t="shared" si="63"/>
        <v/>
      </c>
      <c r="R1394" s="14" t="str">
        <f t="shared" si="63"/>
        <v/>
      </c>
      <c r="S1394" s="14" t="str">
        <f t="shared" si="64"/>
        <v/>
      </c>
      <c r="T1394" s="14" t="s">
        <v>72</v>
      </c>
      <c r="U1394" s="14">
        <v>92.742259585810956</v>
      </c>
      <c r="V1394">
        <v>3274</v>
      </c>
      <c r="W1394">
        <v>35.050531005859398</v>
      </c>
      <c r="X1394">
        <v>11.810917258497</v>
      </c>
      <c r="Y1394">
        <v>4.9728515635842996</v>
      </c>
      <c r="Z1394" s="31">
        <v>1.30495330830027</v>
      </c>
      <c r="AA1394">
        <v>4.2648005922453498</v>
      </c>
      <c r="AB1394">
        <v>0.06</v>
      </c>
      <c r="AC1394">
        <v>161215.857763779</v>
      </c>
      <c r="AD1394">
        <v>182302.89195928129</v>
      </c>
      <c r="AE1394">
        <v>1</v>
      </c>
      <c r="AF1394">
        <v>4863.5617523708434</v>
      </c>
      <c r="AG1394">
        <v>6293.3231824435734</v>
      </c>
    </row>
    <row r="1395" spans="1:33" hidden="1" x14ac:dyDescent="0.25">
      <c r="B1395">
        <v>24</v>
      </c>
      <c r="C1395" t="s">
        <v>55</v>
      </c>
      <c r="D1395" t="s">
        <v>56</v>
      </c>
      <c r="E1395" t="s">
        <v>68</v>
      </c>
      <c r="F1395">
        <v>170848</v>
      </c>
      <c r="G1395">
        <v>171130</v>
      </c>
      <c r="H1395">
        <v>9</v>
      </c>
      <c r="I1395">
        <v>535</v>
      </c>
      <c r="J1395">
        <v>0</v>
      </c>
      <c r="K1395">
        <v>0</v>
      </c>
      <c r="L1395">
        <v>172160</v>
      </c>
      <c r="M1395">
        <v>453</v>
      </c>
      <c r="N1395">
        <v>179561</v>
      </c>
      <c r="O1395" s="43">
        <v>5879952</v>
      </c>
      <c r="P1395" s="14">
        <f t="shared" si="65"/>
        <v>339228</v>
      </c>
      <c r="Q1395" s="14" t="str">
        <f t="shared" si="63"/>
        <v/>
      </c>
      <c r="R1395" s="14" t="str">
        <f t="shared" si="63"/>
        <v/>
      </c>
      <c r="S1395" s="14" t="str">
        <f t="shared" si="64"/>
        <v/>
      </c>
      <c r="T1395" s="14" t="s">
        <v>72</v>
      </c>
      <c r="U1395" s="14">
        <v>634.07102803738314</v>
      </c>
      <c r="V1395">
        <v>3274</v>
      </c>
      <c r="W1395">
        <v>34.684686279296898</v>
      </c>
      <c r="X1395">
        <v>11.197788254467801</v>
      </c>
      <c r="Y1395">
        <v>4.9072477365954601</v>
      </c>
      <c r="Z1395" s="31">
        <v>4.0295416315986001</v>
      </c>
      <c r="AA1395">
        <v>6.9518752084245703</v>
      </c>
      <c r="AB1395">
        <v>0.06</v>
      </c>
      <c r="AC1395">
        <v>161215.857763779</v>
      </c>
      <c r="AD1395">
        <v>182302.89195928129</v>
      </c>
      <c r="AE1395">
        <v>1</v>
      </c>
      <c r="AF1395">
        <v>4863.5617523708434</v>
      </c>
      <c r="AG1395">
        <v>6293.3231824435734</v>
      </c>
    </row>
    <row r="1396" spans="1:33" hidden="1" x14ac:dyDescent="0.25">
      <c r="B1396">
        <v>24</v>
      </c>
      <c r="C1396" t="s">
        <v>55</v>
      </c>
      <c r="D1396" t="s">
        <v>56</v>
      </c>
      <c r="E1396" t="s">
        <v>68</v>
      </c>
      <c r="F1396">
        <v>170848</v>
      </c>
      <c r="G1396">
        <v>171130</v>
      </c>
      <c r="H1396">
        <v>10</v>
      </c>
      <c r="I1396">
        <v>10</v>
      </c>
      <c r="J1396">
        <v>0</v>
      </c>
      <c r="K1396">
        <v>0</v>
      </c>
      <c r="L1396">
        <v>172160</v>
      </c>
      <c r="M1396">
        <v>453</v>
      </c>
      <c r="N1396">
        <v>179561</v>
      </c>
      <c r="O1396" s="43">
        <v>6219180</v>
      </c>
      <c r="P1396" s="14">
        <f t="shared" si="65"/>
        <v>339228</v>
      </c>
      <c r="Q1396" s="14" t="str">
        <f t="shared" si="63"/>
        <v/>
      </c>
      <c r="R1396" s="14" t="str">
        <f t="shared" si="63"/>
        <v/>
      </c>
      <c r="S1396" s="14" t="str">
        <f t="shared" si="64"/>
        <v/>
      </c>
      <c r="T1396" s="14" t="s">
        <v>72</v>
      </c>
      <c r="U1396" s="14">
        <v>33922.800000000003</v>
      </c>
      <c r="V1396">
        <v>3274</v>
      </c>
      <c r="W1396">
        <v>36.675439453125001</v>
      </c>
      <c r="X1396">
        <v>10.592177406384399</v>
      </c>
      <c r="Y1396">
        <v>5.5120086537225301</v>
      </c>
      <c r="Z1396" s="31">
        <v>2.5042454228346598</v>
      </c>
      <c r="AA1396">
        <v>8.4678756333121097</v>
      </c>
      <c r="AB1396">
        <v>0.06</v>
      </c>
      <c r="AC1396">
        <v>161215.857763779</v>
      </c>
      <c r="AD1396">
        <v>182302.89195928129</v>
      </c>
      <c r="AE1396">
        <v>1</v>
      </c>
      <c r="AF1396">
        <v>4863.5617523708434</v>
      </c>
      <c r="AG1396">
        <v>6293.3231824435734</v>
      </c>
    </row>
    <row r="1397" spans="1:33" hidden="1" x14ac:dyDescent="0.25">
      <c r="B1397">
        <v>24</v>
      </c>
      <c r="C1397" t="s">
        <v>55</v>
      </c>
      <c r="D1397" t="s">
        <v>56</v>
      </c>
      <c r="E1397" t="s">
        <v>68</v>
      </c>
      <c r="F1397">
        <v>170848</v>
      </c>
      <c r="G1397">
        <v>171130</v>
      </c>
      <c r="H1397">
        <v>11</v>
      </c>
      <c r="I1397">
        <v>78</v>
      </c>
      <c r="J1397">
        <v>0</v>
      </c>
      <c r="K1397">
        <v>0</v>
      </c>
      <c r="L1397">
        <v>172160</v>
      </c>
      <c r="M1397">
        <v>453</v>
      </c>
      <c r="N1397">
        <v>179561</v>
      </c>
      <c r="O1397" s="43">
        <v>6219180</v>
      </c>
      <c r="P1397" s="14">
        <f t="shared" si="65"/>
        <v>0</v>
      </c>
      <c r="Q1397" s="14" t="str">
        <f t="shared" si="63"/>
        <v/>
      </c>
      <c r="R1397" s="14" t="str">
        <f t="shared" si="63"/>
        <v/>
      </c>
      <c r="S1397" s="14" t="str">
        <f t="shared" si="64"/>
        <v/>
      </c>
      <c r="T1397" s="14" t="s">
        <v>72</v>
      </c>
      <c r="U1397" s="14">
        <v>-79733.076923076922</v>
      </c>
      <c r="V1397">
        <v>3274</v>
      </c>
      <c r="W1397">
        <v>34.457299804687501</v>
      </c>
      <c r="X1397">
        <v>13.541318475601599</v>
      </c>
      <c r="Y1397">
        <v>4.7176431868918796</v>
      </c>
      <c r="Z1397" s="31">
        <v>2.3121008935345202</v>
      </c>
      <c r="AA1397">
        <v>7.1842551695039001</v>
      </c>
      <c r="AB1397">
        <v>0.06</v>
      </c>
      <c r="AC1397">
        <v>161215.857763779</v>
      </c>
      <c r="AD1397">
        <v>182302.89195928129</v>
      </c>
      <c r="AE1397">
        <v>1</v>
      </c>
      <c r="AF1397">
        <v>4863.5617523708434</v>
      </c>
      <c r="AG1397">
        <v>6293.3231824435734</v>
      </c>
    </row>
    <row r="1398" spans="1:33" hidden="1" x14ac:dyDescent="0.25">
      <c r="B1398">
        <v>24</v>
      </c>
      <c r="C1398" t="s">
        <v>55</v>
      </c>
      <c r="D1398" t="s">
        <v>56</v>
      </c>
      <c r="E1398" t="s">
        <v>68</v>
      </c>
      <c r="F1398">
        <v>171130</v>
      </c>
      <c r="G1398">
        <v>171130</v>
      </c>
      <c r="H1398">
        <v>12</v>
      </c>
      <c r="I1398" s="5">
        <v>0</v>
      </c>
      <c r="J1398">
        <v>0</v>
      </c>
      <c r="K1398">
        <v>0</v>
      </c>
      <c r="L1398">
        <v>172160</v>
      </c>
      <c r="M1398">
        <v>453</v>
      </c>
      <c r="N1398">
        <v>179561</v>
      </c>
      <c r="O1398" s="43">
        <v>7010712</v>
      </c>
      <c r="P1398" s="14">
        <f t="shared" si="65"/>
        <v>791532</v>
      </c>
      <c r="Q1398" s="14" t="str">
        <f t="shared" si="63"/>
        <v/>
      </c>
      <c r="R1398" s="14" t="str">
        <f t="shared" si="63"/>
        <v/>
      </c>
      <c r="S1398" s="14" t="str">
        <f t="shared" si="64"/>
        <v/>
      </c>
      <c r="T1398" s="14" t="s">
        <v>72</v>
      </c>
      <c r="U1398" s="14">
        <v>0</v>
      </c>
      <c r="V1398">
        <v>3274</v>
      </c>
      <c r="W1398">
        <v>12.817956542968799</v>
      </c>
      <c r="X1398">
        <v>70.435444864829904</v>
      </c>
      <c r="Y1398">
        <v>0.438138595768996</v>
      </c>
      <c r="Z1398" s="31">
        <v>5.3612719723969304</v>
      </c>
      <c r="AA1398">
        <v>10.3122122972469</v>
      </c>
      <c r="AB1398">
        <v>0.06</v>
      </c>
      <c r="AC1398">
        <v>161215.857763779</v>
      </c>
      <c r="AD1398">
        <v>182302.89195928129</v>
      </c>
      <c r="AE1398">
        <v>1</v>
      </c>
      <c r="AF1398">
        <v>4863.5617523708434</v>
      </c>
      <c r="AG1398">
        <v>6293.3231824435734</v>
      </c>
    </row>
    <row r="1399" spans="1:33" hidden="1" x14ac:dyDescent="0.25">
      <c r="B1399">
        <v>24</v>
      </c>
      <c r="C1399" t="s">
        <v>55</v>
      </c>
      <c r="D1399" t="s">
        <v>56</v>
      </c>
      <c r="E1399" t="s">
        <v>68</v>
      </c>
      <c r="F1399">
        <v>171130</v>
      </c>
      <c r="G1399">
        <v>171130</v>
      </c>
      <c r="H1399">
        <v>13</v>
      </c>
      <c r="I1399" s="5">
        <v>0</v>
      </c>
      <c r="J1399">
        <v>0</v>
      </c>
      <c r="K1399">
        <v>0</v>
      </c>
      <c r="L1399">
        <v>172160</v>
      </c>
      <c r="M1399">
        <v>453</v>
      </c>
      <c r="N1399">
        <v>179561</v>
      </c>
      <c r="O1399" s="43">
        <v>7010712</v>
      </c>
      <c r="P1399" s="14">
        <f t="shared" si="65"/>
        <v>0</v>
      </c>
      <c r="Q1399" s="14" t="str">
        <f t="shared" si="63"/>
        <v/>
      </c>
      <c r="R1399" s="14" t="str">
        <f t="shared" si="63"/>
        <v/>
      </c>
      <c r="S1399" s="14" t="str">
        <f t="shared" si="64"/>
        <v/>
      </c>
      <c r="T1399" s="14" t="s">
        <v>72</v>
      </c>
      <c r="U1399" s="14">
        <v>0</v>
      </c>
      <c r="V1399">
        <v>3274</v>
      </c>
      <c r="W1399">
        <v>16.374047851562501</v>
      </c>
      <c r="X1399">
        <v>66.275200997137205</v>
      </c>
      <c r="Y1399">
        <v>0.62853931988598899</v>
      </c>
      <c r="Z1399" s="31">
        <v>1.4334429878774999</v>
      </c>
      <c r="AA1399">
        <v>6.4258361035943503</v>
      </c>
      <c r="AB1399">
        <v>0.06</v>
      </c>
      <c r="AC1399">
        <v>161215.857763779</v>
      </c>
      <c r="AD1399">
        <v>182302.89195928129</v>
      </c>
      <c r="AE1399">
        <v>1</v>
      </c>
      <c r="AF1399">
        <v>4863.5617523708434</v>
      </c>
      <c r="AG1399">
        <v>6293.3231824435734</v>
      </c>
    </row>
    <row r="1400" spans="1:33" hidden="1" x14ac:dyDescent="0.25">
      <c r="B1400">
        <v>24</v>
      </c>
      <c r="C1400" t="s">
        <v>55</v>
      </c>
      <c r="D1400" t="s">
        <v>56</v>
      </c>
      <c r="E1400" t="s">
        <v>68</v>
      </c>
      <c r="F1400">
        <v>171130</v>
      </c>
      <c r="G1400">
        <v>171130</v>
      </c>
      <c r="H1400">
        <v>14</v>
      </c>
      <c r="I1400" s="5">
        <v>0</v>
      </c>
      <c r="J1400">
        <v>0</v>
      </c>
      <c r="K1400">
        <v>0</v>
      </c>
      <c r="L1400">
        <v>172160</v>
      </c>
      <c r="M1400">
        <v>453</v>
      </c>
      <c r="N1400">
        <v>179561</v>
      </c>
      <c r="O1400" s="43">
        <v>7349940</v>
      </c>
      <c r="P1400" s="14">
        <f t="shared" si="65"/>
        <v>339228</v>
      </c>
      <c r="Q1400" s="14" t="str">
        <f t="shared" si="63"/>
        <v/>
      </c>
      <c r="R1400" s="14" t="str">
        <f t="shared" si="63"/>
        <v/>
      </c>
      <c r="S1400" s="14" t="str">
        <f t="shared" si="64"/>
        <v/>
      </c>
      <c r="T1400" s="14" t="s">
        <v>72</v>
      </c>
      <c r="U1400" s="14">
        <v>0</v>
      </c>
      <c r="V1400">
        <v>3274</v>
      </c>
      <c r="W1400">
        <v>16.615136718750001</v>
      </c>
      <c r="X1400">
        <v>63.475007394286202</v>
      </c>
      <c r="Y1400">
        <v>0.69124542100146402</v>
      </c>
      <c r="Z1400" s="31">
        <v>5.9741874471330503</v>
      </c>
      <c r="AA1400">
        <v>14.419924554294299</v>
      </c>
      <c r="AB1400">
        <v>0.06</v>
      </c>
      <c r="AC1400">
        <v>161215.857763779</v>
      </c>
      <c r="AD1400">
        <v>182302.89195928129</v>
      </c>
      <c r="AE1400">
        <v>1</v>
      </c>
      <c r="AF1400">
        <v>4863.5617523708434</v>
      </c>
      <c r="AG1400">
        <v>6293.3231824435734</v>
      </c>
    </row>
    <row r="1401" spans="1:33" hidden="1" x14ac:dyDescent="0.25">
      <c r="A1401" t="s">
        <v>105</v>
      </c>
      <c r="B1401">
        <v>25</v>
      </c>
      <c r="C1401" t="s">
        <v>57</v>
      </c>
      <c r="D1401" t="s">
        <v>28</v>
      </c>
      <c r="E1401" t="s">
        <v>68</v>
      </c>
      <c r="F1401">
        <v>77515</v>
      </c>
      <c r="G1401">
        <v>138085</v>
      </c>
      <c r="H1401">
        <v>1</v>
      </c>
      <c r="I1401" s="5">
        <v>0</v>
      </c>
      <c r="J1401">
        <v>25.261071079407611</v>
      </c>
      <c r="K1401">
        <v>526799</v>
      </c>
      <c r="L1401">
        <v>15633</v>
      </c>
      <c r="M1401">
        <v>0</v>
      </c>
      <c r="N1401">
        <v>12803</v>
      </c>
      <c r="O1401" s="43">
        <v>114432.912</v>
      </c>
      <c r="P1401" s="14">
        <v>0</v>
      </c>
      <c r="Q1401" s="14" t="str">
        <f t="shared" si="63"/>
        <v/>
      </c>
      <c r="R1401" s="14" t="str">
        <f t="shared" si="63"/>
        <v/>
      </c>
      <c r="S1401" s="14" t="str">
        <f t="shared" si="64"/>
        <v/>
      </c>
      <c r="T1401" s="14" t="s">
        <v>72</v>
      </c>
      <c r="U1401" s="14">
        <v>0</v>
      </c>
      <c r="V1401">
        <v>3760</v>
      </c>
      <c r="W1401">
        <v>27.794824218750001</v>
      </c>
      <c r="X1401">
        <v>18.633143415615699</v>
      </c>
      <c r="Y1401">
        <v>3.0400079712082202</v>
      </c>
      <c r="Z1401" s="31">
        <v>6.3737625349684102</v>
      </c>
      <c r="AA1401">
        <v>10.3040618903715</v>
      </c>
      <c r="AB1401">
        <v>0.05</v>
      </c>
      <c r="AC1401">
        <v>476796.90541459899</v>
      </c>
      <c r="AD1401">
        <v>545598.69886592566</v>
      </c>
      <c r="AE1401">
        <v>1</v>
      </c>
      <c r="AF1401">
        <v>21315.177014185811</v>
      </c>
      <c r="AG1401">
        <v>566595.11344702251</v>
      </c>
    </row>
    <row r="1402" spans="1:33" hidden="1" x14ac:dyDescent="0.25">
      <c r="B1402">
        <v>25</v>
      </c>
      <c r="C1402" t="s">
        <v>57</v>
      </c>
      <c r="D1402" t="s">
        <v>28</v>
      </c>
      <c r="E1402" t="s">
        <v>68</v>
      </c>
      <c r="F1402">
        <v>110288</v>
      </c>
      <c r="G1402">
        <v>138085</v>
      </c>
      <c r="H1402">
        <v>2</v>
      </c>
      <c r="I1402" s="5">
        <v>0</v>
      </c>
      <c r="J1402">
        <v>10.68026939928305</v>
      </c>
      <c r="K1402">
        <v>526799</v>
      </c>
      <c r="L1402">
        <v>15633</v>
      </c>
      <c r="M1402">
        <v>0</v>
      </c>
      <c r="N1402">
        <v>12803</v>
      </c>
      <c r="O1402" s="43">
        <v>171649.36799999999</v>
      </c>
      <c r="P1402" s="14">
        <f t="shared" si="65"/>
        <v>57216.455999999991</v>
      </c>
      <c r="Q1402" s="14" t="str">
        <f t="shared" si="63"/>
        <v/>
      </c>
      <c r="R1402" s="14" t="str">
        <f t="shared" si="63"/>
        <v/>
      </c>
      <c r="S1402" s="14" t="str">
        <f t="shared" si="64"/>
        <v/>
      </c>
      <c r="T1402" s="14" t="s">
        <v>72</v>
      </c>
      <c r="U1402" s="14">
        <v>0</v>
      </c>
      <c r="V1402">
        <v>3760</v>
      </c>
      <c r="W1402">
        <v>21.877709960937501</v>
      </c>
      <c r="X1402">
        <v>12.079038341904001</v>
      </c>
      <c r="Y1402">
        <v>2.3088706150499299</v>
      </c>
      <c r="Z1402" s="31">
        <v>6.2328247908690804</v>
      </c>
      <c r="AA1402">
        <v>8.4113952921322905</v>
      </c>
      <c r="AB1402">
        <v>0.05</v>
      </c>
      <c r="AC1402">
        <v>476796.90541459899</v>
      </c>
      <c r="AD1402">
        <v>545598.69886592566</v>
      </c>
      <c r="AE1402">
        <v>1</v>
      </c>
      <c r="AF1402">
        <v>21315.177014185811</v>
      </c>
      <c r="AG1402">
        <v>566595.11344702251</v>
      </c>
    </row>
    <row r="1403" spans="1:33" hidden="1" x14ac:dyDescent="0.25">
      <c r="B1403">
        <v>25</v>
      </c>
      <c r="C1403" t="s">
        <v>57</v>
      </c>
      <c r="D1403" t="s">
        <v>28</v>
      </c>
      <c r="E1403" t="s">
        <v>68</v>
      </c>
      <c r="F1403">
        <v>129632</v>
      </c>
      <c r="G1403">
        <v>138085</v>
      </c>
      <c r="H1403">
        <v>3</v>
      </c>
      <c r="I1403" s="5">
        <v>0</v>
      </c>
      <c r="J1403">
        <v>6.3039432233769057</v>
      </c>
      <c r="K1403">
        <v>526799</v>
      </c>
      <c r="L1403">
        <v>15633</v>
      </c>
      <c r="M1403">
        <v>0</v>
      </c>
      <c r="N1403">
        <v>12803</v>
      </c>
      <c r="O1403" s="43">
        <v>457731.64799999999</v>
      </c>
      <c r="P1403" s="14">
        <f t="shared" si="65"/>
        <v>286082.28000000003</v>
      </c>
      <c r="Q1403" s="14" t="str">
        <f t="shared" si="63"/>
        <v/>
      </c>
      <c r="R1403" s="14" t="str">
        <f t="shared" si="63"/>
        <v/>
      </c>
      <c r="S1403" s="14" t="str">
        <f t="shared" si="64"/>
        <v/>
      </c>
      <c r="T1403" s="14" t="s">
        <v>72</v>
      </c>
      <c r="U1403" s="14">
        <v>0</v>
      </c>
      <c r="V1403">
        <v>3760</v>
      </c>
      <c r="W1403">
        <v>27.815576171875001</v>
      </c>
      <c r="X1403">
        <v>11.6636441181835</v>
      </c>
      <c r="Y1403">
        <v>3.3046956829451402</v>
      </c>
      <c r="Z1403" s="31">
        <v>4.8969435191497697</v>
      </c>
      <c r="AA1403">
        <v>2.53634135715807</v>
      </c>
      <c r="AB1403">
        <v>0.05</v>
      </c>
      <c r="AC1403">
        <v>476796.90541459899</v>
      </c>
      <c r="AD1403">
        <v>545598.69886592566</v>
      </c>
      <c r="AE1403">
        <v>1</v>
      </c>
      <c r="AF1403">
        <v>21315.177014185811</v>
      </c>
      <c r="AG1403">
        <v>566595.11344702251</v>
      </c>
    </row>
    <row r="1404" spans="1:33" hidden="1" x14ac:dyDescent="0.25">
      <c r="B1404">
        <v>25</v>
      </c>
      <c r="C1404" t="s">
        <v>57</v>
      </c>
      <c r="D1404" t="s">
        <v>28</v>
      </c>
      <c r="E1404" t="s">
        <v>68</v>
      </c>
      <c r="F1404">
        <v>132137</v>
      </c>
      <c r="G1404">
        <v>138085</v>
      </c>
      <c r="H1404">
        <v>4</v>
      </c>
      <c r="I1404">
        <v>77515</v>
      </c>
      <c r="J1404">
        <v>0.81634500488829342</v>
      </c>
      <c r="K1404">
        <v>526799</v>
      </c>
      <c r="L1404">
        <v>15633</v>
      </c>
      <c r="M1404">
        <v>0</v>
      </c>
      <c r="N1404">
        <v>12803</v>
      </c>
      <c r="O1404" s="43">
        <v>972679.75200000009</v>
      </c>
      <c r="P1404" s="14">
        <f t="shared" si="65"/>
        <v>514948.10400000011</v>
      </c>
      <c r="Q1404" s="14" t="str">
        <f t="shared" si="63"/>
        <v/>
      </c>
      <c r="R1404" s="14" t="str">
        <f t="shared" si="63"/>
        <v/>
      </c>
      <c r="S1404" s="14" t="str">
        <f t="shared" si="64"/>
        <v/>
      </c>
      <c r="T1404" s="14" t="s">
        <v>72</v>
      </c>
      <c r="U1404" s="14">
        <v>6.6432058827323752</v>
      </c>
      <c r="V1404">
        <v>3760</v>
      </c>
      <c r="W1404">
        <v>28.193383789062501</v>
      </c>
      <c r="X1404">
        <v>18.8327377508868</v>
      </c>
      <c r="Y1404">
        <v>3.1036648762661798</v>
      </c>
      <c r="Z1404" s="31">
        <v>2.1765465116670999</v>
      </c>
      <c r="AA1404">
        <v>2.6505821343054499</v>
      </c>
      <c r="AB1404">
        <v>0.05</v>
      </c>
      <c r="AC1404">
        <v>476796.90541459899</v>
      </c>
      <c r="AD1404">
        <v>545598.69886592566</v>
      </c>
      <c r="AE1404">
        <v>1</v>
      </c>
      <c r="AF1404">
        <v>21315.177014185811</v>
      </c>
      <c r="AG1404">
        <v>566595.11344702251</v>
      </c>
    </row>
    <row r="1405" spans="1:33" hidden="1" x14ac:dyDescent="0.25">
      <c r="B1405">
        <v>25</v>
      </c>
      <c r="C1405" t="s">
        <v>57</v>
      </c>
      <c r="D1405" t="s">
        <v>28</v>
      </c>
      <c r="E1405" t="s">
        <v>68</v>
      </c>
      <c r="F1405">
        <v>132140</v>
      </c>
      <c r="G1405">
        <v>138085</v>
      </c>
      <c r="H1405">
        <v>5</v>
      </c>
      <c r="I1405">
        <v>32773</v>
      </c>
      <c r="J1405">
        <v>9.7765868848897412E-4</v>
      </c>
      <c r="K1405">
        <v>526799</v>
      </c>
      <c r="L1405">
        <v>15633</v>
      </c>
      <c r="M1405">
        <v>0</v>
      </c>
      <c r="N1405">
        <v>12803</v>
      </c>
      <c r="O1405" s="43">
        <v>1422244.3230705601</v>
      </c>
      <c r="P1405" s="14">
        <f t="shared" si="65"/>
        <v>449564.57107056002</v>
      </c>
      <c r="Q1405" s="14" t="str">
        <f t="shared" si="63"/>
        <v/>
      </c>
      <c r="R1405" s="14" t="str">
        <f t="shared" si="63"/>
        <v/>
      </c>
      <c r="S1405" s="14" t="str">
        <f t="shared" si="64"/>
        <v/>
      </c>
      <c r="T1405" s="14" t="s">
        <v>72</v>
      </c>
      <c r="U1405" s="14">
        <v>13.717528791095109</v>
      </c>
      <c r="V1405">
        <v>3760</v>
      </c>
      <c r="W1405">
        <v>21.609521484375001</v>
      </c>
      <c r="X1405">
        <v>35.578559967145701</v>
      </c>
      <c r="Y1405">
        <v>1.6640565432881</v>
      </c>
      <c r="Z1405" s="31">
        <v>1.4522264240952401</v>
      </c>
      <c r="AA1405">
        <v>2.9019179885448101</v>
      </c>
      <c r="AB1405">
        <v>0.05</v>
      </c>
      <c r="AC1405">
        <v>476796.90541459899</v>
      </c>
      <c r="AD1405">
        <v>545598.69886592566</v>
      </c>
      <c r="AE1405">
        <v>1</v>
      </c>
      <c r="AF1405">
        <v>21315.177014185811</v>
      </c>
      <c r="AG1405">
        <v>566595.11344702251</v>
      </c>
    </row>
    <row r="1406" spans="1:33" hidden="1" x14ac:dyDescent="0.25">
      <c r="B1406">
        <v>25</v>
      </c>
      <c r="C1406" t="s">
        <v>57</v>
      </c>
      <c r="D1406" t="s">
        <v>28</v>
      </c>
      <c r="E1406" t="s">
        <v>68</v>
      </c>
      <c r="F1406">
        <v>133126</v>
      </c>
      <c r="G1406">
        <v>138085</v>
      </c>
      <c r="H1406">
        <v>6</v>
      </c>
      <c r="I1406">
        <v>19344</v>
      </c>
      <c r="J1406">
        <v>0.32132382228337619</v>
      </c>
      <c r="K1406">
        <v>526799</v>
      </c>
      <c r="L1406">
        <v>15633</v>
      </c>
      <c r="M1406">
        <v>0</v>
      </c>
      <c r="N1406">
        <v>12803</v>
      </c>
      <c r="O1406" s="43">
        <v>2232842.4428428798</v>
      </c>
      <c r="P1406" s="14">
        <f t="shared" si="65"/>
        <v>810598.11977231968</v>
      </c>
      <c r="Q1406" s="14" t="str">
        <f t="shared" si="63"/>
        <v/>
      </c>
      <c r="R1406" s="14" t="str">
        <f t="shared" si="63"/>
        <v/>
      </c>
      <c r="S1406" s="14" t="str">
        <f t="shared" si="64"/>
        <v/>
      </c>
      <c r="T1406" s="14" t="s">
        <v>72</v>
      </c>
      <c r="U1406" s="14">
        <v>41.904369301712165</v>
      </c>
      <c r="V1406">
        <v>3760</v>
      </c>
      <c r="W1406">
        <v>20.144586181640602</v>
      </c>
      <c r="X1406">
        <v>41.307904266824302</v>
      </c>
      <c r="Y1406">
        <v>1.3855907394550599</v>
      </c>
      <c r="Z1406">
        <v>1.82194603085583</v>
      </c>
      <c r="AA1406">
        <v>12.5681702052732</v>
      </c>
      <c r="AB1406">
        <v>0.05</v>
      </c>
      <c r="AC1406">
        <v>476796.90541459899</v>
      </c>
      <c r="AD1406">
        <v>545598.69886592566</v>
      </c>
      <c r="AE1406">
        <v>1</v>
      </c>
      <c r="AF1406">
        <v>21315.177014185811</v>
      </c>
      <c r="AG1406">
        <v>566595.11344702251</v>
      </c>
    </row>
    <row r="1407" spans="1:33" hidden="1" x14ac:dyDescent="0.25">
      <c r="B1407">
        <v>25</v>
      </c>
      <c r="C1407" t="s">
        <v>57</v>
      </c>
      <c r="D1407" t="s">
        <v>28</v>
      </c>
      <c r="E1407" t="s">
        <v>68</v>
      </c>
      <c r="F1407">
        <v>134294</v>
      </c>
      <c r="G1407">
        <v>138085</v>
      </c>
      <c r="H1407">
        <v>7</v>
      </c>
      <c r="I1407">
        <v>2505</v>
      </c>
      <c r="J1407">
        <v>0.3806351160517073</v>
      </c>
      <c r="K1407">
        <v>526799</v>
      </c>
      <c r="L1407">
        <v>15633</v>
      </c>
      <c r="M1407">
        <v>0</v>
      </c>
      <c r="N1407">
        <v>12803</v>
      </c>
      <c r="O1407" s="43">
        <v>2825860.1123966398</v>
      </c>
      <c r="P1407" s="14">
        <f t="shared" si="65"/>
        <v>593017.66955375997</v>
      </c>
      <c r="Q1407" s="14" t="str">
        <f t="shared" si="63"/>
        <v/>
      </c>
      <c r="R1407" s="14" t="str">
        <f t="shared" si="63"/>
        <v/>
      </c>
      <c r="S1407" s="14" t="str">
        <f t="shared" si="64"/>
        <v/>
      </c>
      <c r="T1407" s="14" t="s">
        <v>72</v>
      </c>
      <c r="U1407" s="14">
        <v>236.73360062026347</v>
      </c>
      <c r="V1407">
        <v>3760</v>
      </c>
      <c r="W1407">
        <v>20.625360107421901</v>
      </c>
      <c r="X1407">
        <v>46.027348356719301</v>
      </c>
      <c r="Y1407">
        <v>1.31240528005926</v>
      </c>
      <c r="Z1407" s="31">
        <v>2.0861643935015701</v>
      </c>
      <c r="AA1407">
        <v>20.829927588669801</v>
      </c>
      <c r="AB1407">
        <v>0.05</v>
      </c>
      <c r="AC1407">
        <v>476796.90541459899</v>
      </c>
      <c r="AD1407">
        <v>545598.69886592566</v>
      </c>
      <c r="AE1407">
        <v>1</v>
      </c>
      <c r="AF1407">
        <v>21315.177014185811</v>
      </c>
      <c r="AG1407">
        <v>566595.11344702251</v>
      </c>
    </row>
    <row r="1408" spans="1:33" hidden="1" x14ac:dyDescent="0.25">
      <c r="B1408">
        <v>25</v>
      </c>
      <c r="C1408" t="s">
        <v>57</v>
      </c>
      <c r="D1408" t="s">
        <v>28</v>
      </c>
      <c r="E1408" t="s">
        <v>68</v>
      </c>
      <c r="F1408">
        <v>135328</v>
      </c>
      <c r="G1408">
        <v>138085</v>
      </c>
      <c r="H1408">
        <v>8</v>
      </c>
      <c r="I1408">
        <v>3</v>
      </c>
      <c r="J1408">
        <v>0.33696636129919982</v>
      </c>
      <c r="K1408">
        <v>526799</v>
      </c>
      <c r="L1408">
        <v>15633</v>
      </c>
      <c r="M1408">
        <v>0</v>
      </c>
      <c r="N1408">
        <v>12803</v>
      </c>
      <c r="O1408" s="43">
        <v>2825860.1123966398</v>
      </c>
      <c r="P1408" s="14">
        <f t="shared" si="65"/>
        <v>0</v>
      </c>
      <c r="Q1408" s="14" t="str">
        <f t="shared" si="63"/>
        <v/>
      </c>
      <c r="R1408" s="14" t="str">
        <f t="shared" si="63"/>
        <v/>
      </c>
      <c r="S1408" s="14" t="str">
        <f t="shared" si="64"/>
        <v/>
      </c>
      <c r="T1408" s="14" t="s">
        <v>72</v>
      </c>
      <c r="U1408" s="14">
        <v>0</v>
      </c>
      <c r="V1408">
        <v>3760</v>
      </c>
      <c r="W1408">
        <v>21.822595214843702</v>
      </c>
      <c r="X1408">
        <v>43.003797905790996</v>
      </c>
      <c r="Y1408">
        <v>1.4913645755465701</v>
      </c>
      <c r="Z1408" s="31">
        <v>2.32065631831974</v>
      </c>
      <c r="AA1408">
        <v>16.6015550488918</v>
      </c>
      <c r="AB1408">
        <v>0.05</v>
      </c>
      <c r="AC1408">
        <v>476796.90541459899</v>
      </c>
      <c r="AD1408">
        <v>545598.69886592566</v>
      </c>
      <c r="AE1408">
        <v>1</v>
      </c>
      <c r="AF1408">
        <v>21315.177014185811</v>
      </c>
      <c r="AG1408">
        <v>566595.11344702251</v>
      </c>
    </row>
    <row r="1409" spans="2:33" hidden="1" x14ac:dyDescent="0.25">
      <c r="B1409">
        <v>25</v>
      </c>
      <c r="C1409" t="s">
        <v>57</v>
      </c>
      <c r="D1409" t="s">
        <v>28</v>
      </c>
      <c r="E1409" t="s">
        <v>68</v>
      </c>
      <c r="F1409">
        <v>137154</v>
      </c>
      <c r="G1409">
        <v>138085</v>
      </c>
      <c r="H1409">
        <v>9</v>
      </c>
      <c r="I1409">
        <v>986</v>
      </c>
      <c r="J1409">
        <v>0.59506825506028893</v>
      </c>
      <c r="K1409">
        <v>526799</v>
      </c>
      <c r="L1409">
        <v>15633</v>
      </c>
      <c r="M1409">
        <v>0</v>
      </c>
      <c r="N1409">
        <v>12803</v>
      </c>
      <c r="O1409" s="43">
        <v>4829284.02027456</v>
      </c>
      <c r="P1409" s="14">
        <f t="shared" si="65"/>
        <v>2003423.9078779202</v>
      </c>
      <c r="Q1409" s="14" t="str">
        <f t="shared" si="63"/>
        <v/>
      </c>
      <c r="R1409" s="14" t="str">
        <f t="shared" si="63"/>
        <v/>
      </c>
      <c r="S1409" s="14" t="str">
        <f t="shared" si="64"/>
        <v/>
      </c>
      <c r="T1409" s="14" t="s">
        <v>72</v>
      </c>
      <c r="U1409" s="14">
        <v>2031.8700891256792</v>
      </c>
      <c r="V1409">
        <v>3760</v>
      </c>
      <c r="W1409">
        <v>21.425988769531301</v>
      </c>
      <c r="X1409">
        <v>50.954749801547997</v>
      </c>
      <c r="Y1409">
        <v>1.25249342922541</v>
      </c>
      <c r="Z1409" s="31">
        <v>2.3832900804765198</v>
      </c>
      <c r="AA1409">
        <v>9.5099061145460908</v>
      </c>
      <c r="AB1409">
        <v>0.05</v>
      </c>
      <c r="AC1409">
        <v>476796.90541459899</v>
      </c>
      <c r="AD1409">
        <v>545598.69886592566</v>
      </c>
      <c r="AE1409">
        <v>1</v>
      </c>
      <c r="AF1409">
        <v>21315.177014185811</v>
      </c>
      <c r="AG1409">
        <v>566595.11344702251</v>
      </c>
    </row>
    <row r="1410" spans="2:33" hidden="1" x14ac:dyDescent="0.25">
      <c r="B1410">
        <v>25</v>
      </c>
      <c r="C1410" t="s">
        <v>57</v>
      </c>
      <c r="D1410" t="s">
        <v>28</v>
      </c>
      <c r="E1410" t="s">
        <v>68</v>
      </c>
      <c r="F1410">
        <v>137738</v>
      </c>
      <c r="G1410">
        <v>138085</v>
      </c>
      <c r="H1410">
        <v>10</v>
      </c>
      <c r="I1410">
        <v>1168</v>
      </c>
      <c r="J1410">
        <v>0.19031755802585371</v>
      </c>
      <c r="K1410">
        <v>526799</v>
      </c>
      <c r="L1410">
        <v>15633</v>
      </c>
      <c r="M1410">
        <v>0</v>
      </c>
      <c r="N1410">
        <v>12803</v>
      </c>
      <c r="O1410" s="43">
        <v>5909751.5650747204</v>
      </c>
      <c r="P1410" s="14">
        <f t="shared" si="65"/>
        <v>1080467.5448001605</v>
      </c>
      <c r="Q1410" s="14" t="str">
        <f t="shared" si="63"/>
        <v/>
      </c>
      <c r="R1410" s="14" t="str">
        <f t="shared" si="63"/>
        <v/>
      </c>
      <c r="S1410" s="14" t="str">
        <f t="shared" si="64"/>
        <v/>
      </c>
      <c r="T1410" s="14" t="s">
        <v>72</v>
      </c>
      <c r="U1410" s="14">
        <v>925.05782945219221</v>
      </c>
      <c r="V1410">
        <v>3760</v>
      </c>
      <c r="W1410">
        <v>20.402459716796901</v>
      </c>
      <c r="X1410">
        <v>56.240426116374103</v>
      </c>
      <c r="Y1410">
        <v>1.0494237097040799</v>
      </c>
      <c r="Z1410" s="31">
        <v>2.1828039087308699</v>
      </c>
      <c r="AA1410">
        <v>12.108508993261401</v>
      </c>
      <c r="AB1410">
        <v>0.05</v>
      </c>
      <c r="AC1410">
        <v>476796.90541459899</v>
      </c>
      <c r="AD1410">
        <v>545598.69886592566</v>
      </c>
      <c r="AE1410">
        <v>1</v>
      </c>
      <c r="AF1410">
        <v>21315.177014185811</v>
      </c>
      <c r="AG1410">
        <v>566595.11344702251</v>
      </c>
    </row>
    <row r="1411" spans="2:33" hidden="1" x14ac:dyDescent="0.25">
      <c r="B1411">
        <v>25</v>
      </c>
      <c r="C1411" t="s">
        <v>57</v>
      </c>
      <c r="D1411" t="s">
        <v>28</v>
      </c>
      <c r="E1411" t="s">
        <v>68</v>
      </c>
      <c r="F1411">
        <v>137756</v>
      </c>
      <c r="G1411">
        <v>138085</v>
      </c>
      <c r="H1411">
        <v>11</v>
      </c>
      <c r="I1411">
        <v>1034</v>
      </c>
      <c r="J1411">
        <v>5.8659521309338452E-3</v>
      </c>
      <c r="K1411">
        <v>526799</v>
      </c>
      <c r="L1411">
        <v>15633</v>
      </c>
      <c r="M1411">
        <v>0</v>
      </c>
      <c r="N1411">
        <v>12803</v>
      </c>
      <c r="O1411" s="43">
        <v>7030769.5565711996</v>
      </c>
      <c r="P1411" s="14">
        <f t="shared" si="65"/>
        <v>1121017.9914964791</v>
      </c>
      <c r="Q1411" s="14" t="str">
        <f t="shared" ref="Q1411:R1474" si="66">IF(P1411&gt;=0,"",P1411)</f>
        <v/>
      </c>
      <c r="R1411" s="14" t="str">
        <f t="shared" si="66"/>
        <v/>
      </c>
      <c r="S1411" s="14" t="str">
        <f t="shared" ref="S1411:S1474" si="67">IFERROR(IF(ISNA(Q1411),NA(),Q1411^2),"")</f>
        <v/>
      </c>
      <c r="T1411" s="14" t="s">
        <v>72</v>
      </c>
      <c r="U1411" s="14">
        <v>1084.1566648902128</v>
      </c>
      <c r="V1411">
        <v>3760</v>
      </c>
      <c r="W1411">
        <v>19.800561523437501</v>
      </c>
      <c r="X1411">
        <v>67.590783134729904</v>
      </c>
      <c r="Y1411">
        <v>0.74876320833712195</v>
      </c>
      <c r="Z1411" s="31">
        <v>3.1846431822834398</v>
      </c>
      <c r="AA1411">
        <v>9.5001390743869294</v>
      </c>
      <c r="AB1411">
        <v>0.05</v>
      </c>
      <c r="AC1411">
        <v>476796.90541459899</v>
      </c>
      <c r="AD1411">
        <v>545598.69886592566</v>
      </c>
      <c r="AE1411">
        <v>1</v>
      </c>
      <c r="AF1411">
        <v>21315.177014185811</v>
      </c>
      <c r="AG1411">
        <v>566595.11344702251</v>
      </c>
    </row>
    <row r="1412" spans="2:33" hidden="1" x14ac:dyDescent="0.25">
      <c r="B1412">
        <v>25</v>
      </c>
      <c r="C1412" t="s">
        <v>57</v>
      </c>
      <c r="D1412" t="s">
        <v>28</v>
      </c>
      <c r="E1412" t="s">
        <v>68</v>
      </c>
      <c r="F1412">
        <v>137796</v>
      </c>
      <c r="G1412">
        <v>138085</v>
      </c>
      <c r="H1412">
        <v>12</v>
      </c>
      <c r="I1412">
        <v>1826</v>
      </c>
      <c r="J1412">
        <v>1.3035449179852989E-2</v>
      </c>
      <c r="K1412">
        <v>526799</v>
      </c>
      <c r="L1412">
        <v>15633</v>
      </c>
      <c r="M1412">
        <v>0</v>
      </c>
      <c r="N1412">
        <v>12803</v>
      </c>
      <c r="O1412" s="43">
        <v>7765498.6556875203</v>
      </c>
      <c r="P1412" s="14">
        <f t="shared" ref="P1412:P1475" si="68">O1412-O1411</f>
        <v>734729.09911632072</v>
      </c>
      <c r="Q1412" s="14" t="str">
        <f t="shared" si="66"/>
        <v/>
      </c>
      <c r="R1412" s="14" t="str">
        <f t="shared" si="66"/>
        <v/>
      </c>
      <c r="S1412" s="14" t="str">
        <f t="shared" si="67"/>
        <v/>
      </c>
      <c r="T1412" s="14" t="s">
        <v>72</v>
      </c>
      <c r="U1412" s="14">
        <v>402.37081003084324</v>
      </c>
      <c r="V1412">
        <v>3760</v>
      </c>
      <c r="W1412">
        <v>14.71767578125</v>
      </c>
      <c r="X1412">
        <v>88.428461837245706</v>
      </c>
      <c r="Y1412">
        <v>0.193945274542839</v>
      </c>
      <c r="Z1412" s="31">
        <v>1.43496699461068</v>
      </c>
      <c r="AA1412">
        <v>7.0305936878747701</v>
      </c>
      <c r="AB1412">
        <v>0.05</v>
      </c>
      <c r="AC1412">
        <v>476796.90541459899</v>
      </c>
      <c r="AD1412">
        <v>545598.69886592566</v>
      </c>
      <c r="AE1412">
        <v>1</v>
      </c>
      <c r="AF1412">
        <v>21315.177014185811</v>
      </c>
      <c r="AG1412">
        <v>566595.11344702251</v>
      </c>
    </row>
    <row r="1413" spans="2:33" hidden="1" x14ac:dyDescent="0.25">
      <c r="B1413">
        <v>25</v>
      </c>
      <c r="C1413" t="s">
        <v>57</v>
      </c>
      <c r="D1413" t="s">
        <v>28</v>
      </c>
      <c r="E1413" t="s">
        <v>68</v>
      </c>
      <c r="F1413">
        <v>137825</v>
      </c>
      <c r="G1413">
        <v>138085</v>
      </c>
      <c r="H1413">
        <v>13</v>
      </c>
      <c r="I1413">
        <v>584</v>
      </c>
      <c r="J1413">
        <v>9.4507006553934177E-3</v>
      </c>
      <c r="K1413">
        <v>526799</v>
      </c>
      <c r="L1413">
        <v>15633</v>
      </c>
      <c r="M1413">
        <v>0</v>
      </c>
      <c r="N1413">
        <v>12803</v>
      </c>
      <c r="O1413" s="43">
        <v>8941281.9502089601</v>
      </c>
      <c r="P1413" s="14">
        <f t="shared" si="68"/>
        <v>1175783.2945214398</v>
      </c>
      <c r="Q1413" s="14" t="str">
        <f t="shared" si="66"/>
        <v/>
      </c>
      <c r="R1413" s="14" t="str">
        <f t="shared" si="66"/>
        <v/>
      </c>
      <c r="S1413" s="14" t="str">
        <f t="shared" si="67"/>
        <v/>
      </c>
      <c r="T1413" s="14" t="s">
        <v>72</v>
      </c>
      <c r="U1413" s="14">
        <v>2013.3275591120546</v>
      </c>
      <c r="V1413">
        <v>3760</v>
      </c>
      <c r="W1413">
        <v>18.166650390625001</v>
      </c>
      <c r="X1413">
        <v>64.473176931279994</v>
      </c>
      <c r="Y1413">
        <v>0.74143260142357403</v>
      </c>
      <c r="Z1413" s="31">
        <v>2.7127681173524998</v>
      </c>
      <c r="AA1413">
        <v>6.3995626423204399</v>
      </c>
      <c r="AB1413">
        <v>0.05</v>
      </c>
      <c r="AC1413">
        <v>476796.90541459899</v>
      </c>
      <c r="AD1413">
        <v>545598.69886592566</v>
      </c>
      <c r="AE1413">
        <v>1</v>
      </c>
      <c r="AF1413">
        <v>21315.177014185811</v>
      </c>
      <c r="AG1413">
        <v>566595.11344702251</v>
      </c>
    </row>
    <row r="1414" spans="2:33" hidden="1" x14ac:dyDescent="0.25">
      <c r="B1414">
        <v>25</v>
      </c>
      <c r="C1414" t="s">
        <v>57</v>
      </c>
      <c r="D1414" t="s">
        <v>28</v>
      </c>
      <c r="E1414" t="s">
        <v>68</v>
      </c>
      <c r="F1414">
        <v>138014</v>
      </c>
      <c r="G1414">
        <v>138085</v>
      </c>
      <c r="H1414">
        <v>14</v>
      </c>
      <c r="I1414">
        <v>18</v>
      </c>
      <c r="J1414">
        <v>6.159249737480537E-2</v>
      </c>
      <c r="K1414">
        <v>526799</v>
      </c>
      <c r="L1414">
        <v>15633</v>
      </c>
      <c r="M1414">
        <v>0</v>
      </c>
      <c r="N1414">
        <v>12803</v>
      </c>
      <c r="O1414" s="43">
        <v>9990550.5058814399</v>
      </c>
      <c r="P1414" s="14">
        <f t="shared" si="68"/>
        <v>1049268.5556724798</v>
      </c>
      <c r="Q1414" s="14" t="str">
        <f t="shared" si="66"/>
        <v/>
      </c>
      <c r="R1414" s="14" t="str">
        <f t="shared" si="66"/>
        <v/>
      </c>
      <c r="S1414" s="14" t="str">
        <f t="shared" si="67"/>
        <v/>
      </c>
      <c r="T1414" s="14" t="s">
        <v>72</v>
      </c>
      <c r="U1414" s="14">
        <v>58292.697537359985</v>
      </c>
      <c r="V1414">
        <v>3760</v>
      </c>
      <c r="W1414">
        <v>20.217095947265602</v>
      </c>
      <c r="X1414">
        <v>57.0078292846244</v>
      </c>
      <c r="Y1414">
        <v>1.01929849317945</v>
      </c>
      <c r="Z1414" s="31">
        <v>1.8594905047669199</v>
      </c>
      <c r="AA1414">
        <v>7.9154253112945003</v>
      </c>
      <c r="AB1414">
        <v>0.05</v>
      </c>
      <c r="AC1414">
        <v>476796.90541459899</v>
      </c>
      <c r="AD1414">
        <v>545598.69886592566</v>
      </c>
      <c r="AE1414">
        <v>1</v>
      </c>
      <c r="AF1414">
        <v>21315.177014185811</v>
      </c>
      <c r="AG1414">
        <v>566595.11344702251</v>
      </c>
    </row>
    <row r="1415" spans="2:33" hidden="1" x14ac:dyDescent="0.25">
      <c r="B1415">
        <v>25</v>
      </c>
      <c r="C1415" t="s">
        <v>57</v>
      </c>
      <c r="D1415" t="s">
        <v>28</v>
      </c>
      <c r="E1415" t="s">
        <v>68</v>
      </c>
      <c r="F1415">
        <v>138027</v>
      </c>
      <c r="G1415">
        <v>138085</v>
      </c>
      <c r="H1415">
        <v>15</v>
      </c>
      <c r="I1415">
        <v>40</v>
      </c>
      <c r="J1415">
        <v>4.2365209834522213E-3</v>
      </c>
      <c r="K1415">
        <v>526799</v>
      </c>
      <c r="L1415">
        <v>15633</v>
      </c>
      <c r="M1415">
        <v>0</v>
      </c>
      <c r="N1415">
        <v>12803</v>
      </c>
      <c r="O1415" s="43">
        <v>9990550.5058814399</v>
      </c>
      <c r="P1415" s="14">
        <f t="shared" si="68"/>
        <v>0</v>
      </c>
      <c r="Q1415" s="14" t="str">
        <f t="shared" si="66"/>
        <v/>
      </c>
      <c r="R1415" s="14" t="str">
        <f t="shared" si="66"/>
        <v/>
      </c>
      <c r="S1415" s="14" t="str">
        <f t="shared" si="67"/>
        <v/>
      </c>
      <c r="T1415" s="14" t="s">
        <v>72</v>
      </c>
      <c r="U1415" s="14">
        <v>0</v>
      </c>
      <c r="V1415">
        <v>3760</v>
      </c>
      <c r="W1415">
        <v>19.071252441406301</v>
      </c>
      <c r="X1415">
        <v>59.9540582278362</v>
      </c>
      <c r="Y1415">
        <v>0.88435663753746496</v>
      </c>
      <c r="Z1415" s="31">
        <v>1.9060091906357599</v>
      </c>
      <c r="AA1415">
        <v>11.027781862124099</v>
      </c>
      <c r="AB1415">
        <v>0.05</v>
      </c>
      <c r="AC1415">
        <v>476796.90541459899</v>
      </c>
      <c r="AD1415">
        <v>545598.69886592566</v>
      </c>
      <c r="AE1415">
        <v>1</v>
      </c>
      <c r="AF1415">
        <v>21315.177014185811</v>
      </c>
      <c r="AG1415">
        <v>566595.11344702251</v>
      </c>
    </row>
    <row r="1416" spans="2:33" hidden="1" x14ac:dyDescent="0.25">
      <c r="B1416">
        <v>25</v>
      </c>
      <c r="C1416" t="s">
        <v>57</v>
      </c>
      <c r="D1416" t="s">
        <v>28</v>
      </c>
      <c r="E1416" t="s">
        <v>68</v>
      </c>
      <c r="F1416">
        <v>138029</v>
      </c>
      <c r="G1416">
        <v>138085</v>
      </c>
      <c r="H1416">
        <v>16</v>
      </c>
      <c r="I1416">
        <v>29</v>
      </c>
      <c r="J1416">
        <v>6.5177245899264945E-4</v>
      </c>
      <c r="K1416">
        <v>526799</v>
      </c>
      <c r="L1416">
        <v>15633</v>
      </c>
      <c r="M1416">
        <v>0</v>
      </c>
      <c r="N1416">
        <v>12803</v>
      </c>
      <c r="O1416" s="43">
        <v>11478050.19702</v>
      </c>
      <c r="P1416" s="14">
        <f t="shared" si="68"/>
        <v>1487499.69113856</v>
      </c>
      <c r="Q1416" s="14" t="str">
        <f t="shared" si="66"/>
        <v/>
      </c>
      <c r="R1416" s="14" t="str">
        <f t="shared" si="66"/>
        <v/>
      </c>
      <c r="S1416" s="14" t="str">
        <f t="shared" si="67"/>
        <v/>
      </c>
      <c r="T1416" s="14" t="s">
        <v>72</v>
      </c>
      <c r="U1416" s="14">
        <v>51293.092797881443</v>
      </c>
      <c r="V1416">
        <v>3760</v>
      </c>
      <c r="W1416">
        <v>19.223931884765602</v>
      </c>
      <c r="X1416">
        <v>53.570986325687301</v>
      </c>
      <c r="Y1416">
        <v>1.0351798442237801</v>
      </c>
      <c r="Z1416" s="31">
        <v>1.95461960594061</v>
      </c>
      <c r="AA1416">
        <v>13.5508003993231</v>
      </c>
      <c r="AB1416">
        <v>0.05</v>
      </c>
      <c r="AC1416">
        <v>476796.90541459899</v>
      </c>
      <c r="AD1416">
        <v>545598.69886592566</v>
      </c>
      <c r="AE1416">
        <v>1</v>
      </c>
      <c r="AF1416">
        <v>21315.177014185811</v>
      </c>
      <c r="AG1416">
        <v>566595.11344702251</v>
      </c>
    </row>
    <row r="1417" spans="2:33" hidden="1" x14ac:dyDescent="0.25">
      <c r="B1417">
        <v>25</v>
      </c>
      <c r="C1417" t="s">
        <v>57</v>
      </c>
      <c r="D1417" t="s">
        <v>28</v>
      </c>
      <c r="E1417" t="s">
        <v>68</v>
      </c>
      <c r="F1417">
        <v>138029</v>
      </c>
      <c r="G1417">
        <v>138085</v>
      </c>
      <c r="H1417">
        <v>17</v>
      </c>
      <c r="I1417">
        <v>189</v>
      </c>
      <c r="J1417">
        <v>0</v>
      </c>
      <c r="K1417">
        <v>526799</v>
      </c>
      <c r="L1417">
        <v>15633</v>
      </c>
      <c r="M1417">
        <v>0</v>
      </c>
      <c r="N1417">
        <v>12803</v>
      </c>
      <c r="O1417" s="43">
        <v>12538982.899412639</v>
      </c>
      <c r="P1417" s="14">
        <f t="shared" si="68"/>
        <v>1060932.7023926396</v>
      </c>
      <c r="Q1417" s="14" t="str">
        <f t="shared" si="66"/>
        <v/>
      </c>
      <c r="R1417" s="14" t="str">
        <f t="shared" si="66"/>
        <v/>
      </c>
      <c r="S1417" s="14" t="str">
        <f t="shared" si="67"/>
        <v/>
      </c>
      <c r="T1417" s="14" t="s">
        <v>72</v>
      </c>
      <c r="U1417" s="14">
        <v>5613.4005417599974</v>
      </c>
      <c r="V1417">
        <v>3760</v>
      </c>
      <c r="W1417">
        <v>17.919610595703102</v>
      </c>
      <c r="X1417">
        <v>75.126718218681503</v>
      </c>
      <c r="Y1417">
        <v>0.51105222342885404</v>
      </c>
      <c r="Z1417" s="31">
        <v>5.0422673707448897</v>
      </c>
      <c r="AA1417">
        <v>34.899397682528701</v>
      </c>
      <c r="AB1417">
        <v>0.05</v>
      </c>
      <c r="AC1417">
        <v>476796.90541459899</v>
      </c>
      <c r="AD1417">
        <v>545598.69886592566</v>
      </c>
      <c r="AE1417">
        <v>1</v>
      </c>
      <c r="AF1417">
        <v>21315.177014185811</v>
      </c>
      <c r="AG1417">
        <v>566595.11344702251</v>
      </c>
    </row>
    <row r="1418" spans="2:33" hidden="1" x14ac:dyDescent="0.25">
      <c r="B1418">
        <v>25</v>
      </c>
      <c r="C1418" t="s">
        <v>57</v>
      </c>
      <c r="D1418" t="s">
        <v>28</v>
      </c>
      <c r="E1418" t="s">
        <v>68</v>
      </c>
      <c r="F1418">
        <v>138029</v>
      </c>
      <c r="G1418">
        <v>138085</v>
      </c>
      <c r="H1418">
        <v>18</v>
      </c>
      <c r="I1418">
        <v>13</v>
      </c>
      <c r="J1418">
        <v>0</v>
      </c>
      <c r="K1418">
        <v>526799</v>
      </c>
      <c r="L1418">
        <v>15633</v>
      </c>
      <c r="M1418">
        <v>0</v>
      </c>
      <c r="N1418">
        <v>12803</v>
      </c>
      <c r="O1418" s="43">
        <v>13477441.48907904</v>
      </c>
      <c r="P1418" s="14">
        <f t="shared" si="68"/>
        <v>938458.5896664001</v>
      </c>
      <c r="Q1418" s="14" t="str">
        <f t="shared" si="66"/>
        <v/>
      </c>
      <c r="R1418" s="14" t="str">
        <f t="shared" si="66"/>
        <v/>
      </c>
      <c r="S1418" s="14" t="str">
        <f t="shared" si="67"/>
        <v/>
      </c>
      <c r="T1418" s="14" t="s">
        <v>72</v>
      </c>
      <c r="U1418" s="14">
        <v>72189.122282030774</v>
      </c>
      <c r="V1418">
        <v>3760</v>
      </c>
      <c r="W1418">
        <v>16.643701171875001</v>
      </c>
      <c r="X1418">
        <v>72.545012431673996</v>
      </c>
      <c r="Y1418">
        <v>0.52048708200108995</v>
      </c>
      <c r="Z1418" s="31">
        <v>3.3216037428717802</v>
      </c>
      <c r="AA1418">
        <v>12.0963218232333</v>
      </c>
      <c r="AB1418">
        <v>0.05</v>
      </c>
      <c r="AC1418">
        <v>476796.90541459899</v>
      </c>
      <c r="AD1418">
        <v>545598.69886592566</v>
      </c>
      <c r="AE1418">
        <v>1</v>
      </c>
      <c r="AF1418">
        <v>21315.177014185811</v>
      </c>
      <c r="AG1418">
        <v>566595.11344702251</v>
      </c>
    </row>
    <row r="1419" spans="2:33" hidden="1" x14ac:dyDescent="0.25">
      <c r="B1419">
        <v>25</v>
      </c>
      <c r="C1419" t="s">
        <v>57</v>
      </c>
      <c r="D1419" t="s">
        <v>28</v>
      </c>
      <c r="E1419" t="s">
        <v>68</v>
      </c>
      <c r="F1419">
        <v>138029</v>
      </c>
      <c r="G1419">
        <v>138085</v>
      </c>
      <c r="H1419">
        <v>19</v>
      </c>
      <c r="I1419" s="5">
        <v>2</v>
      </c>
      <c r="J1419">
        <v>0</v>
      </c>
      <c r="K1419">
        <v>526799</v>
      </c>
      <c r="L1419">
        <v>15633</v>
      </c>
      <c r="M1419">
        <v>0</v>
      </c>
      <c r="N1419">
        <v>12803</v>
      </c>
      <c r="O1419" s="43">
        <v>14128868.005575839</v>
      </c>
      <c r="P1419" s="14">
        <f t="shared" si="68"/>
        <v>651426.51649679989</v>
      </c>
      <c r="Q1419" s="14" t="str">
        <f t="shared" si="66"/>
        <v/>
      </c>
      <c r="R1419" s="14" t="str">
        <f t="shared" si="66"/>
        <v/>
      </c>
      <c r="S1419" s="14" t="str">
        <f t="shared" si="67"/>
        <v/>
      </c>
      <c r="T1419" s="14" t="s">
        <v>72</v>
      </c>
      <c r="U1419" s="14">
        <v>325713.25824839994</v>
      </c>
      <c r="V1419">
        <v>3760</v>
      </c>
      <c r="W1419">
        <v>13.9099365234375</v>
      </c>
      <c r="X1419">
        <v>92.481092513736499</v>
      </c>
      <c r="Y1419">
        <v>0.119612923747491</v>
      </c>
      <c r="Z1419" s="31">
        <v>4.7101070947687402</v>
      </c>
      <c r="AA1419">
        <v>25.063924525250499</v>
      </c>
      <c r="AB1419">
        <v>0.05</v>
      </c>
      <c r="AC1419">
        <v>476796.90541459899</v>
      </c>
      <c r="AD1419">
        <v>545598.69886592566</v>
      </c>
      <c r="AE1419">
        <v>1</v>
      </c>
      <c r="AF1419">
        <v>21315.177014185811</v>
      </c>
      <c r="AG1419">
        <v>566595.11344702251</v>
      </c>
    </row>
    <row r="1420" spans="2:33" hidden="1" x14ac:dyDescent="0.25">
      <c r="B1420">
        <v>25</v>
      </c>
      <c r="C1420" t="s">
        <v>57</v>
      </c>
      <c r="D1420" t="s">
        <v>28</v>
      </c>
      <c r="E1420" t="s">
        <v>68</v>
      </c>
      <c r="F1420">
        <v>138029</v>
      </c>
      <c r="G1420">
        <v>138085</v>
      </c>
      <c r="H1420">
        <v>20</v>
      </c>
      <c r="I1420" s="5">
        <v>0</v>
      </c>
      <c r="J1420">
        <v>0</v>
      </c>
      <c r="K1420">
        <v>526799</v>
      </c>
      <c r="L1420">
        <v>15633</v>
      </c>
      <c r="M1420">
        <v>0</v>
      </c>
      <c r="N1420">
        <v>12803</v>
      </c>
      <c r="O1420" s="43">
        <v>15396028.26898752</v>
      </c>
      <c r="P1420" s="14">
        <f t="shared" si="68"/>
        <v>1267160.2634116802</v>
      </c>
      <c r="Q1420" s="14" t="str">
        <f t="shared" si="66"/>
        <v/>
      </c>
      <c r="R1420" s="14" t="str">
        <f t="shared" si="66"/>
        <v/>
      </c>
      <c r="S1420" s="14" t="str">
        <f t="shared" si="67"/>
        <v/>
      </c>
      <c r="T1420" s="14" t="s">
        <v>72</v>
      </c>
      <c r="U1420" s="14">
        <v>0</v>
      </c>
      <c r="V1420">
        <v>3760</v>
      </c>
      <c r="W1420">
        <v>15.3650756835937</v>
      </c>
      <c r="X1420">
        <v>76.679113838917203</v>
      </c>
      <c r="Y1420">
        <v>0.40750377349252198</v>
      </c>
      <c r="Z1420" s="31">
        <v>2.7788026138402899</v>
      </c>
      <c r="AA1420">
        <v>15.8481482401103</v>
      </c>
      <c r="AB1420">
        <v>0.05</v>
      </c>
      <c r="AC1420">
        <v>476796.90541459899</v>
      </c>
      <c r="AD1420">
        <v>545598.69886592566</v>
      </c>
      <c r="AE1420">
        <v>1</v>
      </c>
      <c r="AF1420">
        <v>21315.177014185811</v>
      </c>
      <c r="AG1420">
        <v>566595.11344702251</v>
      </c>
    </row>
    <row r="1421" spans="2:33" hidden="1" x14ac:dyDescent="0.25">
      <c r="B1421">
        <v>25</v>
      </c>
      <c r="C1421" t="s">
        <v>57</v>
      </c>
      <c r="D1421" t="s">
        <v>28</v>
      </c>
      <c r="E1421" t="s">
        <v>68</v>
      </c>
      <c r="F1421">
        <v>138031</v>
      </c>
      <c r="G1421">
        <v>138085</v>
      </c>
      <c r="H1421">
        <v>21</v>
      </c>
      <c r="I1421" s="5">
        <v>0</v>
      </c>
      <c r="J1421">
        <v>6.5177245899264945E-4</v>
      </c>
      <c r="K1421">
        <v>526799</v>
      </c>
      <c r="L1421">
        <v>15633</v>
      </c>
      <c r="M1421">
        <v>0</v>
      </c>
      <c r="N1421">
        <v>12803</v>
      </c>
      <c r="O1421" s="43">
        <v>16363906.415999999</v>
      </c>
      <c r="P1421" s="14">
        <f t="shared" si="68"/>
        <v>967878.1470124796</v>
      </c>
      <c r="Q1421" s="14" t="str">
        <f t="shared" si="66"/>
        <v/>
      </c>
      <c r="R1421" s="14" t="str">
        <f t="shared" si="66"/>
        <v/>
      </c>
      <c r="S1421" s="14" t="str">
        <f t="shared" si="67"/>
        <v/>
      </c>
      <c r="T1421" s="14" t="s">
        <v>72</v>
      </c>
      <c r="U1421" s="14">
        <v>0</v>
      </c>
      <c r="V1421">
        <v>3760</v>
      </c>
      <c r="W1421">
        <v>21.751306152343702</v>
      </c>
      <c r="X1421">
        <v>48.801791821055701</v>
      </c>
      <c r="Y1421">
        <v>1.3337346257598399</v>
      </c>
      <c r="Z1421" s="31">
        <v>2.32325207242951</v>
      </c>
      <c r="AA1421">
        <v>10.488006765631701</v>
      </c>
      <c r="AB1421">
        <v>0.05</v>
      </c>
      <c r="AC1421">
        <v>476796.90541459899</v>
      </c>
      <c r="AD1421">
        <v>545598.69886592566</v>
      </c>
      <c r="AE1421">
        <v>1</v>
      </c>
      <c r="AF1421">
        <v>21315.177014185811</v>
      </c>
      <c r="AG1421">
        <v>566595.11344702251</v>
      </c>
    </row>
    <row r="1422" spans="2:33" hidden="1" x14ac:dyDescent="0.25">
      <c r="B1422">
        <v>25</v>
      </c>
      <c r="C1422" t="s">
        <v>57</v>
      </c>
      <c r="D1422" t="s">
        <v>28</v>
      </c>
      <c r="E1422" t="s">
        <v>68</v>
      </c>
      <c r="F1422">
        <v>138031</v>
      </c>
      <c r="G1422">
        <v>138085</v>
      </c>
      <c r="H1422">
        <v>22</v>
      </c>
      <c r="I1422" s="5">
        <v>0</v>
      </c>
      <c r="J1422">
        <v>0</v>
      </c>
      <c r="K1422">
        <v>526799</v>
      </c>
      <c r="L1422">
        <v>15633</v>
      </c>
      <c r="M1422">
        <v>0</v>
      </c>
      <c r="N1422">
        <v>12803</v>
      </c>
      <c r="O1422" s="43">
        <v>17340499.773590401</v>
      </c>
      <c r="P1422" s="14">
        <f t="shared" si="68"/>
        <v>976593.35759040155</v>
      </c>
      <c r="Q1422" s="14" t="str">
        <f t="shared" si="66"/>
        <v/>
      </c>
      <c r="R1422" s="14" t="str">
        <f t="shared" si="66"/>
        <v/>
      </c>
      <c r="S1422" s="14" t="str">
        <f t="shared" si="67"/>
        <v/>
      </c>
      <c r="T1422" s="14" t="s">
        <v>72</v>
      </c>
      <c r="U1422" s="14">
        <v>0</v>
      </c>
      <c r="V1422">
        <v>3760</v>
      </c>
      <c r="W1422">
        <v>26.472802734375001</v>
      </c>
      <c r="X1422">
        <v>27.9235562196892</v>
      </c>
      <c r="Y1422">
        <v>2.4919541233486902</v>
      </c>
      <c r="Z1422" s="31">
        <v>4.5199397742903802</v>
      </c>
      <c r="AA1422">
        <v>2.9685957505440399</v>
      </c>
      <c r="AB1422">
        <v>0.05</v>
      </c>
      <c r="AC1422">
        <v>476796.90541459899</v>
      </c>
      <c r="AD1422">
        <v>545598.69886592566</v>
      </c>
      <c r="AE1422">
        <v>1</v>
      </c>
      <c r="AF1422">
        <v>21315.177014185811</v>
      </c>
      <c r="AG1422">
        <v>566595.11344702251</v>
      </c>
    </row>
    <row r="1423" spans="2:33" hidden="1" x14ac:dyDescent="0.25">
      <c r="B1423">
        <v>25</v>
      </c>
      <c r="C1423" t="s">
        <v>57</v>
      </c>
      <c r="D1423" t="s">
        <v>28</v>
      </c>
      <c r="E1423" t="s">
        <v>68</v>
      </c>
      <c r="F1423">
        <v>138031</v>
      </c>
      <c r="G1423">
        <v>138085</v>
      </c>
      <c r="H1423">
        <v>23</v>
      </c>
      <c r="I1423" s="5">
        <v>0</v>
      </c>
      <c r="J1423">
        <v>0</v>
      </c>
      <c r="K1423">
        <v>526799</v>
      </c>
      <c r="L1423">
        <v>15633</v>
      </c>
      <c r="M1423">
        <v>0</v>
      </c>
      <c r="N1423">
        <v>12803</v>
      </c>
      <c r="O1423" s="43">
        <v>17745395.457461759</v>
      </c>
      <c r="P1423" s="14">
        <f t="shared" si="68"/>
        <v>404895.68387135863</v>
      </c>
      <c r="Q1423" s="14" t="str">
        <f t="shared" si="66"/>
        <v/>
      </c>
      <c r="R1423" s="14" t="str">
        <f t="shared" si="66"/>
        <v/>
      </c>
      <c r="S1423" s="14" t="str">
        <f t="shared" si="67"/>
        <v/>
      </c>
      <c r="T1423" s="14" t="s">
        <v>72</v>
      </c>
      <c r="U1423" s="14">
        <v>0</v>
      </c>
      <c r="V1423">
        <v>3760</v>
      </c>
      <c r="W1423">
        <v>28.252465820312501</v>
      </c>
      <c r="X1423">
        <v>53.036672820979597</v>
      </c>
      <c r="Y1423">
        <v>1.8005982822275099</v>
      </c>
      <c r="Z1423" s="31">
        <v>1.13298668118331</v>
      </c>
      <c r="AA1423">
        <v>4.5708481647167503</v>
      </c>
      <c r="AB1423">
        <v>0.05</v>
      </c>
      <c r="AC1423">
        <v>476796.90541459899</v>
      </c>
      <c r="AD1423">
        <v>545598.69886592566</v>
      </c>
      <c r="AE1423">
        <v>1</v>
      </c>
      <c r="AF1423">
        <v>21315.177014185811</v>
      </c>
      <c r="AG1423">
        <v>566595.11344702251</v>
      </c>
    </row>
    <row r="1424" spans="2:33" hidden="1" x14ac:dyDescent="0.25">
      <c r="B1424">
        <v>25</v>
      </c>
      <c r="C1424" t="s">
        <v>57</v>
      </c>
      <c r="D1424" t="s">
        <v>28</v>
      </c>
      <c r="E1424" t="s">
        <v>68</v>
      </c>
      <c r="F1424">
        <v>138070</v>
      </c>
      <c r="G1424">
        <v>138085</v>
      </c>
      <c r="H1424">
        <v>24</v>
      </c>
      <c r="I1424" s="5">
        <v>2</v>
      </c>
      <c r="J1424">
        <v>1.270956295035666E-2</v>
      </c>
      <c r="K1424">
        <v>526799</v>
      </c>
      <c r="L1424">
        <v>15633</v>
      </c>
      <c r="M1424">
        <v>0</v>
      </c>
      <c r="N1424">
        <v>12803</v>
      </c>
      <c r="O1424" s="43">
        <v>18530271.347274721</v>
      </c>
      <c r="P1424" s="14">
        <f t="shared" si="68"/>
        <v>784875.88981296122</v>
      </c>
      <c r="Q1424" s="14" t="str">
        <f t="shared" si="66"/>
        <v/>
      </c>
      <c r="R1424" s="14" t="str">
        <f t="shared" si="66"/>
        <v/>
      </c>
      <c r="S1424" s="14" t="str">
        <f t="shared" si="67"/>
        <v/>
      </c>
      <c r="T1424" s="14" t="s">
        <v>72</v>
      </c>
      <c r="U1424" s="14">
        <v>392437.94490647875</v>
      </c>
      <c r="V1424">
        <v>3760</v>
      </c>
      <c r="W1424">
        <v>23.986077880859401</v>
      </c>
      <c r="X1424">
        <v>59.298260716817801</v>
      </c>
      <c r="Y1424">
        <v>1.2133859563813101</v>
      </c>
      <c r="Z1424" s="31">
        <v>1.3448467748040001</v>
      </c>
      <c r="AA1424">
        <v>6.2815958084750401</v>
      </c>
      <c r="AB1424">
        <v>0.05</v>
      </c>
      <c r="AC1424">
        <v>476796.90541459899</v>
      </c>
      <c r="AD1424">
        <v>545598.69886592566</v>
      </c>
      <c r="AE1424">
        <v>1</v>
      </c>
      <c r="AF1424">
        <v>21315.177014185811</v>
      </c>
      <c r="AG1424">
        <v>566595.11344702251</v>
      </c>
    </row>
    <row r="1425" spans="2:33" hidden="1" x14ac:dyDescent="0.25">
      <c r="B1425">
        <v>25</v>
      </c>
      <c r="C1425" t="s">
        <v>57</v>
      </c>
      <c r="D1425" t="s">
        <v>28</v>
      </c>
      <c r="E1425" t="s">
        <v>68</v>
      </c>
      <c r="F1425">
        <v>138085</v>
      </c>
      <c r="G1425">
        <v>138085</v>
      </c>
      <c r="H1425">
        <v>25</v>
      </c>
      <c r="I1425" s="5">
        <v>0</v>
      </c>
      <c r="J1425">
        <v>4.8882934424448708E-3</v>
      </c>
      <c r="K1425">
        <v>526799</v>
      </c>
      <c r="L1425">
        <v>15633</v>
      </c>
      <c r="M1425">
        <v>0</v>
      </c>
      <c r="N1425">
        <v>12803</v>
      </c>
      <c r="O1425" s="43">
        <v>18602828.679457441</v>
      </c>
      <c r="P1425" s="14">
        <f t="shared" si="68"/>
        <v>72557.332182720304</v>
      </c>
      <c r="Q1425" s="14" t="str">
        <f t="shared" si="66"/>
        <v/>
      </c>
      <c r="R1425" s="14" t="str">
        <f t="shared" si="66"/>
        <v/>
      </c>
      <c r="S1425" s="14" t="str">
        <f t="shared" si="67"/>
        <v/>
      </c>
      <c r="T1425" s="14" t="s">
        <v>72</v>
      </c>
      <c r="U1425" s="14">
        <v>0</v>
      </c>
      <c r="V1425">
        <v>3760</v>
      </c>
      <c r="W1425">
        <v>23.566552734375001</v>
      </c>
      <c r="X1425">
        <v>61.792975013330199</v>
      </c>
      <c r="Y1425">
        <v>1.1106528736661101</v>
      </c>
      <c r="Z1425" s="31">
        <v>0.99789923048934204</v>
      </c>
      <c r="AA1425">
        <v>6.6242444755853702</v>
      </c>
      <c r="AB1425">
        <v>0.05</v>
      </c>
      <c r="AC1425">
        <v>476796.90541459899</v>
      </c>
      <c r="AD1425">
        <v>545598.69886592566</v>
      </c>
      <c r="AE1425">
        <v>1</v>
      </c>
      <c r="AF1425">
        <v>21315.177014185811</v>
      </c>
      <c r="AG1425">
        <v>566595.11344702251</v>
      </c>
    </row>
    <row r="1426" spans="2:33" hidden="1" x14ac:dyDescent="0.25">
      <c r="B1426">
        <v>25</v>
      </c>
      <c r="C1426" t="s">
        <v>57</v>
      </c>
      <c r="D1426" t="s">
        <v>28</v>
      </c>
      <c r="E1426" t="s">
        <v>68</v>
      </c>
      <c r="F1426">
        <v>138085</v>
      </c>
      <c r="G1426">
        <v>138085</v>
      </c>
      <c r="H1426">
        <v>26</v>
      </c>
      <c r="I1426" s="5">
        <v>0</v>
      </c>
      <c r="J1426">
        <v>0</v>
      </c>
      <c r="K1426">
        <v>526799</v>
      </c>
      <c r="L1426">
        <v>15633</v>
      </c>
      <c r="M1426">
        <v>0</v>
      </c>
      <c r="N1426">
        <v>12803</v>
      </c>
      <c r="O1426" s="43">
        <v>19118656.772550721</v>
      </c>
      <c r="P1426" s="14">
        <f t="shared" si="68"/>
        <v>515828.09309327975</v>
      </c>
      <c r="Q1426" s="14" t="str">
        <f t="shared" si="66"/>
        <v/>
      </c>
      <c r="R1426" s="14" t="str">
        <f t="shared" si="66"/>
        <v/>
      </c>
      <c r="S1426" s="14" t="str">
        <f t="shared" si="67"/>
        <v/>
      </c>
      <c r="T1426" s="14" t="s">
        <v>72</v>
      </c>
      <c r="U1426" s="14">
        <v>0</v>
      </c>
      <c r="V1426">
        <v>3760</v>
      </c>
      <c r="W1426">
        <v>24.141442871093702</v>
      </c>
      <c r="X1426">
        <v>57.772325526722199</v>
      </c>
      <c r="Y1426">
        <v>1.2706758489788901</v>
      </c>
      <c r="Z1426" s="31">
        <v>0.99827020622986495</v>
      </c>
      <c r="AA1426">
        <v>8.4043032424857405</v>
      </c>
      <c r="AB1426">
        <v>0.05</v>
      </c>
      <c r="AC1426">
        <v>476796.90541459899</v>
      </c>
      <c r="AD1426">
        <v>545598.69886592566</v>
      </c>
      <c r="AE1426">
        <v>1</v>
      </c>
      <c r="AF1426">
        <v>21315.177014185811</v>
      </c>
      <c r="AG1426">
        <v>566595.11344702251</v>
      </c>
    </row>
    <row r="1427" spans="2:33" hidden="1" x14ac:dyDescent="0.25">
      <c r="B1427">
        <v>25</v>
      </c>
      <c r="C1427" t="s">
        <v>57</v>
      </c>
      <c r="D1427" t="s">
        <v>28</v>
      </c>
      <c r="E1427" t="s">
        <v>68</v>
      </c>
      <c r="F1427">
        <v>138085</v>
      </c>
      <c r="G1427">
        <v>138085</v>
      </c>
      <c r="H1427">
        <v>27</v>
      </c>
      <c r="I1427" s="5">
        <v>39</v>
      </c>
      <c r="J1427">
        <v>0</v>
      </c>
      <c r="K1427">
        <v>526799</v>
      </c>
      <c r="L1427">
        <v>15633</v>
      </c>
      <c r="M1427">
        <v>0</v>
      </c>
      <c r="N1427">
        <v>12803</v>
      </c>
      <c r="O1427" s="43">
        <v>19602827.000539199</v>
      </c>
      <c r="P1427" s="14">
        <f t="shared" si="68"/>
        <v>484170.2279884778</v>
      </c>
      <c r="Q1427" s="14" t="str">
        <f t="shared" si="66"/>
        <v/>
      </c>
      <c r="R1427" s="14" t="str">
        <f t="shared" si="66"/>
        <v/>
      </c>
      <c r="S1427" s="14" t="str">
        <f t="shared" si="67"/>
        <v/>
      </c>
      <c r="T1427" s="14" t="s">
        <v>72</v>
      </c>
      <c r="U1427" s="14">
        <v>12414.621230473886</v>
      </c>
      <c r="V1427">
        <v>3760</v>
      </c>
      <c r="W1427">
        <v>21.299035644531301</v>
      </c>
      <c r="X1427">
        <v>59.133344404238798</v>
      </c>
      <c r="Y1427">
        <v>1.03543942475668</v>
      </c>
      <c r="Z1427" s="31">
        <v>1.21482276361743</v>
      </c>
      <c r="AA1427">
        <v>9.9615670261066498</v>
      </c>
      <c r="AB1427">
        <v>0.05</v>
      </c>
      <c r="AC1427">
        <v>476796.90541459899</v>
      </c>
      <c r="AD1427">
        <v>545598.69886592566</v>
      </c>
      <c r="AE1427">
        <v>1</v>
      </c>
      <c r="AF1427">
        <v>21315.177014185811</v>
      </c>
      <c r="AG1427">
        <v>566595.11344702251</v>
      </c>
    </row>
    <row r="1428" spans="2:33" hidden="1" x14ac:dyDescent="0.25">
      <c r="B1428">
        <v>25</v>
      </c>
      <c r="C1428" t="s">
        <v>57</v>
      </c>
      <c r="D1428" t="s">
        <v>28</v>
      </c>
      <c r="E1428" t="s">
        <v>68</v>
      </c>
      <c r="F1428">
        <v>138085</v>
      </c>
      <c r="G1428">
        <v>138085</v>
      </c>
      <c r="H1428">
        <v>28</v>
      </c>
      <c r="I1428" s="2">
        <v>15</v>
      </c>
      <c r="J1428">
        <v>0</v>
      </c>
      <c r="K1428">
        <v>526799</v>
      </c>
      <c r="L1428">
        <v>15633</v>
      </c>
      <c r="M1428">
        <v>0</v>
      </c>
      <c r="N1428">
        <v>12803</v>
      </c>
      <c r="O1428" s="43">
        <v>20015077.287664801</v>
      </c>
      <c r="P1428" s="14">
        <f t="shared" si="68"/>
        <v>412250.28712560236</v>
      </c>
      <c r="Q1428" s="14" t="str">
        <f t="shared" si="66"/>
        <v/>
      </c>
      <c r="R1428" s="14" t="str">
        <f t="shared" si="66"/>
        <v/>
      </c>
      <c r="S1428" s="14" t="str">
        <f t="shared" si="67"/>
        <v/>
      </c>
      <c r="T1428" s="14" t="s">
        <v>72</v>
      </c>
      <c r="U1428" s="14">
        <v>27483.352475039908</v>
      </c>
      <c r="V1428">
        <v>3760</v>
      </c>
      <c r="W1428">
        <v>17.423120117187501</v>
      </c>
      <c r="X1428">
        <v>68.954827751520995</v>
      </c>
      <c r="Y1428">
        <v>0.61829558599402901</v>
      </c>
      <c r="Z1428" s="31">
        <v>1.8341396814975099</v>
      </c>
      <c r="AA1428">
        <v>6.4055730187420599</v>
      </c>
      <c r="AB1428">
        <v>0.05</v>
      </c>
      <c r="AC1428">
        <v>476796.90541459899</v>
      </c>
      <c r="AD1428">
        <v>545598.69886592566</v>
      </c>
      <c r="AE1428">
        <v>1</v>
      </c>
      <c r="AF1428">
        <v>21315.177014185811</v>
      </c>
      <c r="AG1428">
        <v>566595.11344702251</v>
      </c>
    </row>
    <row r="1429" spans="2:33" hidden="1" x14ac:dyDescent="0.25">
      <c r="B1429">
        <v>25</v>
      </c>
      <c r="C1429" t="s">
        <v>57</v>
      </c>
      <c r="D1429" t="s">
        <v>28</v>
      </c>
      <c r="E1429" t="s">
        <v>68</v>
      </c>
      <c r="F1429">
        <v>138085</v>
      </c>
      <c r="G1429">
        <v>138085</v>
      </c>
      <c r="H1429">
        <v>29</v>
      </c>
      <c r="I1429" s="5">
        <v>0</v>
      </c>
      <c r="J1429">
        <v>0</v>
      </c>
      <c r="K1429">
        <v>526799</v>
      </c>
      <c r="L1429">
        <v>15633</v>
      </c>
      <c r="M1429">
        <v>0</v>
      </c>
      <c r="N1429">
        <v>12803</v>
      </c>
      <c r="O1429" s="43">
        <v>19705516.807109758</v>
      </c>
      <c r="P1429" s="14">
        <f t="shared" si="68"/>
        <v>-309560.48055504262</v>
      </c>
      <c r="Q1429" s="14">
        <f t="shared" si="66"/>
        <v>-309560.48055504262</v>
      </c>
      <c r="R1429" s="14">
        <f t="shared" si="66"/>
        <v>-309560.48055504262</v>
      </c>
      <c r="S1429" s="14">
        <f t="shared" si="67"/>
        <v>95827691121.468918</v>
      </c>
      <c r="T1429" s="14">
        <v>95827691121.468918</v>
      </c>
      <c r="U1429" s="14">
        <v>0</v>
      </c>
      <c r="V1429">
        <v>3760</v>
      </c>
      <c r="W1429">
        <v>20.402185058593702</v>
      </c>
      <c r="X1429">
        <v>66.387350928480899</v>
      </c>
      <c r="Y1429">
        <v>0.80595605430463102</v>
      </c>
      <c r="Z1429" s="31">
        <v>1.8677806561763399</v>
      </c>
      <c r="AA1429">
        <v>1.33125782859234</v>
      </c>
      <c r="AB1429">
        <v>0.05</v>
      </c>
      <c r="AC1429">
        <v>476796.90541459899</v>
      </c>
      <c r="AD1429">
        <v>545598.69886592566</v>
      </c>
      <c r="AE1429">
        <v>1</v>
      </c>
      <c r="AF1429">
        <v>21315.177014185811</v>
      </c>
      <c r="AG1429">
        <v>566595.11344702251</v>
      </c>
    </row>
    <row r="1430" spans="2:33" hidden="1" x14ac:dyDescent="0.25">
      <c r="B1430">
        <v>25</v>
      </c>
      <c r="C1430" t="s">
        <v>57</v>
      </c>
      <c r="D1430" t="s">
        <v>28</v>
      </c>
      <c r="E1430" t="s">
        <v>68</v>
      </c>
      <c r="F1430">
        <v>138085</v>
      </c>
      <c r="G1430">
        <v>138085</v>
      </c>
      <c r="H1430">
        <v>30</v>
      </c>
      <c r="I1430" s="5">
        <v>0</v>
      </c>
      <c r="J1430">
        <v>0</v>
      </c>
      <c r="K1430">
        <v>526799</v>
      </c>
      <c r="L1430">
        <v>15633</v>
      </c>
      <c r="M1430">
        <v>0</v>
      </c>
      <c r="N1430">
        <v>12803</v>
      </c>
      <c r="O1430" s="43">
        <v>19911326.688000001</v>
      </c>
      <c r="P1430" s="14">
        <f t="shared" si="68"/>
        <v>205809.88089024276</v>
      </c>
      <c r="Q1430" s="14" t="str">
        <f t="shared" si="66"/>
        <v/>
      </c>
      <c r="R1430" s="14" t="str">
        <f t="shared" si="66"/>
        <v/>
      </c>
      <c r="S1430" s="14" t="str">
        <f t="shared" si="67"/>
        <v/>
      </c>
      <c r="T1430" s="14" t="s">
        <v>72</v>
      </c>
      <c r="U1430" s="14">
        <v>0</v>
      </c>
      <c r="V1430">
        <v>3760</v>
      </c>
      <c r="W1430">
        <v>22.936700439453102</v>
      </c>
      <c r="X1430">
        <v>60.832763218431403</v>
      </c>
      <c r="Y1430">
        <v>1.0961938570615</v>
      </c>
      <c r="Z1430" s="31">
        <v>1.3972055197931701</v>
      </c>
      <c r="AA1430">
        <v>2.1568239366999302</v>
      </c>
      <c r="AB1430">
        <v>0.05</v>
      </c>
      <c r="AC1430">
        <v>476796.90541459899</v>
      </c>
      <c r="AD1430">
        <v>545598.69886592566</v>
      </c>
      <c r="AE1430">
        <v>1</v>
      </c>
      <c r="AF1430">
        <v>21315.177014185811</v>
      </c>
      <c r="AG1430">
        <v>566595.11344702251</v>
      </c>
    </row>
    <row r="1431" spans="2:33" hidden="1" x14ac:dyDescent="0.25">
      <c r="B1431">
        <v>25</v>
      </c>
      <c r="C1431" t="s">
        <v>57</v>
      </c>
      <c r="D1431" t="s">
        <v>28</v>
      </c>
      <c r="E1431" t="s">
        <v>68</v>
      </c>
      <c r="F1431">
        <v>138085</v>
      </c>
      <c r="G1431">
        <v>138085</v>
      </c>
      <c r="H1431">
        <v>31</v>
      </c>
      <c r="I1431" s="5">
        <v>0</v>
      </c>
      <c r="J1431">
        <v>0</v>
      </c>
      <c r="K1431">
        <v>526799</v>
      </c>
      <c r="L1431">
        <v>15633</v>
      </c>
      <c r="M1431">
        <v>0</v>
      </c>
      <c r="N1431">
        <v>12803</v>
      </c>
      <c r="O1431" s="43">
        <v>20140192.511999998</v>
      </c>
      <c r="P1431" s="14">
        <f t="shared" si="68"/>
        <v>228865.82399999723</v>
      </c>
      <c r="Q1431" s="14" t="str">
        <f t="shared" si="66"/>
        <v/>
      </c>
      <c r="R1431" s="14" t="str">
        <f t="shared" si="66"/>
        <v/>
      </c>
      <c r="S1431" s="14" t="str">
        <f t="shared" si="67"/>
        <v/>
      </c>
      <c r="T1431" s="14" t="s">
        <v>72</v>
      </c>
      <c r="U1431" s="14">
        <v>0</v>
      </c>
      <c r="V1431">
        <v>3760</v>
      </c>
      <c r="W1431">
        <v>20.135003662109401</v>
      </c>
      <c r="X1431">
        <v>63.092074353573103</v>
      </c>
      <c r="Y1431">
        <v>0.87055480582476297</v>
      </c>
      <c r="Z1431" s="31">
        <v>1.30918387195101</v>
      </c>
      <c r="AA1431">
        <v>8.2772226136432803</v>
      </c>
      <c r="AB1431">
        <v>0.05</v>
      </c>
      <c r="AC1431">
        <v>476796.90541459899</v>
      </c>
      <c r="AD1431">
        <v>545598.69886592566</v>
      </c>
      <c r="AE1431">
        <v>1</v>
      </c>
      <c r="AF1431">
        <v>21315.177014185811</v>
      </c>
      <c r="AG1431">
        <v>566595.11344702251</v>
      </c>
    </row>
    <row r="1432" spans="2:33" hidden="1" x14ac:dyDescent="0.25">
      <c r="B1432">
        <v>25</v>
      </c>
      <c r="C1432" t="s">
        <v>57</v>
      </c>
      <c r="D1432" t="s">
        <v>28</v>
      </c>
      <c r="E1432" t="s">
        <v>68</v>
      </c>
      <c r="F1432">
        <v>138085</v>
      </c>
      <c r="G1432">
        <v>138085</v>
      </c>
      <c r="H1432">
        <v>32</v>
      </c>
      <c r="I1432" s="5">
        <v>0</v>
      </c>
      <c r="J1432">
        <v>0</v>
      </c>
      <c r="K1432">
        <v>526799</v>
      </c>
      <c r="L1432">
        <v>15633</v>
      </c>
      <c r="M1432">
        <v>0</v>
      </c>
      <c r="N1432">
        <v>12803</v>
      </c>
      <c r="O1432" s="43">
        <v>20369058.335999999</v>
      </c>
      <c r="P1432" s="14">
        <f t="shared" si="68"/>
        <v>228865.82400000095</v>
      </c>
      <c r="Q1432" s="14" t="str">
        <f t="shared" si="66"/>
        <v/>
      </c>
      <c r="R1432" s="14" t="str">
        <f t="shared" si="66"/>
        <v/>
      </c>
      <c r="S1432" s="14" t="str">
        <f t="shared" si="67"/>
        <v/>
      </c>
      <c r="T1432" s="14" t="s">
        <v>72</v>
      </c>
      <c r="U1432" s="14">
        <v>0</v>
      </c>
      <c r="V1432">
        <v>3760</v>
      </c>
      <c r="W1432">
        <v>16.325891113281301</v>
      </c>
      <c r="X1432">
        <v>73.763567266217294</v>
      </c>
      <c r="Y1432">
        <v>0.48744558001065003</v>
      </c>
      <c r="Z1432" s="31">
        <v>1.3875098591102</v>
      </c>
      <c r="AA1432">
        <v>11.2905469847819</v>
      </c>
      <c r="AB1432">
        <v>0.05</v>
      </c>
      <c r="AC1432">
        <v>476796.90541459899</v>
      </c>
      <c r="AD1432">
        <v>545598.69886592566</v>
      </c>
      <c r="AE1432">
        <v>1</v>
      </c>
      <c r="AF1432">
        <v>21315.177014185811</v>
      </c>
      <c r="AG1432">
        <v>566595.11344702251</v>
      </c>
    </row>
    <row r="1433" spans="2:33" hidden="1" x14ac:dyDescent="0.25">
      <c r="B1433">
        <v>25</v>
      </c>
      <c r="C1433" t="s">
        <v>57</v>
      </c>
      <c r="D1433" t="s">
        <v>28</v>
      </c>
      <c r="E1433" t="s">
        <v>68</v>
      </c>
      <c r="F1433">
        <v>138085</v>
      </c>
      <c r="G1433">
        <v>138085</v>
      </c>
      <c r="H1433">
        <v>33</v>
      </c>
      <c r="I1433" s="5">
        <v>0</v>
      </c>
      <c r="J1433">
        <v>0</v>
      </c>
      <c r="K1433">
        <v>526799</v>
      </c>
      <c r="L1433">
        <v>15633</v>
      </c>
      <c r="M1433">
        <v>0</v>
      </c>
      <c r="N1433">
        <v>12803</v>
      </c>
      <c r="O1433" s="43">
        <v>20483491.248</v>
      </c>
      <c r="P1433" s="14">
        <f t="shared" si="68"/>
        <v>114432.91200000048</v>
      </c>
      <c r="Q1433" s="14" t="str">
        <f t="shared" si="66"/>
        <v/>
      </c>
      <c r="R1433" s="14" t="str">
        <f t="shared" si="66"/>
        <v/>
      </c>
      <c r="S1433" s="14" t="str">
        <f t="shared" si="67"/>
        <v/>
      </c>
      <c r="T1433" s="14" t="s">
        <v>72</v>
      </c>
      <c r="U1433" s="14">
        <v>0</v>
      </c>
      <c r="V1433">
        <v>3760</v>
      </c>
      <c r="W1433">
        <v>18.850488281250001</v>
      </c>
      <c r="X1433">
        <v>63.482845279840703</v>
      </c>
      <c r="Y1433">
        <v>0.79538308411737502</v>
      </c>
      <c r="Z1433" s="31">
        <v>2.4998641558802799</v>
      </c>
      <c r="AA1433">
        <v>16.745938585203199</v>
      </c>
      <c r="AB1433">
        <v>0.05</v>
      </c>
      <c r="AC1433">
        <v>476796.90541459899</v>
      </c>
      <c r="AD1433">
        <v>545598.69886592566</v>
      </c>
      <c r="AE1433">
        <v>1</v>
      </c>
      <c r="AF1433">
        <v>21315.177014185811</v>
      </c>
      <c r="AG1433">
        <v>566595.11344702251</v>
      </c>
    </row>
    <row r="1434" spans="2:33" hidden="1" x14ac:dyDescent="0.25">
      <c r="B1434">
        <v>25</v>
      </c>
      <c r="C1434" t="s">
        <v>57</v>
      </c>
      <c r="D1434" t="s">
        <v>28</v>
      </c>
      <c r="E1434" t="s">
        <v>68</v>
      </c>
      <c r="F1434">
        <v>138085</v>
      </c>
      <c r="G1434">
        <v>138085</v>
      </c>
      <c r="H1434">
        <v>34</v>
      </c>
      <c r="I1434" s="5">
        <v>0</v>
      </c>
      <c r="J1434">
        <v>0</v>
      </c>
      <c r="K1434">
        <v>526799</v>
      </c>
      <c r="L1434">
        <v>15633</v>
      </c>
      <c r="M1434">
        <v>0</v>
      </c>
      <c r="N1434">
        <v>12803</v>
      </c>
      <c r="O1434" s="43">
        <v>21398954.544</v>
      </c>
      <c r="P1434" s="14">
        <f t="shared" si="68"/>
        <v>915463.29600000009</v>
      </c>
      <c r="Q1434" s="14" t="str">
        <f t="shared" si="66"/>
        <v/>
      </c>
      <c r="R1434" s="14" t="str">
        <f t="shared" si="66"/>
        <v/>
      </c>
      <c r="S1434" s="14" t="str">
        <f t="shared" si="67"/>
        <v/>
      </c>
      <c r="T1434" s="14" t="s">
        <v>72</v>
      </c>
      <c r="U1434" s="14">
        <v>0</v>
      </c>
      <c r="V1434">
        <v>3760</v>
      </c>
      <c r="W1434">
        <v>10.8987060546875</v>
      </c>
      <c r="X1434">
        <v>88.173006380507005</v>
      </c>
      <c r="Y1434">
        <v>0.154446347919419</v>
      </c>
      <c r="Z1434" s="31">
        <v>3.4608777132666599</v>
      </c>
      <c r="AA1434">
        <v>16.0091654489466</v>
      </c>
      <c r="AB1434">
        <v>0.05</v>
      </c>
      <c r="AC1434">
        <v>476796.90541459899</v>
      </c>
      <c r="AD1434">
        <v>545598.69886592566</v>
      </c>
      <c r="AE1434">
        <v>1</v>
      </c>
      <c r="AF1434">
        <v>21315.177014185811</v>
      </c>
      <c r="AG1434">
        <v>566595.11344702251</v>
      </c>
    </row>
    <row r="1435" spans="2:33" hidden="1" x14ac:dyDescent="0.25">
      <c r="B1435">
        <v>25</v>
      </c>
      <c r="C1435" t="s">
        <v>57</v>
      </c>
      <c r="D1435" t="s">
        <v>28</v>
      </c>
      <c r="E1435" t="s">
        <v>68</v>
      </c>
      <c r="F1435">
        <v>138085</v>
      </c>
      <c r="G1435">
        <v>138085</v>
      </c>
      <c r="H1435">
        <v>35</v>
      </c>
      <c r="I1435" s="5">
        <v>0</v>
      </c>
      <c r="J1435">
        <v>0</v>
      </c>
      <c r="K1435">
        <v>526799</v>
      </c>
      <c r="L1435">
        <v>15633</v>
      </c>
      <c r="M1435">
        <v>0</v>
      </c>
      <c r="N1435">
        <v>12803</v>
      </c>
      <c r="O1435" s="43">
        <v>22314417.84</v>
      </c>
      <c r="P1435" s="14">
        <f t="shared" si="68"/>
        <v>915463.29600000009</v>
      </c>
      <c r="Q1435" s="14" t="str">
        <f t="shared" si="66"/>
        <v/>
      </c>
      <c r="R1435" s="14" t="str">
        <f t="shared" si="66"/>
        <v/>
      </c>
      <c r="S1435" s="14" t="str">
        <f t="shared" si="67"/>
        <v/>
      </c>
      <c r="T1435" s="14" t="s">
        <v>72</v>
      </c>
      <c r="U1435" s="14">
        <v>0</v>
      </c>
      <c r="V1435">
        <v>3760</v>
      </c>
      <c r="W1435">
        <v>12.251062011718799</v>
      </c>
      <c r="X1435">
        <v>90.290394809893598</v>
      </c>
      <c r="Y1435">
        <v>0.138630531488177</v>
      </c>
      <c r="Z1435" s="31">
        <v>6.75243239700775</v>
      </c>
      <c r="AA1435">
        <v>29.100081176471701</v>
      </c>
      <c r="AB1435">
        <v>0.05</v>
      </c>
      <c r="AC1435">
        <v>476796.90541459899</v>
      </c>
      <c r="AD1435">
        <v>545598.69886592566</v>
      </c>
      <c r="AE1435">
        <v>1</v>
      </c>
      <c r="AF1435">
        <v>21315.177014185811</v>
      </c>
      <c r="AG1435">
        <v>566595.11344702251</v>
      </c>
    </row>
    <row r="1436" spans="2:33" hidden="1" x14ac:dyDescent="0.25">
      <c r="B1436">
        <v>25</v>
      </c>
      <c r="C1436" t="s">
        <v>57</v>
      </c>
      <c r="D1436" t="s">
        <v>28</v>
      </c>
      <c r="E1436" t="s">
        <v>68</v>
      </c>
      <c r="F1436">
        <v>138085</v>
      </c>
      <c r="G1436">
        <v>138085</v>
      </c>
      <c r="H1436">
        <v>36</v>
      </c>
      <c r="I1436" s="5">
        <v>0</v>
      </c>
      <c r="J1436">
        <v>0</v>
      </c>
      <c r="K1436">
        <v>526799</v>
      </c>
      <c r="L1436">
        <v>15633</v>
      </c>
      <c r="M1436">
        <v>0</v>
      </c>
      <c r="N1436">
        <v>12803</v>
      </c>
      <c r="O1436" s="43">
        <v>22657716.576000001</v>
      </c>
      <c r="P1436" s="14">
        <f t="shared" si="68"/>
        <v>343298.73600000143</v>
      </c>
      <c r="Q1436" s="14" t="str">
        <f t="shared" si="66"/>
        <v/>
      </c>
      <c r="R1436" s="14" t="str">
        <f t="shared" si="66"/>
        <v/>
      </c>
      <c r="S1436" s="14" t="str">
        <f t="shared" si="67"/>
        <v/>
      </c>
      <c r="T1436" s="14" t="s">
        <v>72</v>
      </c>
      <c r="U1436" s="14">
        <v>0</v>
      </c>
      <c r="V1436">
        <v>3760</v>
      </c>
      <c r="W1436">
        <v>12.461145019531299</v>
      </c>
      <c r="X1436">
        <v>72.568667348197707</v>
      </c>
      <c r="Y1436">
        <v>0.39713581303178103</v>
      </c>
      <c r="Z1436" s="31">
        <v>0.58816595002758398</v>
      </c>
      <c r="AA1436">
        <v>11.0897806162614</v>
      </c>
      <c r="AB1436">
        <v>0.05</v>
      </c>
      <c r="AC1436">
        <v>476796.90541459899</v>
      </c>
      <c r="AD1436">
        <v>545598.69886592566</v>
      </c>
      <c r="AE1436">
        <v>1</v>
      </c>
      <c r="AF1436">
        <v>21315.177014185811</v>
      </c>
      <c r="AG1436">
        <v>566595.11344702251</v>
      </c>
    </row>
    <row r="1437" spans="2:33" hidden="1" x14ac:dyDescent="0.25">
      <c r="B1437">
        <v>25</v>
      </c>
      <c r="C1437" t="s">
        <v>57</v>
      </c>
      <c r="D1437" t="s">
        <v>28</v>
      </c>
      <c r="E1437" t="s">
        <v>68</v>
      </c>
      <c r="F1437">
        <v>138085</v>
      </c>
      <c r="G1437">
        <v>138085</v>
      </c>
      <c r="H1437">
        <v>37</v>
      </c>
      <c r="I1437" s="5">
        <v>0</v>
      </c>
      <c r="J1437">
        <v>0</v>
      </c>
      <c r="K1437">
        <v>526799</v>
      </c>
      <c r="L1437">
        <v>15633</v>
      </c>
      <c r="M1437">
        <v>0</v>
      </c>
      <c r="N1437">
        <v>12803</v>
      </c>
      <c r="O1437" s="43">
        <v>22657716.576000001</v>
      </c>
      <c r="P1437" s="14">
        <f t="shared" si="68"/>
        <v>0</v>
      </c>
      <c r="Q1437" s="14" t="str">
        <f t="shared" si="66"/>
        <v/>
      </c>
      <c r="R1437" s="14" t="str">
        <f t="shared" si="66"/>
        <v/>
      </c>
      <c r="S1437" s="14" t="str">
        <f t="shared" si="67"/>
        <v/>
      </c>
      <c r="T1437" s="14" t="s">
        <v>72</v>
      </c>
      <c r="U1437" s="14">
        <v>0</v>
      </c>
      <c r="V1437">
        <v>3760</v>
      </c>
      <c r="W1437">
        <v>12.909875488281299</v>
      </c>
      <c r="X1437">
        <v>84.850761021804303</v>
      </c>
      <c r="Y1437">
        <v>0.225837554932556</v>
      </c>
      <c r="Z1437" s="31">
        <v>5.0736358178251004</v>
      </c>
      <c r="AA1437">
        <v>24.3162814885888</v>
      </c>
      <c r="AB1437">
        <v>0.05</v>
      </c>
      <c r="AC1437">
        <v>476796.90541459899</v>
      </c>
      <c r="AD1437">
        <v>545598.69886592566</v>
      </c>
      <c r="AE1437">
        <v>1</v>
      </c>
      <c r="AF1437">
        <v>21315.177014185811</v>
      </c>
      <c r="AG1437">
        <v>566595.11344702251</v>
      </c>
    </row>
    <row r="1438" spans="2:33" hidden="1" x14ac:dyDescent="0.25">
      <c r="B1438">
        <v>25</v>
      </c>
      <c r="C1438" t="s">
        <v>57</v>
      </c>
      <c r="D1438" t="s">
        <v>28</v>
      </c>
      <c r="E1438" t="s">
        <v>68</v>
      </c>
      <c r="F1438">
        <v>138085</v>
      </c>
      <c r="G1438">
        <v>138085</v>
      </c>
      <c r="H1438">
        <v>38</v>
      </c>
      <c r="I1438" s="5">
        <v>0</v>
      </c>
      <c r="J1438">
        <v>0</v>
      </c>
      <c r="K1438">
        <v>526799</v>
      </c>
      <c r="L1438">
        <v>15633</v>
      </c>
      <c r="M1438">
        <v>0</v>
      </c>
      <c r="N1438">
        <v>12803</v>
      </c>
      <c r="O1438" s="43">
        <v>22657716.576000001</v>
      </c>
      <c r="P1438" s="14">
        <f t="shared" si="68"/>
        <v>0</v>
      </c>
      <c r="Q1438" s="14" t="str">
        <f t="shared" si="66"/>
        <v/>
      </c>
      <c r="R1438" s="14" t="str">
        <f t="shared" si="66"/>
        <v/>
      </c>
      <c r="S1438" s="14" t="str">
        <f t="shared" si="67"/>
        <v/>
      </c>
      <c r="T1438" s="14" t="s">
        <v>72</v>
      </c>
      <c r="U1438" s="14">
        <v>0</v>
      </c>
      <c r="V1438">
        <v>3760</v>
      </c>
      <c r="W1438">
        <v>12.7278686523437</v>
      </c>
      <c r="X1438">
        <v>74.101195640829204</v>
      </c>
      <c r="Y1438">
        <v>0.38155039279128899</v>
      </c>
      <c r="Z1438" s="31">
        <v>1.3477255237611401</v>
      </c>
      <c r="AA1438">
        <v>15.8511798877917</v>
      </c>
      <c r="AB1438">
        <v>0.05</v>
      </c>
      <c r="AC1438">
        <v>476796.90541459899</v>
      </c>
      <c r="AD1438">
        <v>545598.69886592566</v>
      </c>
      <c r="AE1438">
        <v>1</v>
      </c>
      <c r="AF1438">
        <v>21315.177014185811</v>
      </c>
      <c r="AG1438">
        <v>566595.11344702251</v>
      </c>
    </row>
    <row r="1439" spans="2:33" hidden="1" x14ac:dyDescent="0.25">
      <c r="B1439">
        <v>25</v>
      </c>
      <c r="C1439" t="s">
        <v>57</v>
      </c>
      <c r="D1439" t="s">
        <v>28</v>
      </c>
      <c r="E1439" t="s">
        <v>68</v>
      </c>
      <c r="F1439">
        <v>138085</v>
      </c>
      <c r="G1439">
        <v>138085</v>
      </c>
      <c r="H1439">
        <v>39</v>
      </c>
      <c r="I1439" s="5">
        <v>0</v>
      </c>
      <c r="J1439">
        <v>0</v>
      </c>
      <c r="K1439">
        <v>526799</v>
      </c>
      <c r="L1439">
        <v>15633</v>
      </c>
      <c r="M1439">
        <v>0</v>
      </c>
      <c r="N1439">
        <v>12803</v>
      </c>
      <c r="O1439" s="43">
        <v>22657716.576000001</v>
      </c>
      <c r="P1439" s="14">
        <f t="shared" si="68"/>
        <v>0</v>
      </c>
      <c r="Q1439" s="14" t="str">
        <f t="shared" si="66"/>
        <v/>
      </c>
      <c r="R1439" s="14" t="str">
        <f t="shared" si="66"/>
        <v/>
      </c>
      <c r="S1439" s="14" t="str">
        <f t="shared" si="67"/>
        <v/>
      </c>
      <c r="T1439" s="14" t="s">
        <v>72</v>
      </c>
      <c r="U1439" s="14">
        <v>0</v>
      </c>
      <c r="V1439">
        <v>3760</v>
      </c>
      <c r="W1439">
        <v>15.4497314453125</v>
      </c>
      <c r="X1439">
        <v>58.740213345794999</v>
      </c>
      <c r="Y1439">
        <v>0.72499632040648598</v>
      </c>
      <c r="Z1439" s="31">
        <v>1.9912505885470499</v>
      </c>
      <c r="AA1439">
        <v>16.372775760946801</v>
      </c>
      <c r="AB1439">
        <v>0.05</v>
      </c>
      <c r="AC1439">
        <v>476796.90541459899</v>
      </c>
      <c r="AD1439">
        <v>545598.69886592566</v>
      </c>
      <c r="AE1439">
        <v>1</v>
      </c>
      <c r="AF1439">
        <v>21315.177014185811</v>
      </c>
      <c r="AG1439">
        <v>566595.11344702251</v>
      </c>
    </row>
    <row r="1440" spans="2:33" hidden="1" x14ac:dyDescent="0.25">
      <c r="B1440">
        <v>25</v>
      </c>
      <c r="C1440" t="s">
        <v>57</v>
      </c>
      <c r="D1440" t="s">
        <v>28</v>
      </c>
      <c r="E1440" t="s">
        <v>68</v>
      </c>
      <c r="F1440">
        <v>138085</v>
      </c>
      <c r="G1440">
        <v>138085</v>
      </c>
      <c r="H1440">
        <v>40</v>
      </c>
      <c r="I1440" s="5">
        <v>0</v>
      </c>
      <c r="J1440">
        <v>0</v>
      </c>
      <c r="K1440">
        <v>526799</v>
      </c>
      <c r="L1440">
        <v>15633</v>
      </c>
      <c r="M1440">
        <v>0</v>
      </c>
      <c r="N1440">
        <v>12803</v>
      </c>
      <c r="O1440" s="43">
        <v>23028479.21088</v>
      </c>
      <c r="P1440" s="14">
        <f t="shared" si="68"/>
        <v>370762.63487999886</v>
      </c>
      <c r="Q1440" s="14" t="str">
        <f t="shared" si="66"/>
        <v/>
      </c>
      <c r="R1440" s="14" t="str">
        <f t="shared" si="66"/>
        <v/>
      </c>
      <c r="S1440" s="14" t="str">
        <f t="shared" si="67"/>
        <v/>
      </c>
      <c r="T1440" s="14" t="s">
        <v>72</v>
      </c>
      <c r="U1440" s="14">
        <v>0</v>
      </c>
      <c r="V1440">
        <v>3760</v>
      </c>
      <c r="W1440">
        <v>16.591088867187501</v>
      </c>
      <c r="X1440">
        <v>74.426406501738398</v>
      </c>
      <c r="Y1440">
        <v>0.48319549960088498</v>
      </c>
      <c r="Z1440" s="31">
        <v>3.0861568412209901</v>
      </c>
      <c r="AA1440">
        <v>24.628967549897599</v>
      </c>
      <c r="AB1440">
        <v>0.05</v>
      </c>
      <c r="AC1440">
        <v>476796.90541459899</v>
      </c>
      <c r="AD1440">
        <v>545598.69886592566</v>
      </c>
      <c r="AE1440">
        <v>1</v>
      </c>
      <c r="AF1440">
        <v>21315.177014185811</v>
      </c>
      <c r="AG1440">
        <v>566595.11344702251</v>
      </c>
    </row>
    <row r="1441" spans="2:33" hidden="1" x14ac:dyDescent="0.25">
      <c r="B1441">
        <v>25</v>
      </c>
      <c r="C1441" t="s">
        <v>57</v>
      </c>
      <c r="D1441" t="s">
        <v>28</v>
      </c>
      <c r="E1441" t="s">
        <v>68</v>
      </c>
      <c r="F1441">
        <v>138085</v>
      </c>
      <c r="G1441">
        <v>138085</v>
      </c>
      <c r="H1441">
        <v>41</v>
      </c>
      <c r="I1441" s="5">
        <v>0</v>
      </c>
      <c r="J1441">
        <v>0</v>
      </c>
      <c r="K1441">
        <v>526799</v>
      </c>
      <c r="L1441">
        <v>15633</v>
      </c>
      <c r="M1441">
        <v>0</v>
      </c>
      <c r="N1441">
        <v>12803</v>
      </c>
      <c r="O1441" s="43">
        <v>23085695.66688</v>
      </c>
      <c r="P1441" s="14">
        <f t="shared" si="68"/>
        <v>57216.456000000238</v>
      </c>
      <c r="Q1441" s="14" t="str">
        <f t="shared" si="66"/>
        <v/>
      </c>
      <c r="R1441" s="14" t="str">
        <f t="shared" si="66"/>
        <v/>
      </c>
      <c r="S1441" s="14" t="str">
        <f t="shared" si="67"/>
        <v/>
      </c>
      <c r="T1441" s="14" t="s">
        <v>72</v>
      </c>
      <c r="U1441" s="14">
        <v>0</v>
      </c>
      <c r="V1441">
        <v>3760</v>
      </c>
      <c r="W1441">
        <v>15.0140014648437</v>
      </c>
      <c r="X1441">
        <v>61.517293458806101</v>
      </c>
      <c r="Y1441">
        <v>0.65755160295953696</v>
      </c>
      <c r="Z1441" s="31">
        <v>1.47420910911776</v>
      </c>
      <c r="AA1441">
        <v>19.6034052592397</v>
      </c>
      <c r="AB1441">
        <v>0.05</v>
      </c>
      <c r="AC1441">
        <v>476796.90541459899</v>
      </c>
      <c r="AD1441">
        <v>545598.69886592566</v>
      </c>
      <c r="AE1441">
        <v>1</v>
      </c>
      <c r="AF1441">
        <v>21315.177014185811</v>
      </c>
      <c r="AG1441">
        <v>566595.11344702251</v>
      </c>
    </row>
    <row r="1442" spans="2:33" hidden="1" x14ac:dyDescent="0.25">
      <c r="B1442">
        <v>25</v>
      </c>
      <c r="C1442" t="s">
        <v>57</v>
      </c>
      <c r="D1442" t="s">
        <v>28</v>
      </c>
      <c r="E1442" t="s">
        <v>68</v>
      </c>
      <c r="F1442">
        <v>138085</v>
      </c>
      <c r="G1442">
        <v>138085</v>
      </c>
      <c r="H1442">
        <v>42</v>
      </c>
      <c r="I1442" s="5">
        <v>0</v>
      </c>
      <c r="J1442">
        <v>0</v>
      </c>
      <c r="K1442">
        <v>526799</v>
      </c>
      <c r="L1442">
        <v>15633</v>
      </c>
      <c r="M1442">
        <v>0</v>
      </c>
      <c r="N1442">
        <v>12803</v>
      </c>
      <c r="O1442" s="43">
        <v>23142912.122880001</v>
      </c>
      <c r="P1442" s="14">
        <f t="shared" si="68"/>
        <v>57216.456000000238</v>
      </c>
      <c r="Q1442" s="14" t="str">
        <f t="shared" si="66"/>
        <v/>
      </c>
      <c r="R1442" s="14" t="str">
        <f t="shared" si="66"/>
        <v/>
      </c>
      <c r="S1442" s="14" t="str">
        <f t="shared" si="67"/>
        <v/>
      </c>
      <c r="T1442" s="14" t="s">
        <v>72</v>
      </c>
      <c r="U1442" s="14">
        <v>0</v>
      </c>
      <c r="V1442">
        <v>3760</v>
      </c>
      <c r="W1442">
        <v>14.944299316406299</v>
      </c>
      <c r="X1442">
        <v>91.618147369171794</v>
      </c>
      <c r="Y1442">
        <v>0.14254217929517299</v>
      </c>
      <c r="Z1442" s="31">
        <v>3.7906158847054998</v>
      </c>
      <c r="AA1442">
        <v>19.570835008975799</v>
      </c>
      <c r="AB1442">
        <v>0.05</v>
      </c>
      <c r="AC1442">
        <v>476796.90541459899</v>
      </c>
      <c r="AD1442">
        <v>545598.69886592566</v>
      </c>
      <c r="AE1442">
        <v>1</v>
      </c>
      <c r="AF1442">
        <v>21315.177014185811</v>
      </c>
      <c r="AG1442">
        <v>566595.11344702251</v>
      </c>
    </row>
    <row r="1443" spans="2:33" hidden="1" x14ac:dyDescent="0.25">
      <c r="B1443">
        <v>25</v>
      </c>
      <c r="C1443" t="s">
        <v>57</v>
      </c>
      <c r="D1443" t="s">
        <v>28</v>
      </c>
      <c r="E1443" t="s">
        <v>68</v>
      </c>
      <c r="F1443">
        <v>138085</v>
      </c>
      <c r="G1443">
        <v>138085</v>
      </c>
      <c r="H1443">
        <v>43</v>
      </c>
      <c r="I1443" s="5">
        <v>0</v>
      </c>
      <c r="J1443">
        <v>0</v>
      </c>
      <c r="K1443">
        <v>526799</v>
      </c>
      <c r="L1443">
        <v>15633</v>
      </c>
      <c r="M1443">
        <v>0</v>
      </c>
      <c r="N1443">
        <v>12803</v>
      </c>
      <c r="O1443" s="43">
        <v>23240180.098080002</v>
      </c>
      <c r="P1443" s="14">
        <f t="shared" si="68"/>
        <v>97267.97520000115</v>
      </c>
      <c r="Q1443" s="14" t="str">
        <f t="shared" si="66"/>
        <v/>
      </c>
      <c r="R1443" s="14" t="str">
        <f t="shared" si="66"/>
        <v/>
      </c>
      <c r="S1443" s="14" t="str">
        <f t="shared" si="67"/>
        <v/>
      </c>
      <c r="T1443" s="14" t="s">
        <v>72</v>
      </c>
      <c r="U1443" s="14">
        <v>0</v>
      </c>
      <c r="V1443">
        <v>3760</v>
      </c>
      <c r="W1443">
        <v>12.464562988281299</v>
      </c>
      <c r="X1443">
        <v>81.270113441980996</v>
      </c>
      <c r="Y1443">
        <v>0.27120681219611797</v>
      </c>
      <c r="Z1443" s="31">
        <v>2.7242586987348201</v>
      </c>
      <c r="AA1443">
        <v>23.341911069344899</v>
      </c>
      <c r="AB1443">
        <v>0.05</v>
      </c>
      <c r="AC1443">
        <v>476796.90541459899</v>
      </c>
      <c r="AD1443">
        <v>545598.69886592566</v>
      </c>
      <c r="AE1443">
        <v>1</v>
      </c>
      <c r="AF1443">
        <v>21315.177014185811</v>
      </c>
      <c r="AG1443">
        <v>566595.11344702251</v>
      </c>
    </row>
    <row r="1444" spans="2:33" hidden="1" x14ac:dyDescent="0.25">
      <c r="B1444">
        <v>25</v>
      </c>
      <c r="C1444" t="s">
        <v>57</v>
      </c>
      <c r="D1444" t="s">
        <v>28</v>
      </c>
      <c r="E1444" t="s">
        <v>68</v>
      </c>
      <c r="F1444">
        <v>138085</v>
      </c>
      <c r="G1444">
        <v>138085</v>
      </c>
      <c r="H1444">
        <v>44</v>
      </c>
      <c r="I1444" s="5">
        <v>0</v>
      </c>
      <c r="J1444">
        <v>0</v>
      </c>
      <c r="K1444">
        <v>526799</v>
      </c>
      <c r="L1444">
        <v>15633</v>
      </c>
      <c r="M1444">
        <v>0</v>
      </c>
      <c r="N1444">
        <v>12803</v>
      </c>
      <c r="O1444" s="43">
        <v>23351180.022720002</v>
      </c>
      <c r="P1444" s="14">
        <f t="shared" si="68"/>
        <v>110999.92463999987</v>
      </c>
      <c r="Q1444" s="14" t="str">
        <f t="shared" si="66"/>
        <v/>
      </c>
      <c r="R1444" s="14" t="str">
        <f t="shared" si="66"/>
        <v/>
      </c>
      <c r="S1444" s="14" t="str">
        <f t="shared" si="67"/>
        <v/>
      </c>
      <c r="T1444" s="14" t="s">
        <v>72</v>
      </c>
      <c r="U1444" s="14">
        <v>0</v>
      </c>
      <c r="V1444">
        <v>3760</v>
      </c>
      <c r="W1444">
        <v>12.6953369140625</v>
      </c>
      <c r="X1444">
        <v>68.038675858263602</v>
      </c>
      <c r="Y1444">
        <v>0.46988194303265102</v>
      </c>
      <c r="Z1444" s="31">
        <v>1.6262538146579699</v>
      </c>
      <c r="AA1444">
        <v>18.791495653601402</v>
      </c>
      <c r="AB1444">
        <v>0.05</v>
      </c>
      <c r="AC1444">
        <v>476796.90541459899</v>
      </c>
      <c r="AD1444">
        <v>545598.69886592566</v>
      </c>
      <c r="AE1444">
        <v>1</v>
      </c>
      <c r="AF1444">
        <v>21315.177014185811</v>
      </c>
      <c r="AG1444">
        <v>566595.11344702251</v>
      </c>
    </row>
    <row r="1445" spans="2:33" hidden="1" x14ac:dyDescent="0.25">
      <c r="B1445">
        <v>25</v>
      </c>
      <c r="C1445" t="s">
        <v>57</v>
      </c>
      <c r="D1445" t="s">
        <v>28</v>
      </c>
      <c r="E1445" t="s">
        <v>68</v>
      </c>
      <c r="F1445">
        <v>138085</v>
      </c>
      <c r="G1445">
        <v>138085</v>
      </c>
      <c r="H1445">
        <v>45</v>
      </c>
      <c r="I1445" s="5">
        <v>0</v>
      </c>
      <c r="J1445">
        <v>0</v>
      </c>
      <c r="K1445">
        <v>526799</v>
      </c>
      <c r="L1445">
        <v>15633</v>
      </c>
      <c r="M1445">
        <v>0</v>
      </c>
      <c r="N1445">
        <v>12803</v>
      </c>
      <c r="O1445" s="43">
        <v>23438149.035840001</v>
      </c>
      <c r="P1445" s="14">
        <f t="shared" si="68"/>
        <v>86969.013119999319</v>
      </c>
      <c r="Q1445" s="14" t="str">
        <f t="shared" si="66"/>
        <v/>
      </c>
      <c r="R1445" s="14" t="str">
        <f t="shared" si="66"/>
        <v/>
      </c>
      <c r="S1445" s="14" t="str">
        <f t="shared" si="67"/>
        <v/>
      </c>
      <c r="T1445" s="14" t="s">
        <v>72</v>
      </c>
      <c r="U1445" s="14">
        <v>0</v>
      </c>
      <c r="V1445">
        <v>3760</v>
      </c>
      <c r="W1445">
        <v>8.4263549804687692</v>
      </c>
      <c r="X1445">
        <v>77.176650333447498</v>
      </c>
      <c r="Y1445">
        <v>0.25254045008185</v>
      </c>
      <c r="Z1445" s="31">
        <v>1.93904793399658</v>
      </c>
      <c r="AA1445">
        <v>12.643728045005201</v>
      </c>
      <c r="AB1445">
        <v>0.05</v>
      </c>
      <c r="AC1445">
        <v>476796.90541459899</v>
      </c>
      <c r="AD1445">
        <v>545598.69886592566</v>
      </c>
      <c r="AE1445">
        <v>1</v>
      </c>
      <c r="AF1445">
        <v>21315.177014185811</v>
      </c>
      <c r="AG1445">
        <v>566595.11344702251</v>
      </c>
    </row>
    <row r="1446" spans="2:33" hidden="1" x14ac:dyDescent="0.25">
      <c r="B1446">
        <v>26</v>
      </c>
      <c r="C1446" t="s">
        <v>58</v>
      </c>
      <c r="D1446" t="s">
        <v>59</v>
      </c>
      <c r="E1446" t="s">
        <v>67</v>
      </c>
      <c r="F1446">
        <v>3099</v>
      </c>
      <c r="G1446">
        <v>107072</v>
      </c>
      <c r="H1446">
        <v>1</v>
      </c>
      <c r="I1446" s="5">
        <v>0</v>
      </c>
      <c r="J1446">
        <v>1.5050433350000001</v>
      </c>
      <c r="K1446">
        <v>420765</v>
      </c>
      <c r="L1446">
        <v>26667</v>
      </c>
      <c r="M1446">
        <v>244</v>
      </c>
      <c r="N1446">
        <v>29467</v>
      </c>
      <c r="O1446" s="43">
        <v>0</v>
      </c>
      <c r="P1446" s="14">
        <v>0</v>
      </c>
      <c r="Q1446" s="14" t="str">
        <f t="shared" si="66"/>
        <v/>
      </c>
      <c r="R1446" s="14" t="str">
        <f t="shared" si="66"/>
        <v/>
      </c>
      <c r="S1446" s="14" t="str">
        <f t="shared" si="67"/>
        <v/>
      </c>
      <c r="T1446" s="14" t="s">
        <v>72</v>
      </c>
      <c r="U1446" s="14">
        <v>0</v>
      </c>
      <c r="V1446">
        <v>3875</v>
      </c>
      <c r="W1446">
        <v>30.615380859375001</v>
      </c>
      <c r="X1446">
        <v>22.612720793890499</v>
      </c>
      <c r="Y1446">
        <v>3.4014495444344499</v>
      </c>
      <c r="Z1446" s="31">
        <v>0.770489053654977</v>
      </c>
      <c r="AA1446">
        <v>3.6246820719678898</v>
      </c>
      <c r="AB1446">
        <v>0.06</v>
      </c>
      <c r="AC1446">
        <v>315161.74213064701</v>
      </c>
      <c r="AD1446">
        <v>356384.89800133562</v>
      </c>
      <c r="AE1446">
        <v>1</v>
      </c>
      <c r="AF1446">
        <v>1311.769844473343</v>
      </c>
      <c r="AG1446">
        <v>70811.270315602975</v>
      </c>
    </row>
    <row r="1447" spans="2:33" hidden="1" x14ac:dyDescent="0.25">
      <c r="B1447">
        <v>26</v>
      </c>
      <c r="C1447" t="s">
        <v>58</v>
      </c>
      <c r="D1447" t="s">
        <v>59</v>
      </c>
      <c r="E1447" t="s">
        <v>67</v>
      </c>
      <c r="F1447">
        <v>3099</v>
      </c>
      <c r="G1447">
        <v>107072</v>
      </c>
      <c r="H1447">
        <v>2</v>
      </c>
      <c r="I1447" s="5">
        <v>0</v>
      </c>
      <c r="J1447">
        <v>0</v>
      </c>
      <c r="K1447">
        <v>420765</v>
      </c>
      <c r="L1447">
        <v>26667</v>
      </c>
      <c r="M1447">
        <v>244</v>
      </c>
      <c r="N1447">
        <v>29467</v>
      </c>
      <c r="O1447" s="43">
        <v>0</v>
      </c>
      <c r="P1447" s="14">
        <f t="shared" si="68"/>
        <v>0</v>
      </c>
      <c r="Q1447" s="14" t="str">
        <f t="shared" si="66"/>
        <v/>
      </c>
      <c r="R1447" s="14" t="str">
        <f t="shared" si="66"/>
        <v/>
      </c>
      <c r="S1447" s="14" t="str">
        <f t="shared" si="67"/>
        <v/>
      </c>
      <c r="T1447" s="14" t="s">
        <v>72</v>
      </c>
      <c r="U1447" s="14">
        <v>0</v>
      </c>
      <c r="V1447">
        <v>3875</v>
      </c>
      <c r="W1447">
        <v>24.088708496093702</v>
      </c>
      <c r="X1447">
        <v>40.506233231893397</v>
      </c>
      <c r="Y1447">
        <v>1.7851372588915499</v>
      </c>
      <c r="Z1447" s="31">
        <v>4.1785479186951502</v>
      </c>
      <c r="AA1447">
        <v>0.63774831480023098</v>
      </c>
      <c r="AB1447">
        <v>0.06</v>
      </c>
      <c r="AC1447">
        <v>315161.74213064701</v>
      </c>
      <c r="AD1447">
        <v>356384.89800133562</v>
      </c>
      <c r="AE1447">
        <v>1</v>
      </c>
      <c r="AF1447">
        <v>1311.769844473343</v>
      </c>
      <c r="AG1447">
        <v>70811.270315602975</v>
      </c>
    </row>
    <row r="1448" spans="2:33" hidden="1" x14ac:dyDescent="0.25">
      <c r="B1448">
        <v>26</v>
      </c>
      <c r="C1448" t="s">
        <v>58</v>
      </c>
      <c r="D1448" t="s">
        <v>59</v>
      </c>
      <c r="E1448" t="s">
        <v>67</v>
      </c>
      <c r="F1448">
        <v>4133</v>
      </c>
      <c r="G1448">
        <v>107072</v>
      </c>
      <c r="H1448">
        <v>3</v>
      </c>
      <c r="I1448" s="5">
        <v>0</v>
      </c>
      <c r="J1448">
        <v>0.50216676630000001</v>
      </c>
      <c r="K1448">
        <v>420765</v>
      </c>
      <c r="L1448">
        <v>26667</v>
      </c>
      <c r="M1448">
        <v>244</v>
      </c>
      <c r="N1448">
        <v>29467</v>
      </c>
      <c r="O1448" s="43">
        <v>608967.94218872825</v>
      </c>
      <c r="P1448" s="14">
        <f t="shared" si="68"/>
        <v>608967.94218872825</v>
      </c>
      <c r="Q1448" s="14" t="str">
        <f t="shared" si="66"/>
        <v/>
      </c>
      <c r="R1448" s="14" t="str">
        <f t="shared" si="66"/>
        <v/>
      </c>
      <c r="S1448" s="14" t="str">
        <f t="shared" si="67"/>
        <v/>
      </c>
      <c r="T1448" s="14" t="s">
        <v>72</v>
      </c>
      <c r="U1448" s="14">
        <v>0</v>
      </c>
      <c r="V1448">
        <v>3875</v>
      </c>
      <c r="W1448">
        <v>23.473107910156301</v>
      </c>
      <c r="X1448">
        <v>36.114916633785199</v>
      </c>
      <c r="Y1448">
        <v>1.8474933047890301</v>
      </c>
      <c r="Z1448" s="31">
        <v>4.1072581245973403</v>
      </c>
      <c r="AA1448">
        <v>10.313432673747499</v>
      </c>
      <c r="AB1448">
        <v>0.06</v>
      </c>
      <c r="AC1448">
        <v>315161.74213064701</v>
      </c>
      <c r="AD1448">
        <v>356384.89800133562</v>
      </c>
      <c r="AE1448">
        <v>1</v>
      </c>
      <c r="AF1448">
        <v>1311.769844473343</v>
      </c>
      <c r="AG1448">
        <v>70811.270315602975</v>
      </c>
    </row>
    <row r="1449" spans="2:33" hidden="1" x14ac:dyDescent="0.25">
      <c r="B1449">
        <v>26</v>
      </c>
      <c r="C1449" t="s">
        <v>58</v>
      </c>
      <c r="D1449" t="s">
        <v>59</v>
      </c>
      <c r="E1449" t="s">
        <v>67</v>
      </c>
      <c r="F1449">
        <v>4135</v>
      </c>
      <c r="G1449">
        <v>107072</v>
      </c>
      <c r="H1449">
        <v>4</v>
      </c>
      <c r="I1449">
        <v>3099</v>
      </c>
      <c r="J1449">
        <v>9.7130902570000002E-4</v>
      </c>
      <c r="K1449">
        <v>420765</v>
      </c>
      <c r="L1449">
        <v>26667</v>
      </c>
      <c r="M1449">
        <v>244</v>
      </c>
      <c r="N1449">
        <v>29467</v>
      </c>
      <c r="O1449" s="43">
        <v>436021.04660712951</v>
      </c>
      <c r="P1449" s="14">
        <f t="shared" si="68"/>
        <v>-172946.89558159874</v>
      </c>
      <c r="Q1449" s="14">
        <f t="shared" si="66"/>
        <v>-172946.89558159874</v>
      </c>
      <c r="R1449" s="14">
        <f t="shared" si="66"/>
        <v>-172946.89558159874</v>
      </c>
      <c r="S1449" s="14">
        <f t="shared" si="67"/>
        <v>29910628691.31242</v>
      </c>
      <c r="T1449" s="14">
        <v>29910628691.31242</v>
      </c>
      <c r="U1449" s="14">
        <v>-55.807323517779544</v>
      </c>
      <c r="V1449">
        <v>3875</v>
      </c>
      <c r="W1449">
        <v>23.806787109375001</v>
      </c>
      <c r="X1449">
        <v>43.035345841130699</v>
      </c>
      <c r="Y1449">
        <v>1.6805355778812301</v>
      </c>
      <c r="Z1449" s="31">
        <v>4.2395413871411796</v>
      </c>
      <c r="AA1449">
        <v>15.023810787009401</v>
      </c>
      <c r="AB1449">
        <v>0.06</v>
      </c>
      <c r="AC1449">
        <v>315161.74213064701</v>
      </c>
      <c r="AD1449">
        <v>356384.89800133562</v>
      </c>
      <c r="AE1449">
        <v>1</v>
      </c>
      <c r="AF1449">
        <v>1311.769844473343</v>
      </c>
      <c r="AG1449">
        <v>70811.270315602975</v>
      </c>
    </row>
    <row r="1450" spans="2:33" hidden="1" x14ac:dyDescent="0.25">
      <c r="B1450">
        <v>26</v>
      </c>
      <c r="C1450" t="s">
        <v>58</v>
      </c>
      <c r="D1450" t="s">
        <v>59</v>
      </c>
      <c r="E1450" t="s">
        <v>67</v>
      </c>
      <c r="F1450">
        <v>4652</v>
      </c>
      <c r="G1450">
        <v>107072</v>
      </c>
      <c r="H1450">
        <v>5</v>
      </c>
      <c r="I1450">
        <v>0</v>
      </c>
      <c r="J1450">
        <v>0.2510833831</v>
      </c>
      <c r="K1450">
        <v>420765</v>
      </c>
      <c r="L1450">
        <v>26667</v>
      </c>
      <c r="M1450">
        <v>244</v>
      </c>
      <c r="N1450">
        <v>29467</v>
      </c>
      <c r="O1450" s="43">
        <v>679608.22348262079</v>
      </c>
      <c r="P1450" s="14">
        <f t="shared" si="68"/>
        <v>243587.17687549128</v>
      </c>
      <c r="Q1450" s="14" t="str">
        <f t="shared" si="66"/>
        <v/>
      </c>
      <c r="R1450" s="14" t="str">
        <f t="shared" si="66"/>
        <v/>
      </c>
      <c r="S1450" s="14" t="str">
        <f t="shared" si="67"/>
        <v/>
      </c>
      <c r="T1450" s="14" t="s">
        <v>72</v>
      </c>
      <c r="U1450" s="14">
        <v>0</v>
      </c>
      <c r="V1450">
        <v>3875</v>
      </c>
      <c r="W1450">
        <v>17.114099121093702</v>
      </c>
      <c r="X1450">
        <v>45.454263990709698</v>
      </c>
      <c r="Y1450">
        <v>1.06559807810068</v>
      </c>
      <c r="Z1450" s="31">
        <v>4.3872177723852301</v>
      </c>
      <c r="AA1450">
        <v>11.0479273277363</v>
      </c>
      <c r="AB1450">
        <v>0.06</v>
      </c>
      <c r="AC1450">
        <v>315161.74213064701</v>
      </c>
      <c r="AD1450">
        <v>356384.89800133562</v>
      </c>
      <c r="AE1450">
        <v>1</v>
      </c>
      <c r="AF1450">
        <v>1311.769844473343</v>
      </c>
      <c r="AG1450">
        <v>70811.270315602975</v>
      </c>
    </row>
    <row r="1451" spans="2:33" hidden="1" x14ac:dyDescent="0.25">
      <c r="B1451">
        <v>26</v>
      </c>
      <c r="C1451" t="s">
        <v>58</v>
      </c>
      <c r="D1451" t="s">
        <v>59</v>
      </c>
      <c r="E1451" t="s">
        <v>67</v>
      </c>
      <c r="F1451">
        <v>5893</v>
      </c>
      <c r="G1451">
        <v>107072</v>
      </c>
      <c r="H1451">
        <v>6</v>
      </c>
      <c r="I1451">
        <v>1034</v>
      </c>
      <c r="J1451">
        <v>0.6026972504</v>
      </c>
      <c r="K1451">
        <v>420765</v>
      </c>
      <c r="L1451">
        <v>26667</v>
      </c>
      <c r="M1451">
        <v>244</v>
      </c>
      <c r="N1451">
        <v>29467</v>
      </c>
      <c r="O1451" s="43">
        <v>1425652.4135862631</v>
      </c>
      <c r="P1451" s="14">
        <f t="shared" si="68"/>
        <v>746044.19010364229</v>
      </c>
      <c r="Q1451" s="14" t="str">
        <f t="shared" si="66"/>
        <v/>
      </c>
      <c r="R1451" s="14" t="str">
        <f t="shared" si="66"/>
        <v/>
      </c>
      <c r="S1451" s="14" t="str">
        <f t="shared" si="67"/>
        <v/>
      </c>
      <c r="T1451" s="14" t="s">
        <v>72</v>
      </c>
      <c r="U1451" s="14">
        <v>721.51275638650122</v>
      </c>
      <c r="V1451">
        <v>3875</v>
      </c>
      <c r="W1451">
        <v>25.982507324218801</v>
      </c>
      <c r="X1451">
        <v>26.530289120869998</v>
      </c>
      <c r="Y1451">
        <v>2.4678399285488899</v>
      </c>
      <c r="Z1451" s="31">
        <v>0.89328199535405195</v>
      </c>
      <c r="AA1451">
        <v>6.2870757988492096</v>
      </c>
      <c r="AB1451">
        <v>0.06</v>
      </c>
      <c r="AC1451">
        <v>315161.74213064701</v>
      </c>
      <c r="AD1451">
        <v>356384.89800133562</v>
      </c>
      <c r="AE1451">
        <v>1</v>
      </c>
      <c r="AF1451">
        <v>1311.769844473343</v>
      </c>
      <c r="AG1451">
        <v>70811.270315602975</v>
      </c>
    </row>
    <row r="1452" spans="2:33" hidden="1" x14ac:dyDescent="0.25">
      <c r="B1452">
        <v>26</v>
      </c>
      <c r="C1452" t="s">
        <v>58</v>
      </c>
      <c r="D1452" t="s">
        <v>59</v>
      </c>
      <c r="E1452" t="s">
        <v>67</v>
      </c>
      <c r="F1452">
        <v>7150</v>
      </c>
      <c r="G1452">
        <v>107072</v>
      </c>
      <c r="H1452">
        <v>7</v>
      </c>
      <c r="I1452">
        <v>2</v>
      </c>
      <c r="J1452">
        <v>0.61046772270000005</v>
      </c>
      <c r="K1452">
        <v>420765</v>
      </c>
      <c r="L1452">
        <v>26667</v>
      </c>
      <c r="M1452">
        <v>244</v>
      </c>
      <c r="N1452">
        <v>29467</v>
      </c>
      <c r="O1452" s="43">
        <v>1888760.3542619471</v>
      </c>
      <c r="P1452" s="14">
        <f t="shared" si="68"/>
        <v>463107.94067568402</v>
      </c>
      <c r="Q1452" s="14" t="str">
        <f t="shared" si="66"/>
        <v/>
      </c>
      <c r="R1452" s="14" t="str">
        <f t="shared" si="66"/>
        <v/>
      </c>
      <c r="S1452" s="14" t="str">
        <f t="shared" si="67"/>
        <v/>
      </c>
      <c r="T1452" s="14" t="s">
        <v>72</v>
      </c>
      <c r="U1452" s="14">
        <v>231553.97033784201</v>
      </c>
      <c r="V1452">
        <v>3875</v>
      </c>
      <c r="W1452">
        <v>29.580102539062501</v>
      </c>
      <c r="X1452">
        <v>26.532145360519301</v>
      </c>
      <c r="Y1452">
        <v>3.0430809366386602</v>
      </c>
      <c r="Z1452" s="31">
        <v>1.84021954750613</v>
      </c>
      <c r="AA1452">
        <v>5.5758812058018803</v>
      </c>
      <c r="AB1452">
        <v>0.06</v>
      </c>
      <c r="AC1452">
        <v>315161.74213064701</v>
      </c>
      <c r="AD1452">
        <v>356384.89800133562</v>
      </c>
      <c r="AE1452">
        <v>1</v>
      </c>
      <c r="AF1452">
        <v>1311.769844473343</v>
      </c>
      <c r="AG1452">
        <v>70811.270315602975</v>
      </c>
    </row>
    <row r="1453" spans="2:33" hidden="1" x14ac:dyDescent="0.25">
      <c r="B1453">
        <v>26</v>
      </c>
      <c r="C1453" t="s">
        <v>58</v>
      </c>
      <c r="D1453" t="s">
        <v>59</v>
      </c>
      <c r="E1453" t="s">
        <v>67</v>
      </c>
      <c r="F1453">
        <v>13669</v>
      </c>
      <c r="G1453">
        <v>107072</v>
      </c>
      <c r="H1453">
        <v>8</v>
      </c>
      <c r="I1453">
        <v>517</v>
      </c>
      <c r="J1453">
        <v>3.1659817690000001</v>
      </c>
      <c r="K1453">
        <v>420765</v>
      </c>
      <c r="L1453">
        <v>26667</v>
      </c>
      <c r="M1453">
        <v>244</v>
      </c>
      <c r="N1453">
        <v>29467</v>
      </c>
      <c r="O1453" s="43">
        <v>2288566.0773471128</v>
      </c>
      <c r="P1453" s="14">
        <f t="shared" si="68"/>
        <v>399805.72308516572</v>
      </c>
      <c r="Q1453" s="14" t="str">
        <f t="shared" si="66"/>
        <v/>
      </c>
      <c r="R1453" s="14" t="str">
        <f t="shared" si="66"/>
        <v/>
      </c>
      <c r="S1453" s="14" t="str">
        <f t="shared" si="67"/>
        <v/>
      </c>
      <c r="T1453" s="14" t="s">
        <v>72</v>
      </c>
      <c r="U1453" s="14">
        <v>773.31861331753521</v>
      </c>
      <c r="V1453">
        <v>3875</v>
      </c>
      <c r="W1453">
        <v>33.959008789062501</v>
      </c>
      <c r="X1453">
        <v>22.542962715875401</v>
      </c>
      <c r="Y1453">
        <v>4.1100276370188302</v>
      </c>
      <c r="Z1453" s="31">
        <v>2.2952682032913598</v>
      </c>
      <c r="AA1453">
        <v>2.9334485127034799</v>
      </c>
      <c r="AB1453">
        <v>0.06</v>
      </c>
      <c r="AC1453">
        <v>315161.74213064701</v>
      </c>
      <c r="AD1453">
        <v>356384.89800133562</v>
      </c>
      <c r="AE1453">
        <v>1</v>
      </c>
      <c r="AF1453">
        <v>1311.769844473343</v>
      </c>
      <c r="AG1453">
        <v>70811.270315602975</v>
      </c>
    </row>
    <row r="1454" spans="2:33" hidden="1" x14ac:dyDescent="0.25">
      <c r="B1454">
        <v>26</v>
      </c>
      <c r="C1454" t="s">
        <v>58</v>
      </c>
      <c r="D1454" t="s">
        <v>59</v>
      </c>
      <c r="E1454" t="s">
        <v>67</v>
      </c>
      <c r="F1454">
        <v>15049</v>
      </c>
      <c r="G1454">
        <v>107072</v>
      </c>
      <c r="H1454">
        <v>9</v>
      </c>
      <c r="I1454">
        <v>1241</v>
      </c>
      <c r="J1454">
        <v>0.67020322769999996</v>
      </c>
      <c r="K1454">
        <v>420765</v>
      </c>
      <c r="L1454">
        <v>26667</v>
      </c>
      <c r="M1454">
        <v>244</v>
      </c>
      <c r="N1454">
        <v>29467</v>
      </c>
      <c r="O1454" s="43">
        <v>2556230.6287208619</v>
      </c>
      <c r="P1454" s="14">
        <f t="shared" si="68"/>
        <v>267664.55137374904</v>
      </c>
      <c r="Q1454" s="14" t="str">
        <f t="shared" si="66"/>
        <v/>
      </c>
      <c r="R1454" s="14" t="str">
        <f t="shared" si="66"/>
        <v/>
      </c>
      <c r="S1454" s="14" t="str">
        <f t="shared" si="67"/>
        <v/>
      </c>
      <c r="T1454" s="14" t="s">
        <v>72</v>
      </c>
      <c r="U1454" s="14">
        <v>215.68457000302135</v>
      </c>
      <c r="V1454">
        <v>3875</v>
      </c>
      <c r="W1454">
        <v>31.799066162109401</v>
      </c>
      <c r="X1454">
        <v>19.441543893892099</v>
      </c>
      <c r="Y1454">
        <v>3.7872823776115898</v>
      </c>
      <c r="Z1454" s="31">
        <v>1.85898004685359</v>
      </c>
      <c r="AA1454">
        <v>4.5412302854776803</v>
      </c>
      <c r="AB1454">
        <v>0.06</v>
      </c>
      <c r="AC1454">
        <v>315161.74213064701</v>
      </c>
      <c r="AD1454">
        <v>356384.89800133562</v>
      </c>
      <c r="AE1454">
        <v>1</v>
      </c>
      <c r="AF1454">
        <v>1311.769844473343</v>
      </c>
      <c r="AG1454">
        <v>70811.270315602975</v>
      </c>
    </row>
    <row r="1455" spans="2:33" hidden="1" x14ac:dyDescent="0.25">
      <c r="B1455">
        <v>26</v>
      </c>
      <c r="C1455" t="s">
        <v>58</v>
      </c>
      <c r="D1455" t="s">
        <v>59</v>
      </c>
      <c r="E1455" t="s">
        <v>67</v>
      </c>
      <c r="F1455">
        <v>16521</v>
      </c>
      <c r="G1455">
        <v>107072</v>
      </c>
      <c r="H1455">
        <v>10</v>
      </c>
      <c r="I1455">
        <v>1257</v>
      </c>
      <c r="J1455">
        <v>0.71488344290000005</v>
      </c>
      <c r="K1455">
        <v>420765</v>
      </c>
      <c r="L1455">
        <v>26667</v>
      </c>
      <c r="M1455">
        <v>244</v>
      </c>
      <c r="N1455">
        <v>29467</v>
      </c>
      <c r="O1455" s="43">
        <v>3044979.7735703448</v>
      </c>
      <c r="P1455" s="14">
        <f t="shared" si="68"/>
        <v>488749.14484948292</v>
      </c>
      <c r="Q1455" s="14" t="str">
        <f t="shared" si="66"/>
        <v/>
      </c>
      <c r="R1455" s="14" t="str">
        <f t="shared" si="66"/>
        <v/>
      </c>
      <c r="S1455" s="14" t="str">
        <f t="shared" si="67"/>
        <v/>
      </c>
      <c r="T1455" s="14" t="s">
        <v>72</v>
      </c>
      <c r="U1455" s="14">
        <v>388.82191316585715</v>
      </c>
      <c r="V1455">
        <v>3875</v>
      </c>
      <c r="W1455">
        <v>30.344506835937501</v>
      </c>
      <c r="X1455">
        <v>20.499954871822698</v>
      </c>
      <c r="Y1455">
        <v>3.4408664586442299</v>
      </c>
      <c r="Z1455" s="31">
        <v>1.1241091808191199</v>
      </c>
      <c r="AA1455">
        <v>4.1790898077589098</v>
      </c>
      <c r="AB1455">
        <v>0.06</v>
      </c>
      <c r="AC1455">
        <v>315161.74213064701</v>
      </c>
      <c r="AD1455">
        <v>356384.89800133562</v>
      </c>
      <c r="AE1455">
        <v>1</v>
      </c>
      <c r="AF1455">
        <v>1311.769844473343</v>
      </c>
      <c r="AG1455">
        <v>70811.270315602975</v>
      </c>
    </row>
    <row r="1456" spans="2:33" hidden="1" x14ac:dyDescent="0.25">
      <c r="B1456">
        <v>26</v>
      </c>
      <c r="C1456" t="s">
        <v>58</v>
      </c>
      <c r="D1456" t="s">
        <v>59</v>
      </c>
      <c r="E1456" t="s">
        <v>67</v>
      </c>
      <c r="F1456">
        <v>18842</v>
      </c>
      <c r="G1456">
        <v>107072</v>
      </c>
      <c r="H1456">
        <v>11</v>
      </c>
      <c r="I1456">
        <v>6519</v>
      </c>
      <c r="J1456">
        <v>1.1272041239999999</v>
      </c>
      <c r="K1456">
        <v>420765</v>
      </c>
      <c r="L1456">
        <v>26667</v>
      </c>
      <c r="M1456">
        <v>244</v>
      </c>
      <c r="N1456">
        <v>29467</v>
      </c>
      <c r="O1456" s="43">
        <v>3260066.0328155188</v>
      </c>
      <c r="P1456" s="14">
        <f t="shared" si="68"/>
        <v>215086.25924517401</v>
      </c>
      <c r="Q1456" s="14" t="str">
        <f t="shared" si="66"/>
        <v/>
      </c>
      <c r="R1456" s="14" t="str">
        <f t="shared" si="66"/>
        <v/>
      </c>
      <c r="S1456" s="14" t="str">
        <f t="shared" si="67"/>
        <v/>
      </c>
      <c r="T1456" s="14" t="s">
        <v>72</v>
      </c>
      <c r="U1456" s="14">
        <v>32.993750459453054</v>
      </c>
      <c r="V1456">
        <v>3875</v>
      </c>
      <c r="W1456">
        <v>30.073999023437501</v>
      </c>
      <c r="X1456">
        <v>28.2640305675184</v>
      </c>
      <c r="Y1456">
        <v>3.0565926904716001</v>
      </c>
      <c r="Z1456" s="31">
        <v>3.53575660079234</v>
      </c>
      <c r="AA1456">
        <v>8.1143388179427305</v>
      </c>
      <c r="AB1456">
        <v>0.06</v>
      </c>
      <c r="AC1456">
        <v>315161.74213064701</v>
      </c>
      <c r="AD1456">
        <v>356384.89800133562</v>
      </c>
      <c r="AE1456">
        <v>1</v>
      </c>
      <c r="AF1456">
        <v>1311.769844473343</v>
      </c>
      <c r="AG1456">
        <v>70811.270315602975</v>
      </c>
    </row>
    <row r="1457" spans="2:33" hidden="1" x14ac:dyDescent="0.25">
      <c r="B1457">
        <v>26</v>
      </c>
      <c r="C1457" t="s">
        <v>58</v>
      </c>
      <c r="D1457" t="s">
        <v>59</v>
      </c>
      <c r="E1457" t="s">
        <v>67</v>
      </c>
      <c r="F1457">
        <v>28356</v>
      </c>
      <c r="G1457">
        <v>107072</v>
      </c>
      <c r="H1457">
        <v>12</v>
      </c>
      <c r="I1457">
        <v>1380</v>
      </c>
      <c r="J1457">
        <v>4.6205170349999998</v>
      </c>
      <c r="K1457">
        <v>420765</v>
      </c>
      <c r="L1457">
        <v>26667</v>
      </c>
      <c r="M1457">
        <v>244</v>
      </c>
      <c r="N1457">
        <v>29467</v>
      </c>
      <c r="O1457" s="43">
        <v>3540772.241639182</v>
      </c>
      <c r="P1457" s="14">
        <f t="shared" si="68"/>
        <v>280706.20882366318</v>
      </c>
      <c r="Q1457" s="14" t="str">
        <f t="shared" si="66"/>
        <v/>
      </c>
      <c r="R1457" s="14" t="str">
        <f t="shared" si="66"/>
        <v/>
      </c>
      <c r="S1457" s="14" t="str">
        <f t="shared" si="67"/>
        <v/>
      </c>
      <c r="T1457" s="14" t="s">
        <v>72</v>
      </c>
      <c r="U1457" s="14">
        <v>203.41029624903129</v>
      </c>
      <c r="V1457">
        <v>3875</v>
      </c>
      <c r="W1457">
        <v>30.907373046875001</v>
      </c>
      <c r="X1457">
        <v>21.090492359864399</v>
      </c>
      <c r="Y1457">
        <v>3.5266602716909699</v>
      </c>
      <c r="Z1457" s="31">
        <v>2.61342920115644</v>
      </c>
      <c r="AA1457">
        <v>5.84222257323965</v>
      </c>
      <c r="AB1457">
        <v>0.06</v>
      </c>
      <c r="AC1457">
        <v>315161.74213064701</v>
      </c>
      <c r="AD1457">
        <v>356384.89800133562</v>
      </c>
      <c r="AE1457">
        <v>1</v>
      </c>
      <c r="AF1457">
        <v>1311.769844473343</v>
      </c>
      <c r="AG1457">
        <v>70811.270315602975</v>
      </c>
    </row>
    <row r="1458" spans="2:33" hidden="1" x14ac:dyDescent="0.25">
      <c r="B1458">
        <v>26</v>
      </c>
      <c r="C1458" t="s">
        <v>58</v>
      </c>
      <c r="D1458" t="s">
        <v>59</v>
      </c>
      <c r="E1458" t="s">
        <v>67</v>
      </c>
      <c r="F1458">
        <v>31878</v>
      </c>
      <c r="G1458">
        <v>107072</v>
      </c>
      <c r="H1458">
        <v>13</v>
      </c>
      <c r="I1458">
        <v>1472</v>
      </c>
      <c r="J1458">
        <v>1.710475194</v>
      </c>
      <c r="K1458">
        <v>420765</v>
      </c>
      <c r="L1458">
        <v>26667</v>
      </c>
      <c r="M1458">
        <v>244</v>
      </c>
      <c r="N1458">
        <v>29467</v>
      </c>
      <c r="O1458" s="43">
        <v>3800811.296440844</v>
      </c>
      <c r="P1458" s="14">
        <f t="shared" si="68"/>
        <v>260039.05480166199</v>
      </c>
      <c r="Q1458" s="14" t="str">
        <f t="shared" si="66"/>
        <v/>
      </c>
      <c r="R1458" s="14" t="str">
        <f t="shared" si="66"/>
        <v/>
      </c>
      <c r="S1458" s="14" t="str">
        <f t="shared" si="67"/>
        <v/>
      </c>
      <c r="T1458" s="14" t="s">
        <v>72</v>
      </c>
      <c r="U1458" s="14">
        <v>176.65696657721602</v>
      </c>
      <c r="V1458">
        <v>3875</v>
      </c>
      <c r="W1458">
        <v>24.968408203125001</v>
      </c>
      <c r="X1458">
        <v>35.816968238297399</v>
      </c>
      <c r="Y1458">
        <v>2.0298195265348302</v>
      </c>
      <c r="Z1458" s="31">
        <v>4.2593500512024596</v>
      </c>
      <c r="AA1458">
        <v>13.8643935431699</v>
      </c>
      <c r="AB1458">
        <v>0.06</v>
      </c>
      <c r="AC1458">
        <v>315161.74213064701</v>
      </c>
      <c r="AD1458">
        <v>356384.89800133562</v>
      </c>
      <c r="AE1458">
        <v>1</v>
      </c>
      <c r="AF1458">
        <v>1311.769844473343</v>
      </c>
      <c r="AG1458">
        <v>70811.270315602975</v>
      </c>
    </row>
    <row r="1459" spans="2:33" hidden="1" x14ac:dyDescent="0.25">
      <c r="B1459">
        <v>26</v>
      </c>
      <c r="C1459" t="s">
        <v>58</v>
      </c>
      <c r="D1459" t="s">
        <v>59</v>
      </c>
      <c r="E1459" t="s">
        <v>67</v>
      </c>
      <c r="F1459">
        <v>56422</v>
      </c>
      <c r="G1459">
        <v>107072</v>
      </c>
      <c r="H1459">
        <v>14</v>
      </c>
      <c r="I1459">
        <v>2321</v>
      </c>
      <c r="J1459">
        <v>11.91990436</v>
      </c>
      <c r="K1459">
        <v>420765</v>
      </c>
      <c r="L1459">
        <v>26667</v>
      </c>
      <c r="M1459">
        <v>244</v>
      </c>
      <c r="N1459">
        <v>29467</v>
      </c>
      <c r="O1459" s="43">
        <v>4240117.1161281401</v>
      </c>
      <c r="P1459" s="14">
        <f t="shared" si="68"/>
        <v>439305.81968729617</v>
      </c>
      <c r="Q1459" s="14" t="str">
        <f t="shared" si="66"/>
        <v/>
      </c>
      <c r="R1459" s="14" t="str">
        <f t="shared" si="66"/>
        <v/>
      </c>
      <c r="S1459" s="14" t="str">
        <f t="shared" si="67"/>
        <v/>
      </c>
      <c r="T1459" s="14" t="s">
        <v>72</v>
      </c>
      <c r="U1459" s="14">
        <v>189.27437298030836</v>
      </c>
      <c r="V1459">
        <v>3875</v>
      </c>
      <c r="W1459">
        <v>14.4905029296875</v>
      </c>
      <c r="X1459">
        <v>48.944777235499302</v>
      </c>
      <c r="Y1459">
        <v>0.84353508845062197</v>
      </c>
      <c r="Z1459" s="31">
        <v>5.5889738415318702</v>
      </c>
      <c r="AA1459">
        <v>6.5673631488406397</v>
      </c>
      <c r="AB1459">
        <v>0.06</v>
      </c>
      <c r="AC1459">
        <v>315161.74213064701</v>
      </c>
      <c r="AD1459">
        <v>356384.89800133562</v>
      </c>
      <c r="AE1459">
        <v>1</v>
      </c>
      <c r="AF1459">
        <v>1311.769844473343</v>
      </c>
      <c r="AG1459">
        <v>70811.270315602975</v>
      </c>
    </row>
    <row r="1460" spans="2:33" hidden="1" x14ac:dyDescent="0.25">
      <c r="B1460">
        <v>26</v>
      </c>
      <c r="C1460" t="s">
        <v>58</v>
      </c>
      <c r="D1460" t="s">
        <v>59</v>
      </c>
      <c r="E1460" t="s">
        <v>67</v>
      </c>
      <c r="F1460">
        <v>64500</v>
      </c>
      <c r="G1460">
        <v>107072</v>
      </c>
      <c r="H1460">
        <v>15</v>
      </c>
      <c r="I1460">
        <v>9514</v>
      </c>
      <c r="J1460">
        <v>3.9231171549999999</v>
      </c>
      <c r="K1460">
        <v>420765</v>
      </c>
      <c r="L1460">
        <v>26667</v>
      </c>
      <c r="M1460">
        <v>244</v>
      </c>
      <c r="N1460">
        <v>29467</v>
      </c>
      <c r="O1460" s="43">
        <v>4655781.5823637843</v>
      </c>
      <c r="P1460" s="14">
        <f t="shared" si="68"/>
        <v>415664.46623564418</v>
      </c>
      <c r="Q1460" s="14" t="str">
        <f t="shared" si="66"/>
        <v/>
      </c>
      <c r="R1460" s="14" t="str">
        <f t="shared" si="66"/>
        <v/>
      </c>
      <c r="S1460" s="14" t="str">
        <f t="shared" si="67"/>
        <v/>
      </c>
      <c r="T1460" s="14" t="s">
        <v>72</v>
      </c>
      <c r="U1460" s="14">
        <v>43.689769417242402</v>
      </c>
      <c r="V1460">
        <v>3875</v>
      </c>
      <c r="W1460">
        <v>23.011315917968801</v>
      </c>
      <c r="X1460">
        <v>24.6288565543117</v>
      </c>
      <c r="Y1460">
        <v>2.12014114663307</v>
      </c>
      <c r="Z1460" s="31">
        <v>3.15303992775981</v>
      </c>
      <c r="AA1460">
        <v>6.1471386672189796</v>
      </c>
      <c r="AB1460">
        <v>0.06</v>
      </c>
      <c r="AC1460">
        <v>315161.74213064701</v>
      </c>
      <c r="AD1460">
        <v>356384.89800133562</v>
      </c>
      <c r="AE1460">
        <v>1</v>
      </c>
      <c r="AF1460">
        <v>1311.769844473343</v>
      </c>
      <c r="AG1460">
        <v>70811.270315602975</v>
      </c>
    </row>
    <row r="1461" spans="2:33" hidden="1" x14ac:dyDescent="0.25">
      <c r="B1461">
        <v>26</v>
      </c>
      <c r="C1461" t="s">
        <v>58</v>
      </c>
      <c r="D1461" t="s">
        <v>59</v>
      </c>
      <c r="E1461" t="s">
        <v>67</v>
      </c>
      <c r="F1461">
        <v>64500</v>
      </c>
      <c r="G1461">
        <v>107072</v>
      </c>
      <c r="H1461">
        <v>16</v>
      </c>
      <c r="I1461">
        <v>3522</v>
      </c>
      <c r="J1461">
        <v>0</v>
      </c>
      <c r="K1461">
        <v>420765</v>
      </c>
      <c r="L1461">
        <v>26667</v>
      </c>
      <c r="M1461">
        <v>244</v>
      </c>
      <c r="N1461">
        <v>29467</v>
      </c>
      <c r="O1461" s="43">
        <v>5176227.5086041903</v>
      </c>
      <c r="P1461" s="14">
        <f t="shared" si="68"/>
        <v>520445.926240406</v>
      </c>
      <c r="Q1461" s="14" t="str">
        <f t="shared" si="66"/>
        <v/>
      </c>
      <c r="R1461" s="14" t="str">
        <f t="shared" si="66"/>
        <v/>
      </c>
      <c r="S1461" s="14" t="str">
        <f t="shared" si="67"/>
        <v/>
      </c>
      <c r="T1461" s="14" t="s">
        <v>72</v>
      </c>
      <c r="U1461" s="14">
        <v>147.76999609324417</v>
      </c>
      <c r="V1461">
        <v>3875</v>
      </c>
      <c r="W1461">
        <v>20.354516601562501</v>
      </c>
      <c r="X1461">
        <v>47.297370922247403</v>
      </c>
      <c r="Y1461">
        <v>1.2603145545049901</v>
      </c>
      <c r="Z1461" s="31">
        <v>4.5481732321316404</v>
      </c>
      <c r="AA1461">
        <v>5.5336725954696897</v>
      </c>
      <c r="AB1461">
        <v>0.06</v>
      </c>
      <c r="AC1461">
        <v>315161.74213064701</v>
      </c>
      <c r="AD1461">
        <v>356384.89800133562</v>
      </c>
      <c r="AE1461">
        <v>1</v>
      </c>
      <c r="AF1461">
        <v>1311.769844473343</v>
      </c>
      <c r="AG1461">
        <v>70811.270315602975</v>
      </c>
    </row>
    <row r="1462" spans="2:33" hidden="1" x14ac:dyDescent="0.25">
      <c r="B1462">
        <v>26</v>
      </c>
      <c r="C1462" t="s">
        <v>58</v>
      </c>
      <c r="D1462" t="s">
        <v>59</v>
      </c>
      <c r="E1462" t="s">
        <v>67</v>
      </c>
      <c r="F1462">
        <v>67534</v>
      </c>
      <c r="G1462">
        <v>107072</v>
      </c>
      <c r="H1462">
        <v>17</v>
      </c>
      <c r="I1462">
        <v>24544</v>
      </c>
      <c r="J1462">
        <v>1.4734757919999999</v>
      </c>
      <c r="K1462">
        <v>420765</v>
      </c>
      <c r="L1462">
        <v>26667</v>
      </c>
      <c r="M1462">
        <v>244</v>
      </c>
      <c r="N1462">
        <v>29467</v>
      </c>
      <c r="O1462" s="43">
        <v>5846092.2450117916</v>
      </c>
      <c r="P1462" s="14">
        <f t="shared" si="68"/>
        <v>669864.73640760127</v>
      </c>
      <c r="Q1462" s="14" t="str">
        <f t="shared" si="66"/>
        <v/>
      </c>
      <c r="R1462" s="14" t="str">
        <f t="shared" si="66"/>
        <v/>
      </c>
      <c r="S1462" s="14" t="str">
        <f t="shared" si="67"/>
        <v/>
      </c>
      <c r="T1462" s="14" t="s">
        <v>72</v>
      </c>
      <c r="U1462" s="14">
        <v>27.292402884925085</v>
      </c>
      <c r="V1462">
        <v>3875</v>
      </c>
      <c r="W1462">
        <v>17.794824218750001</v>
      </c>
      <c r="X1462">
        <v>47.325615131914802</v>
      </c>
      <c r="Y1462">
        <v>1.0741362189899799</v>
      </c>
      <c r="Z1462" s="31">
        <v>1.91489674283958</v>
      </c>
      <c r="AA1462">
        <v>2.78448389808851</v>
      </c>
      <c r="AB1462">
        <v>0.06</v>
      </c>
      <c r="AC1462">
        <v>315161.74213064701</v>
      </c>
      <c r="AD1462">
        <v>356384.89800133562</v>
      </c>
      <c r="AE1462">
        <v>1</v>
      </c>
      <c r="AF1462">
        <v>1311.769844473343</v>
      </c>
      <c r="AG1462">
        <v>70811.270315602975</v>
      </c>
    </row>
    <row r="1463" spans="2:33" hidden="1" x14ac:dyDescent="0.25">
      <c r="B1463">
        <v>26</v>
      </c>
      <c r="C1463" t="s">
        <v>58</v>
      </c>
      <c r="D1463" t="s">
        <v>59</v>
      </c>
      <c r="E1463" t="s">
        <v>67</v>
      </c>
      <c r="F1463">
        <v>68193</v>
      </c>
      <c r="G1463">
        <v>107072</v>
      </c>
      <c r="H1463">
        <v>18</v>
      </c>
      <c r="I1463">
        <v>8078</v>
      </c>
      <c r="J1463">
        <v>0.32004632399999999</v>
      </c>
      <c r="K1463">
        <v>420765</v>
      </c>
      <c r="L1463">
        <v>26667</v>
      </c>
      <c r="M1463">
        <v>244</v>
      </c>
      <c r="N1463">
        <v>29467</v>
      </c>
      <c r="O1463" s="43">
        <v>6576853.7756382655</v>
      </c>
      <c r="P1463" s="14">
        <f t="shared" si="68"/>
        <v>730761.53062647395</v>
      </c>
      <c r="Q1463" s="14" t="str">
        <f t="shared" si="66"/>
        <v/>
      </c>
      <c r="R1463" s="14" t="str">
        <f t="shared" si="66"/>
        <v/>
      </c>
      <c r="S1463" s="14" t="str">
        <f t="shared" si="67"/>
        <v/>
      </c>
      <c r="T1463" s="14" t="s">
        <v>72</v>
      </c>
      <c r="U1463" s="14">
        <v>90.463175368466693</v>
      </c>
      <c r="V1463">
        <v>3875</v>
      </c>
      <c r="W1463">
        <v>18.739770507812501</v>
      </c>
      <c r="X1463">
        <v>44.849785610603199</v>
      </c>
      <c r="Y1463">
        <v>1.1932199290727801</v>
      </c>
      <c r="Z1463" s="31">
        <v>2.2405127474599502</v>
      </c>
      <c r="AA1463">
        <v>2.9003636819699099</v>
      </c>
      <c r="AB1463">
        <v>0.06</v>
      </c>
      <c r="AC1463">
        <v>315161.74213064701</v>
      </c>
      <c r="AD1463">
        <v>356384.89800133562</v>
      </c>
      <c r="AE1463">
        <v>1</v>
      </c>
      <c r="AF1463">
        <v>1311.769844473343</v>
      </c>
      <c r="AG1463">
        <v>70811.270315602975</v>
      </c>
    </row>
    <row r="1464" spans="2:33" hidden="1" x14ac:dyDescent="0.25">
      <c r="B1464">
        <v>26</v>
      </c>
      <c r="C1464" t="s">
        <v>58</v>
      </c>
      <c r="D1464" t="s">
        <v>59</v>
      </c>
      <c r="E1464" t="s">
        <v>67</v>
      </c>
      <c r="F1464">
        <v>68193</v>
      </c>
      <c r="G1464">
        <v>107072</v>
      </c>
      <c r="H1464">
        <v>19</v>
      </c>
      <c r="I1464">
        <v>0</v>
      </c>
      <c r="J1464">
        <v>0</v>
      </c>
      <c r="K1464">
        <v>420765</v>
      </c>
      <c r="L1464">
        <v>26667</v>
      </c>
      <c r="M1464">
        <v>244</v>
      </c>
      <c r="N1464">
        <v>29467</v>
      </c>
      <c r="O1464" s="43">
        <v>7307615.3062647386</v>
      </c>
      <c r="P1464" s="14">
        <f t="shared" si="68"/>
        <v>730761.53062647302</v>
      </c>
      <c r="Q1464" s="14" t="str">
        <f t="shared" si="66"/>
        <v/>
      </c>
      <c r="R1464" s="14" t="str">
        <f t="shared" si="66"/>
        <v/>
      </c>
      <c r="S1464" s="14" t="str">
        <f t="shared" si="67"/>
        <v/>
      </c>
      <c r="T1464" s="14" t="s">
        <v>72</v>
      </c>
      <c r="U1464" s="14">
        <v>0</v>
      </c>
      <c r="V1464">
        <v>3875</v>
      </c>
      <c r="W1464">
        <v>15.5913330078125</v>
      </c>
      <c r="X1464">
        <v>40.797494638692399</v>
      </c>
      <c r="Y1464">
        <v>1.04986793473187</v>
      </c>
      <c r="Z1464" s="31">
        <v>4.6060766697972397</v>
      </c>
      <c r="AA1464">
        <v>10.3752022517813</v>
      </c>
      <c r="AB1464">
        <v>0.06</v>
      </c>
      <c r="AC1464">
        <v>315161.74213064701</v>
      </c>
      <c r="AD1464">
        <v>356384.89800133562</v>
      </c>
      <c r="AE1464">
        <v>1</v>
      </c>
      <c r="AF1464">
        <v>1311.769844473343</v>
      </c>
      <c r="AG1464">
        <v>70811.270315602975</v>
      </c>
    </row>
    <row r="1465" spans="2:33" hidden="1" x14ac:dyDescent="0.25">
      <c r="B1465">
        <v>26</v>
      </c>
      <c r="C1465" t="s">
        <v>58</v>
      </c>
      <c r="D1465" t="s">
        <v>59</v>
      </c>
      <c r="E1465" t="s">
        <v>67</v>
      </c>
      <c r="F1465">
        <v>71913</v>
      </c>
      <c r="G1465">
        <v>107072</v>
      </c>
      <c r="H1465">
        <v>20</v>
      </c>
      <c r="I1465">
        <v>3034</v>
      </c>
      <c r="J1465">
        <v>1.806634788</v>
      </c>
      <c r="K1465">
        <v>420765</v>
      </c>
      <c r="L1465">
        <v>26667</v>
      </c>
      <c r="M1465">
        <v>244</v>
      </c>
      <c r="N1465">
        <v>29467</v>
      </c>
      <c r="O1465" s="43">
        <v>8038376.8368912134</v>
      </c>
      <c r="P1465" s="14">
        <f t="shared" si="68"/>
        <v>730761.53062647488</v>
      </c>
      <c r="Q1465" s="14" t="str">
        <f t="shared" si="66"/>
        <v/>
      </c>
      <c r="R1465" s="14" t="str">
        <f t="shared" si="66"/>
        <v/>
      </c>
      <c r="S1465" s="14" t="str">
        <f t="shared" si="67"/>
        <v/>
      </c>
      <c r="T1465" s="14" t="s">
        <v>72</v>
      </c>
      <c r="U1465" s="14">
        <v>240.85745900674817</v>
      </c>
      <c r="V1465">
        <v>3875</v>
      </c>
      <c r="W1465">
        <v>16.823754882812501</v>
      </c>
      <c r="X1465">
        <v>33.801367801195603</v>
      </c>
      <c r="Y1465">
        <v>1.2697942183578299</v>
      </c>
      <c r="Z1465" s="31">
        <v>2.04398433394713</v>
      </c>
      <c r="AA1465">
        <v>2.4848198958110199</v>
      </c>
      <c r="AB1465">
        <v>0.06</v>
      </c>
      <c r="AC1465">
        <v>315161.74213064701</v>
      </c>
      <c r="AD1465">
        <v>356384.89800133562</v>
      </c>
      <c r="AE1465">
        <v>1</v>
      </c>
      <c r="AF1465">
        <v>1311.769844473343</v>
      </c>
      <c r="AG1465">
        <v>70811.270315602975</v>
      </c>
    </row>
    <row r="1466" spans="2:33" hidden="1" x14ac:dyDescent="0.25">
      <c r="B1466">
        <v>26</v>
      </c>
      <c r="C1466" t="s">
        <v>58</v>
      </c>
      <c r="D1466" t="s">
        <v>59</v>
      </c>
      <c r="E1466" t="s">
        <v>67</v>
      </c>
      <c r="F1466">
        <v>73403</v>
      </c>
      <c r="G1466">
        <v>107072</v>
      </c>
      <c r="H1466">
        <v>21</v>
      </c>
      <c r="I1466">
        <v>659</v>
      </c>
      <c r="J1466">
        <v>0.72362522409999996</v>
      </c>
      <c r="K1466">
        <v>420765</v>
      </c>
      <c r="L1466">
        <v>26667</v>
      </c>
      <c r="M1466">
        <v>244</v>
      </c>
      <c r="N1466">
        <v>29467</v>
      </c>
      <c r="O1466" s="43">
        <v>9865280.6634573992</v>
      </c>
      <c r="P1466" s="14">
        <f t="shared" si="68"/>
        <v>1826903.8265661858</v>
      </c>
      <c r="Q1466" s="14" t="str">
        <f t="shared" si="66"/>
        <v/>
      </c>
      <c r="R1466" s="14" t="str">
        <f t="shared" si="66"/>
        <v/>
      </c>
      <c r="S1466" s="14" t="str">
        <f t="shared" si="67"/>
        <v/>
      </c>
      <c r="T1466" s="14" t="s">
        <v>72</v>
      </c>
      <c r="U1466" s="14">
        <v>2772.2364591292653</v>
      </c>
      <c r="V1466">
        <v>3875</v>
      </c>
      <c r="W1466">
        <v>20.117395019531301</v>
      </c>
      <c r="X1466">
        <v>27.295381587210599</v>
      </c>
      <c r="Y1466">
        <v>1.7137437387199901</v>
      </c>
      <c r="Z1466" s="31">
        <v>1.8866104142754401</v>
      </c>
      <c r="AA1466">
        <v>3.54612767254164</v>
      </c>
      <c r="AB1466">
        <v>0.06</v>
      </c>
      <c r="AC1466">
        <v>315161.74213064701</v>
      </c>
      <c r="AD1466">
        <v>356384.89800133562</v>
      </c>
      <c r="AE1466">
        <v>1</v>
      </c>
      <c r="AF1466">
        <v>1311.769844473343</v>
      </c>
      <c r="AG1466">
        <v>70811.270315602975</v>
      </c>
    </row>
    <row r="1467" spans="2:33" hidden="1" x14ac:dyDescent="0.25">
      <c r="B1467">
        <v>26</v>
      </c>
      <c r="C1467" t="s">
        <v>58</v>
      </c>
      <c r="D1467" t="s">
        <v>59</v>
      </c>
      <c r="E1467" t="s">
        <v>67</v>
      </c>
      <c r="F1467">
        <v>75055</v>
      </c>
      <c r="G1467">
        <v>107072</v>
      </c>
      <c r="H1467">
        <v>22</v>
      </c>
      <c r="I1467">
        <v>0</v>
      </c>
      <c r="J1467">
        <v>0.80230125519999995</v>
      </c>
      <c r="K1467">
        <v>420765</v>
      </c>
      <c r="L1467">
        <v>26667</v>
      </c>
      <c r="M1467">
        <v>244</v>
      </c>
      <c r="N1467">
        <v>29467</v>
      </c>
      <c r="O1467" s="43">
        <v>11083216.547834851</v>
      </c>
      <c r="P1467" s="14">
        <f t="shared" si="68"/>
        <v>1217935.8843774516</v>
      </c>
      <c r="Q1467" s="14" t="str">
        <f t="shared" si="66"/>
        <v/>
      </c>
      <c r="R1467" s="14" t="str">
        <f t="shared" si="66"/>
        <v/>
      </c>
      <c r="S1467" s="14" t="str">
        <f t="shared" si="67"/>
        <v/>
      </c>
      <c r="T1467" s="14" t="s">
        <v>72</v>
      </c>
      <c r="U1467" s="14">
        <v>0</v>
      </c>
      <c r="V1467">
        <v>3875</v>
      </c>
      <c r="W1467">
        <v>22.180505371093702</v>
      </c>
      <c r="X1467">
        <v>23.553275218025501</v>
      </c>
      <c r="Y1467">
        <v>2.0448360303845901</v>
      </c>
      <c r="Z1467" s="31">
        <v>0.55643754588317595</v>
      </c>
      <c r="AA1467">
        <v>2.2117193475812198</v>
      </c>
      <c r="AB1467">
        <v>0.06</v>
      </c>
      <c r="AC1467">
        <v>315161.74213064701</v>
      </c>
      <c r="AD1467">
        <v>356384.89800133562</v>
      </c>
      <c r="AE1467">
        <v>1</v>
      </c>
      <c r="AF1467">
        <v>1311.769844473343</v>
      </c>
      <c r="AG1467">
        <v>70811.270315602975</v>
      </c>
    </row>
    <row r="1468" spans="2:33" hidden="1" x14ac:dyDescent="0.25">
      <c r="B1468">
        <v>26</v>
      </c>
      <c r="C1468" t="s">
        <v>58</v>
      </c>
      <c r="D1468" t="s">
        <v>59</v>
      </c>
      <c r="E1468" t="s">
        <v>67</v>
      </c>
      <c r="F1468">
        <v>76764</v>
      </c>
      <c r="G1468">
        <v>107072</v>
      </c>
      <c r="H1468">
        <v>23</v>
      </c>
      <c r="I1468">
        <v>3720</v>
      </c>
      <c r="J1468">
        <v>0.82998356250000005</v>
      </c>
      <c r="K1468">
        <v>420765</v>
      </c>
      <c r="L1468">
        <v>26667</v>
      </c>
      <c r="M1468">
        <v>244</v>
      </c>
      <c r="N1468">
        <v>29467</v>
      </c>
      <c r="O1468" s="43">
        <v>11692184.490023579</v>
      </c>
      <c r="P1468" s="14">
        <f t="shared" si="68"/>
        <v>608967.9421887286</v>
      </c>
      <c r="Q1468" s="14" t="str">
        <f t="shared" si="66"/>
        <v/>
      </c>
      <c r="R1468" s="14" t="str">
        <f t="shared" si="66"/>
        <v/>
      </c>
      <c r="S1468" s="14" t="str">
        <f t="shared" si="67"/>
        <v/>
      </c>
      <c r="T1468" s="14" t="s">
        <v>72</v>
      </c>
      <c r="U1468" s="14">
        <v>163.70105972815284</v>
      </c>
      <c r="V1468">
        <v>3875</v>
      </c>
      <c r="W1468">
        <v>18.956384277343702</v>
      </c>
      <c r="X1468">
        <v>45.110439486493902</v>
      </c>
      <c r="Y1468">
        <v>1.2037251087918901</v>
      </c>
      <c r="Z1468" s="31">
        <v>3.4815904551274799</v>
      </c>
      <c r="AA1468">
        <v>7.2074354612287701</v>
      </c>
      <c r="AB1468">
        <v>0.06</v>
      </c>
      <c r="AC1468">
        <v>315161.74213064701</v>
      </c>
      <c r="AD1468">
        <v>356384.89800133562</v>
      </c>
      <c r="AE1468">
        <v>1</v>
      </c>
      <c r="AF1468">
        <v>1311.769844473343</v>
      </c>
      <c r="AG1468">
        <v>70811.270315602975</v>
      </c>
    </row>
    <row r="1469" spans="2:33" hidden="1" x14ac:dyDescent="0.25">
      <c r="B1469">
        <v>26</v>
      </c>
      <c r="C1469" t="s">
        <v>58</v>
      </c>
      <c r="D1469" t="s">
        <v>59</v>
      </c>
      <c r="E1469" t="s">
        <v>67</v>
      </c>
      <c r="F1469">
        <v>78937</v>
      </c>
      <c r="G1469">
        <v>107072</v>
      </c>
      <c r="H1469">
        <v>24</v>
      </c>
      <c r="I1469">
        <v>1490</v>
      </c>
      <c r="J1469">
        <v>1.055327256</v>
      </c>
      <c r="K1469">
        <v>420765</v>
      </c>
      <c r="L1469">
        <v>26667</v>
      </c>
      <c r="M1469">
        <v>244</v>
      </c>
      <c r="N1469">
        <v>29467</v>
      </c>
      <c r="O1469" s="43">
        <v>13153707.551276529</v>
      </c>
      <c r="P1469" s="14">
        <f t="shared" si="68"/>
        <v>1461523.0612529498</v>
      </c>
      <c r="Q1469" s="14" t="str">
        <f t="shared" si="66"/>
        <v/>
      </c>
      <c r="R1469" s="14" t="str">
        <f t="shared" si="66"/>
        <v/>
      </c>
      <c r="S1469" s="14" t="str">
        <f t="shared" si="67"/>
        <v/>
      </c>
      <c r="T1469" s="14" t="s">
        <v>72</v>
      </c>
      <c r="U1469" s="14">
        <v>980.88796057244826</v>
      </c>
      <c r="V1469">
        <v>3875</v>
      </c>
      <c r="W1469">
        <v>16.535607910156301</v>
      </c>
      <c r="X1469">
        <v>44.860551974196099</v>
      </c>
      <c r="Y1469">
        <v>1.0384420688187801</v>
      </c>
      <c r="Z1469" s="31">
        <v>3.8970046476739002</v>
      </c>
      <c r="AA1469">
        <v>7.2188903687509702</v>
      </c>
      <c r="AB1469">
        <v>0.06</v>
      </c>
      <c r="AC1469">
        <v>315161.74213064701</v>
      </c>
      <c r="AD1469">
        <v>356384.89800133562</v>
      </c>
      <c r="AE1469">
        <v>1</v>
      </c>
      <c r="AF1469">
        <v>1311.769844473343</v>
      </c>
      <c r="AG1469">
        <v>70811.270315602975</v>
      </c>
    </row>
    <row r="1470" spans="2:33" hidden="1" x14ac:dyDescent="0.25">
      <c r="B1470">
        <v>26</v>
      </c>
      <c r="C1470" t="s">
        <v>58</v>
      </c>
      <c r="D1470" t="s">
        <v>59</v>
      </c>
      <c r="E1470" t="s">
        <v>67</v>
      </c>
      <c r="F1470">
        <v>80841</v>
      </c>
      <c r="G1470">
        <v>107072</v>
      </c>
      <c r="H1470">
        <v>25</v>
      </c>
      <c r="I1470">
        <v>1652</v>
      </c>
      <c r="J1470">
        <v>0.92468619249999995</v>
      </c>
      <c r="K1470">
        <v>420765</v>
      </c>
      <c r="L1470">
        <v>26667</v>
      </c>
      <c r="M1470">
        <v>244</v>
      </c>
      <c r="N1470">
        <v>29467</v>
      </c>
      <c r="O1470" s="43">
        <v>14615230.612529481</v>
      </c>
      <c r="P1470" s="14">
        <f t="shared" si="68"/>
        <v>1461523.0612529516</v>
      </c>
      <c r="Q1470" s="14" t="str">
        <f t="shared" si="66"/>
        <v/>
      </c>
      <c r="R1470" s="14" t="str">
        <f t="shared" si="66"/>
        <v/>
      </c>
      <c r="S1470" s="14" t="str">
        <f t="shared" si="67"/>
        <v/>
      </c>
      <c r="T1470" s="14" t="s">
        <v>72</v>
      </c>
      <c r="U1470" s="14">
        <v>884.69918962042846</v>
      </c>
      <c r="V1470">
        <v>3875</v>
      </c>
      <c r="W1470">
        <v>24.107598876953102</v>
      </c>
      <c r="X1470">
        <v>24.995629368586702</v>
      </c>
      <c r="Y1470">
        <v>2.2536270251167299</v>
      </c>
      <c r="Z1470" s="31">
        <v>1.51263196740526</v>
      </c>
      <c r="AA1470">
        <v>5.2952024499346004</v>
      </c>
      <c r="AB1470">
        <v>0.06</v>
      </c>
      <c r="AC1470">
        <v>315161.74213064701</v>
      </c>
      <c r="AD1470">
        <v>356384.89800133562</v>
      </c>
      <c r="AE1470">
        <v>1</v>
      </c>
      <c r="AF1470">
        <v>1311.769844473343</v>
      </c>
      <c r="AG1470">
        <v>70811.270315602975</v>
      </c>
    </row>
    <row r="1471" spans="2:33" hidden="1" x14ac:dyDescent="0.25">
      <c r="B1471">
        <v>26</v>
      </c>
      <c r="C1471" t="s">
        <v>58</v>
      </c>
      <c r="D1471" t="s">
        <v>59</v>
      </c>
      <c r="E1471" t="s">
        <v>67</v>
      </c>
      <c r="F1471">
        <v>82222</v>
      </c>
      <c r="G1471">
        <v>107072</v>
      </c>
      <c r="H1471">
        <v>26</v>
      </c>
      <c r="I1471">
        <v>1709</v>
      </c>
      <c r="J1471">
        <v>0.6706888822</v>
      </c>
      <c r="K1471">
        <v>420765</v>
      </c>
      <c r="L1471">
        <v>26667</v>
      </c>
      <c r="M1471">
        <v>244</v>
      </c>
      <c r="N1471">
        <v>29467</v>
      </c>
      <c r="O1471" s="43">
        <v>15700411.48550979</v>
      </c>
      <c r="P1471" s="14">
        <f t="shared" si="68"/>
        <v>1085180.8729803097</v>
      </c>
      <c r="Q1471" s="14" t="str">
        <f t="shared" si="66"/>
        <v/>
      </c>
      <c r="R1471" s="14" t="str">
        <f t="shared" si="66"/>
        <v/>
      </c>
      <c r="S1471" s="14" t="str">
        <f t="shared" si="67"/>
        <v/>
      </c>
      <c r="T1471" s="14" t="s">
        <v>72</v>
      </c>
      <c r="U1471" s="14">
        <v>634.98003100076846</v>
      </c>
      <c r="V1471">
        <v>3875</v>
      </c>
      <c r="W1471">
        <v>25.978784179687501</v>
      </c>
      <c r="X1471">
        <v>22.703081661328401</v>
      </c>
      <c r="Y1471">
        <v>2.5959861536317499</v>
      </c>
      <c r="Z1471" s="31">
        <v>0.71714817648465801</v>
      </c>
      <c r="AA1471">
        <v>4.8199955799451297</v>
      </c>
      <c r="AB1471">
        <v>0.06</v>
      </c>
      <c r="AC1471">
        <v>315161.74213064701</v>
      </c>
      <c r="AD1471">
        <v>356384.89800133562</v>
      </c>
      <c r="AE1471">
        <v>1</v>
      </c>
      <c r="AF1471">
        <v>1311.769844473343</v>
      </c>
      <c r="AG1471">
        <v>70811.270315602975</v>
      </c>
    </row>
    <row r="1472" spans="2:33" hidden="1" x14ac:dyDescent="0.25">
      <c r="B1472">
        <v>26</v>
      </c>
      <c r="C1472" t="s">
        <v>58</v>
      </c>
      <c r="D1472" t="s">
        <v>59</v>
      </c>
      <c r="E1472" t="s">
        <v>67</v>
      </c>
      <c r="F1472">
        <v>83657</v>
      </c>
      <c r="G1472">
        <v>107072</v>
      </c>
      <c r="H1472">
        <v>27</v>
      </c>
      <c r="I1472">
        <v>2173</v>
      </c>
      <c r="J1472">
        <v>0.69691422589999996</v>
      </c>
      <c r="K1472">
        <v>420765</v>
      </c>
      <c r="L1472">
        <v>26667</v>
      </c>
      <c r="M1472">
        <v>244</v>
      </c>
      <c r="N1472">
        <v>29467</v>
      </c>
      <c r="O1472" s="43">
        <v>16563928.02753341</v>
      </c>
      <c r="P1472" s="14">
        <f t="shared" si="68"/>
        <v>863516.54202361964</v>
      </c>
      <c r="Q1472" s="14" t="str">
        <f t="shared" si="66"/>
        <v/>
      </c>
      <c r="R1472" s="14" t="str">
        <f t="shared" si="66"/>
        <v/>
      </c>
      <c r="S1472" s="14" t="str">
        <f t="shared" si="67"/>
        <v/>
      </c>
      <c r="T1472" s="14" t="s">
        <v>72</v>
      </c>
      <c r="U1472" s="14">
        <v>397.38451082541087</v>
      </c>
      <c r="V1472">
        <v>3875</v>
      </c>
      <c r="W1472">
        <v>15.924951171875</v>
      </c>
      <c r="X1472">
        <v>38.675756145696504</v>
      </c>
      <c r="Y1472">
        <v>1.1109324430912799</v>
      </c>
      <c r="Z1472" s="31">
        <v>5.3011608024130803</v>
      </c>
      <c r="AA1472">
        <v>9.0735373690850505</v>
      </c>
      <c r="AB1472">
        <v>0.06</v>
      </c>
      <c r="AC1472">
        <v>315161.74213064701</v>
      </c>
      <c r="AD1472">
        <v>356384.89800133562</v>
      </c>
      <c r="AE1472">
        <v>1</v>
      </c>
      <c r="AF1472">
        <v>1311.769844473343</v>
      </c>
      <c r="AG1472">
        <v>70811.270315602975</v>
      </c>
    </row>
    <row r="1473" spans="2:33" hidden="1" x14ac:dyDescent="0.25">
      <c r="B1473">
        <v>26</v>
      </c>
      <c r="C1473" t="s">
        <v>58</v>
      </c>
      <c r="D1473" t="s">
        <v>59</v>
      </c>
      <c r="E1473" t="s">
        <v>67</v>
      </c>
      <c r="F1473">
        <v>84509</v>
      </c>
      <c r="G1473">
        <v>107072</v>
      </c>
      <c r="H1473">
        <v>28</v>
      </c>
      <c r="I1473">
        <v>1904</v>
      </c>
      <c r="J1473">
        <v>0.41377764490000002</v>
      </c>
      <c r="K1473">
        <v>420765</v>
      </c>
      <c r="L1473">
        <v>26667</v>
      </c>
      <c r="M1473">
        <v>244</v>
      </c>
      <c r="N1473">
        <v>29467</v>
      </c>
      <c r="O1473" s="43">
        <v>17734364.41242015</v>
      </c>
      <c r="P1473" s="14">
        <f t="shared" si="68"/>
        <v>1170436.3848867398</v>
      </c>
      <c r="Q1473" s="14" t="str">
        <f t="shared" si="66"/>
        <v/>
      </c>
      <c r="R1473" s="14" t="str">
        <f t="shared" si="66"/>
        <v/>
      </c>
      <c r="S1473" s="14" t="str">
        <f t="shared" si="67"/>
        <v/>
      </c>
      <c r="T1473" s="14" t="s">
        <v>72</v>
      </c>
      <c r="U1473" s="14">
        <v>614.72499206236137</v>
      </c>
      <c r="V1473">
        <v>3875</v>
      </c>
      <c r="W1473">
        <v>14.6245361328125</v>
      </c>
      <c r="X1473">
        <v>39.816452569501898</v>
      </c>
      <c r="Y1473">
        <v>1.0030220574454101</v>
      </c>
      <c r="Z1473" s="31">
        <v>4.1445941562983997</v>
      </c>
      <c r="AA1473">
        <v>10.3664018902012</v>
      </c>
      <c r="AB1473">
        <v>0.06</v>
      </c>
      <c r="AC1473">
        <v>315161.74213064701</v>
      </c>
      <c r="AD1473">
        <v>356384.89800133562</v>
      </c>
      <c r="AE1473">
        <v>1</v>
      </c>
      <c r="AF1473">
        <v>1311.769844473343</v>
      </c>
      <c r="AG1473">
        <v>70811.270315602975</v>
      </c>
    </row>
    <row r="1474" spans="2:33" hidden="1" x14ac:dyDescent="0.25">
      <c r="B1474">
        <v>26</v>
      </c>
      <c r="C1474" t="s">
        <v>58</v>
      </c>
      <c r="D1474" t="s">
        <v>59</v>
      </c>
      <c r="E1474" t="s">
        <v>67</v>
      </c>
      <c r="F1474">
        <v>85639</v>
      </c>
      <c r="G1474">
        <v>107072</v>
      </c>
      <c r="H1474">
        <v>29</v>
      </c>
      <c r="I1474">
        <v>1381</v>
      </c>
      <c r="J1474">
        <v>0.54878959949999995</v>
      </c>
      <c r="K1474">
        <v>420765</v>
      </c>
      <c r="L1474">
        <v>26667</v>
      </c>
      <c r="M1474">
        <v>244</v>
      </c>
      <c r="N1474">
        <v>29467</v>
      </c>
      <c r="O1474" s="43">
        <v>18686790.274003319</v>
      </c>
      <c r="P1474" s="14">
        <f t="shared" si="68"/>
        <v>952425.86158316955</v>
      </c>
      <c r="Q1474" s="14" t="str">
        <f t="shared" si="66"/>
        <v/>
      </c>
      <c r="R1474" s="14" t="str">
        <f t="shared" si="66"/>
        <v/>
      </c>
      <c r="S1474" s="14" t="str">
        <f t="shared" si="67"/>
        <v/>
      </c>
      <c r="T1474" s="14" t="s">
        <v>72</v>
      </c>
      <c r="U1474" s="14">
        <v>689.66391135638639</v>
      </c>
      <c r="V1474">
        <v>3875</v>
      </c>
      <c r="W1474">
        <v>19.154321289062501</v>
      </c>
      <c r="X1474">
        <v>26.444114611511701</v>
      </c>
      <c r="Y1474">
        <v>1.63332595605862</v>
      </c>
      <c r="Z1474" s="31">
        <v>1.88943204922226</v>
      </c>
      <c r="AA1474">
        <v>5.4600357560935198</v>
      </c>
      <c r="AB1474">
        <v>0.06</v>
      </c>
      <c r="AC1474">
        <v>315161.74213064701</v>
      </c>
      <c r="AD1474">
        <v>356384.89800133562</v>
      </c>
      <c r="AE1474">
        <v>1</v>
      </c>
      <c r="AF1474">
        <v>1311.769844473343</v>
      </c>
      <c r="AG1474">
        <v>70811.270315602975</v>
      </c>
    </row>
    <row r="1475" spans="2:33" hidden="1" x14ac:dyDescent="0.25">
      <c r="B1475">
        <v>26</v>
      </c>
      <c r="C1475" t="s">
        <v>58</v>
      </c>
      <c r="D1475" t="s">
        <v>59</v>
      </c>
      <c r="E1475" t="s">
        <v>67</v>
      </c>
      <c r="F1475">
        <v>88353</v>
      </c>
      <c r="G1475">
        <v>107072</v>
      </c>
      <c r="H1475">
        <v>30</v>
      </c>
      <c r="I1475">
        <v>1435</v>
      </c>
      <c r="J1475">
        <v>1.3180663480000001</v>
      </c>
      <c r="K1475">
        <v>420765</v>
      </c>
      <c r="L1475">
        <v>26667</v>
      </c>
      <c r="M1475">
        <v>244</v>
      </c>
      <c r="N1475">
        <v>29467</v>
      </c>
      <c r="O1475" s="43">
        <v>20103249.707534298</v>
      </c>
      <c r="P1475" s="14">
        <f t="shared" si="68"/>
        <v>1416459.4335309789</v>
      </c>
      <c r="Q1475" s="14" t="str">
        <f t="shared" ref="Q1475:R1538" si="69">IF(P1475&gt;=0,"",P1475)</f>
        <v/>
      </c>
      <c r="R1475" s="14" t="str">
        <f t="shared" si="69"/>
        <v/>
      </c>
      <c r="S1475" s="14" t="str">
        <f t="shared" ref="S1475:S1538" si="70">IFERROR(IF(ISNA(Q1475),NA(),Q1475^2),"")</f>
        <v/>
      </c>
      <c r="T1475" s="14" t="s">
        <v>72</v>
      </c>
      <c r="U1475" s="14">
        <v>987.07974462089373</v>
      </c>
      <c r="V1475">
        <v>3875</v>
      </c>
      <c r="W1475">
        <v>21.521203613281301</v>
      </c>
      <c r="X1475">
        <v>26.811872783781599</v>
      </c>
      <c r="Y1475">
        <v>1.88051808383552</v>
      </c>
      <c r="Z1475" s="31">
        <v>1.0662741511571501</v>
      </c>
      <c r="AA1475">
        <v>5.5826804349671901</v>
      </c>
      <c r="AB1475">
        <v>0.06</v>
      </c>
      <c r="AC1475">
        <v>315161.74213064701</v>
      </c>
      <c r="AD1475">
        <v>356384.89800133562</v>
      </c>
      <c r="AE1475">
        <v>1</v>
      </c>
      <c r="AF1475">
        <v>1311.769844473343</v>
      </c>
      <c r="AG1475">
        <v>70811.270315602975</v>
      </c>
    </row>
    <row r="1476" spans="2:33" hidden="1" x14ac:dyDescent="0.25">
      <c r="B1476">
        <v>26</v>
      </c>
      <c r="C1476" t="s">
        <v>58</v>
      </c>
      <c r="D1476" t="s">
        <v>59</v>
      </c>
      <c r="E1476" t="s">
        <v>67</v>
      </c>
      <c r="F1476">
        <v>89879</v>
      </c>
      <c r="G1476">
        <v>107072</v>
      </c>
      <c r="H1476">
        <v>31</v>
      </c>
      <c r="I1476">
        <v>852</v>
      </c>
      <c r="J1476">
        <v>0.74110878660000001</v>
      </c>
      <c r="K1476">
        <v>420765</v>
      </c>
      <c r="L1476">
        <v>26667</v>
      </c>
      <c r="M1476">
        <v>244</v>
      </c>
      <c r="N1476">
        <v>29467</v>
      </c>
      <c r="O1476" s="43">
        <v>21207917.554664649</v>
      </c>
      <c r="P1476" s="14">
        <f t="shared" ref="P1476:P1539" si="71">O1476-O1475</f>
        <v>1104667.8471303508</v>
      </c>
      <c r="Q1476" s="14" t="str">
        <f t="shared" si="69"/>
        <v/>
      </c>
      <c r="R1476" s="14" t="str">
        <f t="shared" si="69"/>
        <v/>
      </c>
      <c r="S1476" s="14" t="str">
        <f t="shared" si="70"/>
        <v/>
      </c>
      <c r="T1476" s="14" t="s">
        <v>72</v>
      </c>
      <c r="U1476" s="14">
        <v>1296.5585060215428</v>
      </c>
      <c r="V1476">
        <v>3875</v>
      </c>
      <c r="W1476">
        <v>21.997399902343702</v>
      </c>
      <c r="X1476">
        <v>18.162032997240502</v>
      </c>
      <c r="Y1476">
        <v>2.1648655943441701</v>
      </c>
      <c r="Z1476" s="31">
        <v>1.45286827694126</v>
      </c>
      <c r="AA1476">
        <v>5.4863001956861996</v>
      </c>
      <c r="AB1476">
        <v>0.06</v>
      </c>
      <c r="AC1476">
        <v>315161.74213064701</v>
      </c>
      <c r="AD1476">
        <v>356384.89800133562</v>
      </c>
      <c r="AE1476">
        <v>1</v>
      </c>
      <c r="AF1476">
        <v>1311.769844473343</v>
      </c>
      <c r="AG1476">
        <v>70811.270315602975</v>
      </c>
    </row>
    <row r="1477" spans="2:33" hidden="1" x14ac:dyDescent="0.25">
      <c r="B1477">
        <v>26</v>
      </c>
      <c r="C1477" t="s">
        <v>58</v>
      </c>
      <c r="D1477" t="s">
        <v>59</v>
      </c>
      <c r="E1477" t="s">
        <v>67</v>
      </c>
      <c r="F1477">
        <v>92779</v>
      </c>
      <c r="G1477">
        <v>107072</v>
      </c>
      <c r="H1477">
        <v>32</v>
      </c>
      <c r="I1477">
        <v>1130</v>
      </c>
      <c r="J1477">
        <v>1.4083980869999999</v>
      </c>
      <c r="K1477">
        <v>420765</v>
      </c>
      <c r="L1477">
        <v>26667</v>
      </c>
      <c r="M1477">
        <v>244</v>
      </c>
      <c r="N1477">
        <v>29467</v>
      </c>
      <c r="O1477" s="43">
        <v>22486750.233260982</v>
      </c>
      <c r="P1477" s="14">
        <f t="shared" si="71"/>
        <v>1278832.6785963327</v>
      </c>
      <c r="Q1477" s="14" t="str">
        <f t="shared" si="69"/>
        <v/>
      </c>
      <c r="R1477" s="14" t="str">
        <f t="shared" si="69"/>
        <v/>
      </c>
      <c r="S1477" s="14" t="str">
        <f t="shared" si="70"/>
        <v/>
      </c>
      <c r="T1477" s="14" t="s">
        <v>72</v>
      </c>
      <c r="U1477" s="14">
        <v>1131.7103350409991</v>
      </c>
      <c r="V1477">
        <v>3875</v>
      </c>
      <c r="W1477">
        <v>25.153588867187501</v>
      </c>
      <c r="X1477">
        <v>24.323003104439099</v>
      </c>
      <c r="Y1477">
        <v>2.42027316863433</v>
      </c>
      <c r="Z1477" s="31">
        <v>0.92762723630345001</v>
      </c>
      <c r="AA1477">
        <v>7.9563569569506098</v>
      </c>
      <c r="AB1477">
        <v>0.06</v>
      </c>
      <c r="AC1477">
        <v>315161.74213064701</v>
      </c>
      <c r="AD1477">
        <v>356384.89800133562</v>
      </c>
      <c r="AE1477">
        <v>1</v>
      </c>
      <c r="AF1477">
        <v>1311.769844473343</v>
      </c>
      <c r="AG1477">
        <v>70811.270315602975</v>
      </c>
    </row>
    <row r="1478" spans="2:33" hidden="1" x14ac:dyDescent="0.25">
      <c r="B1478">
        <v>26</v>
      </c>
      <c r="C1478" t="s">
        <v>58</v>
      </c>
      <c r="D1478" t="s">
        <v>59</v>
      </c>
      <c r="E1478" t="s">
        <v>67</v>
      </c>
      <c r="F1478">
        <v>94206</v>
      </c>
      <c r="G1478">
        <v>107072</v>
      </c>
      <c r="H1478">
        <v>33</v>
      </c>
      <c r="I1478">
        <v>2714</v>
      </c>
      <c r="J1478">
        <v>0.69302898980000005</v>
      </c>
      <c r="K1478">
        <v>420765</v>
      </c>
      <c r="L1478">
        <v>26667</v>
      </c>
      <c r="M1478">
        <v>244</v>
      </c>
      <c r="N1478">
        <v>29467</v>
      </c>
      <c r="O1478" s="43">
        <v>23580456.657431941</v>
      </c>
      <c r="P1478" s="14">
        <f t="shared" si="71"/>
        <v>1093706.4241709597</v>
      </c>
      <c r="Q1478" s="14" t="str">
        <f t="shared" si="69"/>
        <v/>
      </c>
      <c r="R1478" s="14" t="str">
        <f t="shared" si="69"/>
        <v/>
      </c>
      <c r="S1478" s="14" t="str">
        <f t="shared" si="70"/>
        <v/>
      </c>
      <c r="T1478" s="14" t="s">
        <v>72</v>
      </c>
      <c r="U1478" s="14">
        <v>402.98689173579811</v>
      </c>
      <c r="V1478">
        <v>3875</v>
      </c>
      <c r="W1478">
        <v>24.906518554687501</v>
      </c>
      <c r="X1478">
        <v>31.297640927046299</v>
      </c>
      <c r="Y1478">
        <v>2.1649265554221899</v>
      </c>
      <c r="Z1478" s="31">
        <v>3.0786250144090599</v>
      </c>
      <c r="AA1478">
        <v>9.8004376332956902</v>
      </c>
      <c r="AB1478">
        <v>0.06</v>
      </c>
      <c r="AC1478">
        <v>315161.74213064701</v>
      </c>
      <c r="AD1478">
        <v>356384.89800133562</v>
      </c>
      <c r="AE1478">
        <v>1</v>
      </c>
      <c r="AF1478">
        <v>1311.769844473343</v>
      </c>
      <c r="AG1478">
        <v>70811.270315602975</v>
      </c>
    </row>
    <row r="1479" spans="2:33" hidden="1" x14ac:dyDescent="0.25">
      <c r="B1479">
        <v>26</v>
      </c>
      <c r="C1479" t="s">
        <v>58</v>
      </c>
      <c r="D1479" t="s">
        <v>59</v>
      </c>
      <c r="E1479" t="s">
        <v>67</v>
      </c>
      <c r="F1479">
        <v>97288</v>
      </c>
      <c r="G1479">
        <v>107072</v>
      </c>
      <c r="H1479">
        <v>34</v>
      </c>
      <c r="I1479">
        <v>1526</v>
      </c>
      <c r="J1479">
        <v>1.4967872090000001</v>
      </c>
      <c r="K1479">
        <v>420765</v>
      </c>
      <c r="L1479">
        <v>26667</v>
      </c>
      <c r="M1479">
        <v>244</v>
      </c>
      <c r="N1479">
        <v>29467</v>
      </c>
      <c r="O1479" s="43">
        <v>25256336.434335321</v>
      </c>
      <c r="P1479" s="14">
        <f t="shared" si="71"/>
        <v>1675879.7769033797</v>
      </c>
      <c r="Q1479" s="14" t="str">
        <f t="shared" si="69"/>
        <v/>
      </c>
      <c r="R1479" s="14" t="str">
        <f t="shared" si="69"/>
        <v/>
      </c>
      <c r="S1479" s="14" t="str">
        <f t="shared" si="70"/>
        <v/>
      </c>
      <c r="T1479" s="14" t="s">
        <v>72</v>
      </c>
      <c r="U1479" s="14">
        <v>1098.2174160572606</v>
      </c>
      <c r="V1479">
        <v>3875</v>
      </c>
      <c r="W1479">
        <v>26.011621093750001</v>
      </c>
      <c r="X1479">
        <v>20.181198940830399</v>
      </c>
      <c r="Y1479">
        <v>2.6859848290816601</v>
      </c>
      <c r="Z1479" s="31">
        <v>0.41063172420211902</v>
      </c>
      <c r="AA1479">
        <v>9.5112599673700604</v>
      </c>
      <c r="AB1479">
        <v>0.06</v>
      </c>
      <c r="AC1479">
        <v>315161.74213064701</v>
      </c>
      <c r="AD1479">
        <v>356384.89800133562</v>
      </c>
      <c r="AE1479">
        <v>1</v>
      </c>
      <c r="AF1479">
        <v>1311.769844473343</v>
      </c>
      <c r="AG1479">
        <v>70811.270315602975</v>
      </c>
    </row>
    <row r="1480" spans="2:33" hidden="1" x14ac:dyDescent="0.25">
      <c r="B1480">
        <v>26</v>
      </c>
      <c r="C1480" t="s">
        <v>58</v>
      </c>
      <c r="D1480" t="s">
        <v>59</v>
      </c>
      <c r="E1480" t="s">
        <v>67</v>
      </c>
      <c r="F1480">
        <v>99398</v>
      </c>
      <c r="G1480">
        <v>107072</v>
      </c>
      <c r="H1480">
        <v>35</v>
      </c>
      <c r="I1480">
        <v>2900</v>
      </c>
      <c r="J1480">
        <v>1.0247310220000001</v>
      </c>
      <c r="K1480">
        <v>420765</v>
      </c>
      <c r="L1480">
        <v>26667</v>
      </c>
      <c r="M1480">
        <v>244</v>
      </c>
      <c r="N1480">
        <v>29467</v>
      </c>
      <c r="O1480" s="43">
        <v>26274530.83367487</v>
      </c>
      <c r="P1480" s="14">
        <f t="shared" si="71"/>
        <v>1018194.3993395492</v>
      </c>
      <c r="Q1480" s="14" t="str">
        <f t="shared" si="69"/>
        <v/>
      </c>
      <c r="R1480" s="14" t="str">
        <f t="shared" si="69"/>
        <v/>
      </c>
      <c r="S1480" s="14" t="str">
        <f t="shared" si="70"/>
        <v/>
      </c>
      <c r="T1480" s="14" t="s">
        <v>72</v>
      </c>
      <c r="U1480" s="14">
        <v>351.10151701363895</v>
      </c>
      <c r="V1480">
        <v>3875</v>
      </c>
      <c r="W1480">
        <v>24.524377441406301</v>
      </c>
      <c r="X1480">
        <v>26.606678149728801</v>
      </c>
      <c r="Y1480">
        <v>2.2608225604684602</v>
      </c>
      <c r="Z1480" s="31">
        <v>2.3833837693022599</v>
      </c>
      <c r="AA1480">
        <v>8.2433519699712807</v>
      </c>
      <c r="AB1480">
        <v>0.06</v>
      </c>
      <c r="AC1480">
        <v>315161.74213064701</v>
      </c>
      <c r="AD1480">
        <v>356384.89800133562</v>
      </c>
      <c r="AE1480">
        <v>1</v>
      </c>
      <c r="AF1480">
        <v>1311.769844473343</v>
      </c>
      <c r="AG1480">
        <v>70811.270315602975</v>
      </c>
    </row>
    <row r="1481" spans="2:33" hidden="1" x14ac:dyDescent="0.25">
      <c r="B1481">
        <v>26</v>
      </c>
      <c r="C1481" t="s">
        <v>58</v>
      </c>
      <c r="D1481" t="s">
        <v>59</v>
      </c>
      <c r="E1481" t="s">
        <v>67</v>
      </c>
      <c r="F1481">
        <v>101633</v>
      </c>
      <c r="G1481">
        <v>107072</v>
      </c>
      <c r="H1481">
        <v>36</v>
      </c>
      <c r="I1481">
        <v>1427</v>
      </c>
      <c r="J1481">
        <v>1.0854378360000001</v>
      </c>
      <c r="K1481">
        <v>420765</v>
      </c>
      <c r="L1481">
        <v>26667</v>
      </c>
      <c r="M1481">
        <v>244</v>
      </c>
      <c r="N1481">
        <v>29467</v>
      </c>
      <c r="O1481" s="43">
        <v>27374326.93726771</v>
      </c>
      <c r="P1481" s="14">
        <f t="shared" si="71"/>
        <v>1099796.1035928391</v>
      </c>
      <c r="Q1481" s="14" t="str">
        <f t="shared" si="69"/>
        <v/>
      </c>
      <c r="R1481" s="14" t="str">
        <f t="shared" si="69"/>
        <v/>
      </c>
      <c r="S1481" s="14" t="str">
        <f t="shared" si="70"/>
        <v/>
      </c>
      <c r="T1481" s="14" t="s">
        <v>72</v>
      </c>
      <c r="U1481" s="14">
        <v>770.7050480678646</v>
      </c>
      <c r="V1481">
        <v>3875</v>
      </c>
      <c r="W1481">
        <v>25.344323730468801</v>
      </c>
      <c r="X1481">
        <v>29.042238972824698</v>
      </c>
      <c r="Y1481">
        <v>2.2950196395921401</v>
      </c>
      <c r="Z1481" s="31">
        <v>2.88291492359357</v>
      </c>
      <c r="AA1481">
        <v>5.5631307717862297</v>
      </c>
      <c r="AB1481">
        <v>0.06</v>
      </c>
      <c r="AC1481">
        <v>315161.74213064701</v>
      </c>
      <c r="AD1481">
        <v>356384.89800133562</v>
      </c>
      <c r="AE1481">
        <v>1</v>
      </c>
      <c r="AF1481">
        <v>1311.769844473343</v>
      </c>
      <c r="AG1481">
        <v>70811.270315602975</v>
      </c>
    </row>
    <row r="1482" spans="2:33" hidden="1" x14ac:dyDescent="0.25">
      <c r="B1482">
        <v>26</v>
      </c>
      <c r="C1482" t="s">
        <v>58</v>
      </c>
      <c r="D1482" t="s">
        <v>59</v>
      </c>
      <c r="E1482" t="s">
        <v>67</v>
      </c>
      <c r="F1482">
        <v>101633</v>
      </c>
      <c r="G1482">
        <v>107072</v>
      </c>
      <c r="H1482">
        <v>37</v>
      </c>
      <c r="I1482">
        <v>3082</v>
      </c>
      <c r="J1482">
        <v>0</v>
      </c>
      <c r="K1482">
        <v>420765</v>
      </c>
      <c r="L1482">
        <v>26667</v>
      </c>
      <c r="M1482">
        <v>244</v>
      </c>
      <c r="N1482">
        <v>29467</v>
      </c>
      <c r="O1482" s="43">
        <v>28265856.004632011</v>
      </c>
      <c r="P1482" s="14">
        <f t="shared" si="71"/>
        <v>891529.06736430153</v>
      </c>
      <c r="Q1482" s="14" t="str">
        <f t="shared" si="69"/>
        <v/>
      </c>
      <c r="R1482" s="14" t="str">
        <f t="shared" si="69"/>
        <v/>
      </c>
      <c r="S1482" s="14" t="str">
        <f t="shared" si="70"/>
        <v/>
      </c>
      <c r="T1482" s="14" t="s">
        <v>72</v>
      </c>
      <c r="U1482" s="14">
        <v>289.26965196765019</v>
      </c>
      <c r="V1482">
        <v>3875</v>
      </c>
      <c r="W1482">
        <v>25.041101074218801</v>
      </c>
      <c r="X1482">
        <v>24.486982645832001</v>
      </c>
      <c r="Y1482">
        <v>2.39892759093064</v>
      </c>
      <c r="Z1482" s="31">
        <v>0.33656419507490198</v>
      </c>
      <c r="AA1482">
        <v>5.9105564753942801</v>
      </c>
      <c r="AB1482">
        <v>0.06</v>
      </c>
      <c r="AC1482">
        <v>315161.74213064701</v>
      </c>
      <c r="AD1482">
        <v>356384.89800133562</v>
      </c>
      <c r="AE1482">
        <v>1</v>
      </c>
      <c r="AF1482">
        <v>1311.769844473343</v>
      </c>
      <c r="AG1482">
        <v>70811.270315602975</v>
      </c>
    </row>
    <row r="1483" spans="2:33" hidden="1" x14ac:dyDescent="0.25">
      <c r="B1483">
        <v>26</v>
      </c>
      <c r="C1483" t="s">
        <v>58</v>
      </c>
      <c r="D1483" t="s">
        <v>59</v>
      </c>
      <c r="E1483" t="s">
        <v>67</v>
      </c>
      <c r="F1483">
        <v>102047</v>
      </c>
      <c r="G1483">
        <v>107072</v>
      </c>
      <c r="H1483">
        <v>38</v>
      </c>
      <c r="I1483">
        <v>2110</v>
      </c>
      <c r="J1483">
        <v>0.2010609683</v>
      </c>
      <c r="K1483">
        <v>420765</v>
      </c>
      <c r="L1483">
        <v>26667</v>
      </c>
      <c r="M1483">
        <v>244</v>
      </c>
      <c r="N1483">
        <v>29467</v>
      </c>
      <c r="O1483" s="43">
        <v>28961297.394611541</v>
      </c>
      <c r="P1483" s="14">
        <f t="shared" si="71"/>
        <v>695441.38997953013</v>
      </c>
      <c r="Q1483" s="14" t="str">
        <f t="shared" si="69"/>
        <v/>
      </c>
      <c r="R1483" s="14" t="str">
        <f t="shared" si="69"/>
        <v/>
      </c>
      <c r="S1483" s="14" t="str">
        <f t="shared" si="70"/>
        <v/>
      </c>
      <c r="T1483" s="14" t="s">
        <v>72</v>
      </c>
      <c r="U1483" s="14">
        <v>329.5930758196825</v>
      </c>
      <c r="V1483">
        <v>3875</v>
      </c>
      <c r="W1483">
        <v>12.254357910156299</v>
      </c>
      <c r="X1483">
        <v>92.177560964683806</v>
      </c>
      <c r="Y1483">
        <v>0.111708858321674</v>
      </c>
      <c r="Z1483" s="31">
        <v>2.3201620544542498</v>
      </c>
      <c r="AA1483">
        <v>8.6742207676360508</v>
      </c>
      <c r="AB1483">
        <v>0.06</v>
      </c>
      <c r="AC1483">
        <v>315161.74213064701</v>
      </c>
      <c r="AD1483">
        <v>356384.89800133562</v>
      </c>
      <c r="AE1483">
        <v>1</v>
      </c>
      <c r="AF1483">
        <v>1311.769844473343</v>
      </c>
      <c r="AG1483">
        <v>70811.270315602975</v>
      </c>
    </row>
    <row r="1484" spans="2:33" hidden="1" x14ac:dyDescent="0.25">
      <c r="B1484">
        <v>26</v>
      </c>
      <c r="C1484" t="s">
        <v>58</v>
      </c>
      <c r="D1484" t="s">
        <v>59</v>
      </c>
      <c r="E1484" t="s">
        <v>67</v>
      </c>
      <c r="F1484">
        <v>102355</v>
      </c>
      <c r="G1484">
        <v>107072</v>
      </c>
      <c r="H1484">
        <v>39</v>
      </c>
      <c r="I1484">
        <v>2235</v>
      </c>
      <c r="J1484">
        <v>0.14958158999999999</v>
      </c>
      <c r="K1484">
        <v>420765</v>
      </c>
      <c r="L1484">
        <v>26667</v>
      </c>
      <c r="M1484">
        <v>244</v>
      </c>
      <c r="N1484">
        <v>29467</v>
      </c>
      <c r="O1484" s="43">
        <v>29176138.84874396</v>
      </c>
      <c r="P1484" s="14">
        <f t="shared" si="71"/>
        <v>214841.45413241908</v>
      </c>
      <c r="Q1484" s="14" t="str">
        <f t="shared" si="69"/>
        <v/>
      </c>
      <c r="R1484" s="14" t="str">
        <f t="shared" si="69"/>
        <v/>
      </c>
      <c r="S1484" s="14" t="str">
        <f t="shared" si="70"/>
        <v/>
      </c>
      <c r="T1484" s="14" t="s">
        <v>72</v>
      </c>
      <c r="U1484" s="14">
        <v>96.125930260588532</v>
      </c>
      <c r="V1484">
        <v>3875</v>
      </c>
      <c r="W1484">
        <v>21.313317871093702</v>
      </c>
      <c r="X1484">
        <v>42.848253140250002</v>
      </c>
      <c r="Y1484">
        <v>1.4496589081751401</v>
      </c>
      <c r="Z1484" s="31">
        <v>0.66503688224429502</v>
      </c>
      <c r="AA1484">
        <v>7.4325289949231497</v>
      </c>
      <c r="AB1484">
        <v>0.06</v>
      </c>
      <c r="AC1484">
        <v>315161.74213064701</v>
      </c>
      <c r="AD1484">
        <v>356384.89800133562</v>
      </c>
      <c r="AE1484">
        <v>1</v>
      </c>
      <c r="AF1484">
        <v>1311.769844473343</v>
      </c>
      <c r="AG1484">
        <v>70811.270315602975</v>
      </c>
    </row>
    <row r="1485" spans="2:33" hidden="1" x14ac:dyDescent="0.25">
      <c r="B1485">
        <v>26</v>
      </c>
      <c r="C1485" t="s">
        <v>58</v>
      </c>
      <c r="D1485" t="s">
        <v>59</v>
      </c>
      <c r="E1485" t="s">
        <v>67</v>
      </c>
      <c r="F1485">
        <v>102562</v>
      </c>
      <c r="G1485">
        <v>107072</v>
      </c>
      <c r="H1485">
        <v>40</v>
      </c>
      <c r="I1485">
        <v>0</v>
      </c>
      <c r="J1485">
        <v>0.10053048420000001</v>
      </c>
      <c r="K1485">
        <v>420765</v>
      </c>
      <c r="L1485">
        <v>26667</v>
      </c>
      <c r="M1485">
        <v>244</v>
      </c>
      <c r="N1485">
        <v>29467</v>
      </c>
      <c r="O1485" s="43">
        <v>29196921.706674971</v>
      </c>
      <c r="P1485" s="14">
        <f t="shared" si="71"/>
        <v>20782.857931010425</v>
      </c>
      <c r="Q1485" s="14" t="str">
        <f t="shared" si="69"/>
        <v/>
      </c>
      <c r="R1485" s="14" t="str">
        <f t="shared" si="69"/>
        <v/>
      </c>
      <c r="S1485" s="14" t="str">
        <f t="shared" si="70"/>
        <v/>
      </c>
      <c r="T1485" s="14" t="s">
        <v>72</v>
      </c>
      <c r="U1485" s="14">
        <v>0</v>
      </c>
      <c r="V1485">
        <v>3875</v>
      </c>
      <c r="W1485">
        <v>18.848474121093702</v>
      </c>
      <c r="X1485">
        <v>41.851022334172903</v>
      </c>
      <c r="Y1485">
        <v>1.2666979755594201</v>
      </c>
      <c r="Z1485" s="31">
        <v>3.4933023685659599</v>
      </c>
      <c r="AA1485">
        <v>5.6424668074516298</v>
      </c>
      <c r="AB1485">
        <v>0.06</v>
      </c>
      <c r="AC1485">
        <v>315161.74213064701</v>
      </c>
      <c r="AD1485">
        <v>356384.89800133562</v>
      </c>
      <c r="AE1485">
        <v>1</v>
      </c>
      <c r="AF1485">
        <v>1311.769844473343</v>
      </c>
      <c r="AG1485">
        <v>70811.270315602975</v>
      </c>
    </row>
    <row r="1486" spans="2:33" hidden="1" x14ac:dyDescent="0.25">
      <c r="B1486">
        <v>26</v>
      </c>
      <c r="C1486" t="s">
        <v>58</v>
      </c>
      <c r="D1486" t="s">
        <v>59</v>
      </c>
      <c r="E1486" t="s">
        <v>67</v>
      </c>
      <c r="F1486">
        <v>102562</v>
      </c>
      <c r="G1486">
        <v>107072</v>
      </c>
      <c r="H1486">
        <v>41</v>
      </c>
      <c r="I1486">
        <v>414</v>
      </c>
      <c r="J1486">
        <v>0</v>
      </c>
      <c r="K1486">
        <v>420765</v>
      </c>
      <c r="L1486">
        <v>26667</v>
      </c>
      <c r="M1486">
        <v>244</v>
      </c>
      <c r="N1486">
        <v>29467</v>
      </c>
      <c r="O1486" s="43">
        <v>29196921.706674971</v>
      </c>
      <c r="P1486" s="14">
        <f t="shared" si="71"/>
        <v>0</v>
      </c>
      <c r="Q1486" s="14" t="str">
        <f t="shared" si="69"/>
        <v/>
      </c>
      <c r="R1486" s="14" t="str">
        <f t="shared" si="69"/>
        <v/>
      </c>
      <c r="S1486" s="14" t="str">
        <f t="shared" si="70"/>
        <v/>
      </c>
      <c r="T1486" s="14" t="s">
        <v>72</v>
      </c>
      <c r="U1486" s="14">
        <v>0</v>
      </c>
      <c r="V1486">
        <v>3875</v>
      </c>
      <c r="W1486">
        <v>19.181909179687501</v>
      </c>
      <c r="X1486">
        <v>30.393987910263</v>
      </c>
      <c r="Y1486">
        <v>1.5482392669637199</v>
      </c>
      <c r="Z1486" s="31">
        <v>2.3783603053600499</v>
      </c>
      <c r="AA1486">
        <v>7.89452166871712</v>
      </c>
      <c r="AB1486">
        <v>0.06</v>
      </c>
      <c r="AC1486">
        <v>315161.74213064701</v>
      </c>
      <c r="AD1486">
        <v>356384.89800133562</v>
      </c>
      <c r="AE1486">
        <v>1</v>
      </c>
      <c r="AF1486">
        <v>1311.769844473343</v>
      </c>
      <c r="AG1486">
        <v>70811.270315602975</v>
      </c>
    </row>
    <row r="1487" spans="2:33" hidden="1" x14ac:dyDescent="0.25">
      <c r="B1487">
        <v>26</v>
      </c>
      <c r="C1487" t="s">
        <v>58</v>
      </c>
      <c r="D1487" t="s">
        <v>59</v>
      </c>
      <c r="E1487" t="s">
        <v>67</v>
      </c>
      <c r="F1487">
        <v>102562</v>
      </c>
      <c r="G1487">
        <v>107072</v>
      </c>
      <c r="H1487">
        <v>42</v>
      </c>
      <c r="I1487">
        <v>308</v>
      </c>
      <c r="J1487">
        <v>0</v>
      </c>
      <c r="K1487">
        <v>420765</v>
      </c>
      <c r="L1487">
        <v>26667</v>
      </c>
      <c r="M1487">
        <v>244</v>
      </c>
      <c r="N1487">
        <v>29467</v>
      </c>
      <c r="O1487" s="43">
        <v>29755814.214977521</v>
      </c>
      <c r="P1487" s="14">
        <f t="shared" si="71"/>
        <v>558892.50830255076</v>
      </c>
      <c r="Q1487" s="14" t="str">
        <f t="shared" si="69"/>
        <v/>
      </c>
      <c r="R1487" s="14" t="str">
        <f t="shared" si="69"/>
        <v/>
      </c>
      <c r="S1487" s="14" t="str">
        <f t="shared" si="70"/>
        <v/>
      </c>
      <c r="T1487" s="14" t="s">
        <v>72</v>
      </c>
      <c r="U1487" s="14">
        <v>1814.5860659173727</v>
      </c>
      <c r="V1487">
        <v>3875</v>
      </c>
      <c r="W1487">
        <v>22.046289062500001</v>
      </c>
      <c r="X1487">
        <v>31.766728988083699</v>
      </c>
      <c r="Y1487">
        <v>1.81014576601056</v>
      </c>
      <c r="Z1487" s="31">
        <v>2.6420401294175</v>
      </c>
      <c r="AA1487">
        <v>12.5004485676419</v>
      </c>
      <c r="AB1487">
        <v>0.06</v>
      </c>
      <c r="AC1487">
        <v>315161.74213064701</v>
      </c>
      <c r="AD1487">
        <v>356384.89800133562</v>
      </c>
      <c r="AE1487">
        <v>1</v>
      </c>
      <c r="AF1487">
        <v>1311.769844473343</v>
      </c>
      <c r="AG1487">
        <v>70811.270315602975</v>
      </c>
    </row>
    <row r="1488" spans="2:33" hidden="1" x14ac:dyDescent="0.25">
      <c r="B1488">
        <v>26</v>
      </c>
      <c r="C1488" t="s">
        <v>58</v>
      </c>
      <c r="D1488" t="s">
        <v>59</v>
      </c>
      <c r="E1488" t="s">
        <v>67</v>
      </c>
      <c r="F1488">
        <v>104800</v>
      </c>
      <c r="G1488">
        <v>107072</v>
      </c>
      <c r="H1488">
        <v>43</v>
      </c>
      <c r="I1488">
        <v>207</v>
      </c>
      <c r="J1488">
        <v>1.0868948</v>
      </c>
      <c r="K1488">
        <v>420765</v>
      </c>
      <c r="L1488">
        <v>26667</v>
      </c>
      <c r="M1488">
        <v>244</v>
      </c>
      <c r="N1488">
        <v>29467</v>
      </c>
      <c r="O1488" s="43">
        <v>29810320.499611061</v>
      </c>
      <c r="P1488" s="14">
        <f t="shared" si="71"/>
        <v>54506.284633539617</v>
      </c>
      <c r="Q1488" s="14" t="str">
        <f t="shared" si="69"/>
        <v/>
      </c>
      <c r="R1488" s="14" t="str">
        <f t="shared" si="69"/>
        <v/>
      </c>
      <c r="S1488" s="14" t="str">
        <f t="shared" si="70"/>
        <v/>
      </c>
      <c r="T1488" s="14" t="s">
        <v>72</v>
      </c>
      <c r="U1488" s="14">
        <v>263.31538470310795</v>
      </c>
      <c r="V1488">
        <v>3875</v>
      </c>
      <c r="W1488">
        <v>13.621057128906299</v>
      </c>
      <c r="X1488">
        <v>32.090997100306502</v>
      </c>
      <c r="Y1488">
        <v>1.0606006401660999</v>
      </c>
      <c r="Z1488" s="31">
        <v>4.3292894298168401</v>
      </c>
      <c r="AA1488">
        <v>16.5801529864112</v>
      </c>
      <c r="AB1488">
        <v>0.06</v>
      </c>
      <c r="AC1488">
        <v>315161.74213064701</v>
      </c>
      <c r="AD1488">
        <v>356384.89800133562</v>
      </c>
      <c r="AE1488">
        <v>1</v>
      </c>
      <c r="AF1488">
        <v>1311.769844473343</v>
      </c>
      <c r="AG1488">
        <v>70811.270315602975</v>
      </c>
    </row>
    <row r="1489" spans="1:33" hidden="1" x14ac:dyDescent="0.25">
      <c r="B1489">
        <v>26</v>
      </c>
      <c r="C1489" t="s">
        <v>58</v>
      </c>
      <c r="D1489" t="s">
        <v>59</v>
      </c>
      <c r="E1489" t="s">
        <v>67</v>
      </c>
      <c r="F1489">
        <v>104800</v>
      </c>
      <c r="G1489">
        <v>107072</v>
      </c>
      <c r="H1489">
        <v>44</v>
      </c>
      <c r="I1489">
        <v>0</v>
      </c>
      <c r="J1489">
        <v>0</v>
      </c>
      <c r="K1489">
        <v>420765</v>
      </c>
      <c r="L1489">
        <v>26667</v>
      </c>
      <c r="M1489">
        <v>244</v>
      </c>
      <c r="N1489">
        <v>29467</v>
      </c>
      <c r="O1489" s="43">
        <v>30038044.061592542</v>
      </c>
      <c r="P1489" s="14">
        <f t="shared" si="71"/>
        <v>227723.56198148057</v>
      </c>
      <c r="Q1489" s="14" t="str">
        <f t="shared" si="69"/>
        <v/>
      </c>
      <c r="R1489" s="14" t="str">
        <f t="shared" si="69"/>
        <v/>
      </c>
      <c r="S1489" s="14" t="str">
        <f t="shared" si="70"/>
        <v/>
      </c>
      <c r="T1489" s="14" t="s">
        <v>72</v>
      </c>
      <c r="U1489" s="14">
        <v>0</v>
      </c>
      <c r="V1489">
        <v>3875</v>
      </c>
      <c r="W1489">
        <v>14.481530761718799</v>
      </c>
      <c r="X1489">
        <v>25.334916287209399</v>
      </c>
      <c r="Y1489">
        <v>1.2329314139357599</v>
      </c>
      <c r="Z1489" s="31">
        <v>2.6670477044037799</v>
      </c>
      <c r="AA1489">
        <v>4.4803166205922498</v>
      </c>
      <c r="AB1489">
        <v>0.06</v>
      </c>
      <c r="AC1489">
        <v>315161.74213064701</v>
      </c>
      <c r="AD1489">
        <v>356384.89800133562</v>
      </c>
      <c r="AE1489">
        <v>1</v>
      </c>
      <c r="AF1489">
        <v>1311.769844473343</v>
      </c>
      <c r="AG1489">
        <v>70811.270315602975</v>
      </c>
    </row>
    <row r="1490" spans="1:33" hidden="1" x14ac:dyDescent="0.25">
      <c r="B1490">
        <v>26</v>
      </c>
      <c r="C1490" t="s">
        <v>58</v>
      </c>
      <c r="D1490" t="s">
        <v>59</v>
      </c>
      <c r="E1490" t="s">
        <v>67</v>
      </c>
      <c r="F1490">
        <v>104800</v>
      </c>
      <c r="G1490">
        <v>107072</v>
      </c>
      <c r="H1490">
        <v>45</v>
      </c>
      <c r="I1490">
        <v>0</v>
      </c>
      <c r="J1490">
        <v>0</v>
      </c>
      <c r="K1490">
        <v>420765</v>
      </c>
      <c r="L1490">
        <v>26667</v>
      </c>
      <c r="M1490">
        <v>244</v>
      </c>
      <c r="N1490">
        <v>29467</v>
      </c>
      <c r="O1490" s="43">
        <v>30197283.088795468</v>
      </c>
      <c r="P1490" s="14">
        <f t="shared" si="71"/>
        <v>159239.02720292658</v>
      </c>
      <c r="Q1490" s="14" t="str">
        <f t="shared" si="69"/>
        <v/>
      </c>
      <c r="R1490" s="14" t="str">
        <f t="shared" si="69"/>
        <v/>
      </c>
      <c r="S1490" s="14" t="str">
        <f t="shared" si="70"/>
        <v/>
      </c>
      <c r="T1490" s="14" t="s">
        <v>72</v>
      </c>
      <c r="U1490" s="14">
        <v>0</v>
      </c>
      <c r="V1490">
        <v>3875</v>
      </c>
      <c r="W1490">
        <v>15.6521850585937</v>
      </c>
      <c r="X1490">
        <v>59.032562969994999</v>
      </c>
      <c r="Y1490">
        <v>0.72924068010320398</v>
      </c>
      <c r="Z1490" s="31">
        <v>1.79465084188108</v>
      </c>
      <c r="AA1490">
        <v>24.209645703814001</v>
      </c>
      <c r="AB1490">
        <v>0.06</v>
      </c>
      <c r="AC1490">
        <v>315161.74213064701</v>
      </c>
      <c r="AD1490">
        <v>356384.89800133562</v>
      </c>
      <c r="AE1490">
        <v>1</v>
      </c>
      <c r="AF1490">
        <v>1311.769844473343</v>
      </c>
      <c r="AG1490">
        <v>70811.270315602975</v>
      </c>
    </row>
    <row r="1491" spans="1:33" hidden="1" x14ac:dyDescent="0.25">
      <c r="B1491">
        <v>26</v>
      </c>
      <c r="C1491" t="s">
        <v>58</v>
      </c>
      <c r="D1491" t="s">
        <v>59</v>
      </c>
      <c r="E1491" t="s">
        <v>67</v>
      </c>
      <c r="F1491">
        <v>104800</v>
      </c>
      <c r="G1491">
        <v>107072</v>
      </c>
      <c r="H1491">
        <v>46</v>
      </c>
      <c r="I1491">
        <v>2238</v>
      </c>
      <c r="J1491">
        <v>0</v>
      </c>
      <c r="K1491">
        <v>420765</v>
      </c>
      <c r="L1491">
        <v>26667</v>
      </c>
      <c r="M1491">
        <v>244</v>
      </c>
      <c r="N1491">
        <v>29467</v>
      </c>
      <c r="O1491" s="43">
        <v>30197283.088795468</v>
      </c>
      <c r="P1491" s="14">
        <f t="shared" si="71"/>
        <v>0</v>
      </c>
      <c r="Q1491" s="14" t="str">
        <f t="shared" si="69"/>
        <v/>
      </c>
      <c r="R1491" s="14" t="str">
        <f t="shared" si="69"/>
        <v/>
      </c>
      <c r="S1491" s="14" t="str">
        <f t="shared" si="70"/>
        <v/>
      </c>
      <c r="T1491" s="14" t="s">
        <v>72</v>
      </c>
      <c r="U1491" s="14">
        <v>-13492.977251472508</v>
      </c>
      <c r="V1491">
        <v>3875</v>
      </c>
      <c r="W1491">
        <v>8.5313964843750192</v>
      </c>
      <c r="X1491">
        <v>85.579182018069602</v>
      </c>
      <c r="Y1491">
        <v>0.160701341915441</v>
      </c>
      <c r="Z1491" s="31">
        <v>1.6949762077974</v>
      </c>
      <c r="AA1491">
        <v>15.149332753031899</v>
      </c>
      <c r="AB1491">
        <v>0.06</v>
      </c>
      <c r="AC1491">
        <v>315161.74213064701</v>
      </c>
      <c r="AD1491">
        <v>356384.89800133562</v>
      </c>
      <c r="AE1491">
        <v>1</v>
      </c>
      <c r="AF1491">
        <v>1311.769844473343</v>
      </c>
      <c r="AG1491">
        <v>70811.270315602975</v>
      </c>
    </row>
    <row r="1492" spans="1:33" hidden="1" x14ac:dyDescent="0.25">
      <c r="B1492">
        <v>26</v>
      </c>
      <c r="C1492" t="s">
        <v>58</v>
      </c>
      <c r="D1492" t="s">
        <v>59</v>
      </c>
      <c r="E1492" t="s">
        <v>67</v>
      </c>
      <c r="F1492">
        <v>105447</v>
      </c>
      <c r="G1492">
        <v>107072</v>
      </c>
      <c r="H1492">
        <v>47</v>
      </c>
      <c r="I1492">
        <v>0</v>
      </c>
      <c r="J1492">
        <v>0.31421846980000001</v>
      </c>
      <c r="K1492">
        <v>420765</v>
      </c>
      <c r="L1492">
        <v>26667</v>
      </c>
      <c r="M1492">
        <v>244</v>
      </c>
      <c r="N1492">
        <v>29467</v>
      </c>
      <c r="O1492" s="43">
        <v>30197283.088795468</v>
      </c>
      <c r="P1492" s="14">
        <f t="shared" si="71"/>
        <v>0</v>
      </c>
      <c r="Q1492" s="14" t="str">
        <f t="shared" si="69"/>
        <v/>
      </c>
      <c r="R1492" s="14" t="str">
        <f t="shared" si="69"/>
        <v/>
      </c>
      <c r="S1492" s="14" t="str">
        <f t="shared" si="70"/>
        <v/>
      </c>
      <c r="T1492" s="14" t="s">
        <v>72</v>
      </c>
      <c r="U1492" s="14">
        <v>0</v>
      </c>
      <c r="V1492">
        <v>3875</v>
      </c>
      <c r="W1492">
        <v>12.708459472656299</v>
      </c>
      <c r="X1492">
        <v>45.513776790981098</v>
      </c>
      <c r="Y1492">
        <v>0.801793508473859</v>
      </c>
      <c r="Z1492" s="31">
        <v>3.8857573995822099</v>
      </c>
      <c r="AA1492">
        <v>11.6786726049968</v>
      </c>
      <c r="AB1492">
        <v>0.06</v>
      </c>
      <c r="AC1492">
        <v>315161.74213064701</v>
      </c>
      <c r="AD1492">
        <v>356384.89800133562</v>
      </c>
      <c r="AE1492">
        <v>1</v>
      </c>
      <c r="AF1492">
        <v>1311.769844473343</v>
      </c>
      <c r="AG1492">
        <v>70811.270315602975</v>
      </c>
    </row>
    <row r="1493" spans="1:33" hidden="1" x14ac:dyDescent="0.25">
      <c r="B1493">
        <v>26</v>
      </c>
      <c r="C1493" t="s">
        <v>58</v>
      </c>
      <c r="D1493" t="s">
        <v>59</v>
      </c>
      <c r="E1493" t="s">
        <v>67</v>
      </c>
      <c r="F1493">
        <v>105528</v>
      </c>
      <c r="G1493">
        <v>107072</v>
      </c>
      <c r="H1493">
        <v>48</v>
      </c>
      <c r="I1493">
        <v>0</v>
      </c>
      <c r="J1493">
        <v>3.933801554E-2</v>
      </c>
      <c r="K1493">
        <v>420765</v>
      </c>
      <c r="L1493">
        <v>26667</v>
      </c>
      <c r="M1493">
        <v>244</v>
      </c>
      <c r="N1493">
        <v>29467</v>
      </c>
      <c r="O1493" s="43">
        <v>30197283.088795468</v>
      </c>
      <c r="P1493" s="14">
        <f t="shared" si="71"/>
        <v>0</v>
      </c>
      <c r="Q1493" s="14" t="str">
        <f t="shared" si="69"/>
        <v/>
      </c>
      <c r="R1493" s="14" t="str">
        <f t="shared" si="69"/>
        <v/>
      </c>
      <c r="S1493" s="14" t="str">
        <f t="shared" si="70"/>
        <v/>
      </c>
      <c r="T1493" s="14" t="s">
        <v>72</v>
      </c>
      <c r="U1493" s="14">
        <v>0</v>
      </c>
      <c r="V1493">
        <v>3875</v>
      </c>
      <c r="W1493">
        <v>17.885461425781301</v>
      </c>
      <c r="X1493">
        <v>31.308247148601101</v>
      </c>
      <c r="Y1493">
        <v>1.4089307792732699</v>
      </c>
      <c r="Z1493" s="31">
        <v>1.6497463013950799</v>
      </c>
      <c r="AA1493">
        <v>10.0618372408157</v>
      </c>
      <c r="AB1493">
        <v>0.06</v>
      </c>
      <c r="AC1493">
        <v>315161.74213064701</v>
      </c>
      <c r="AD1493">
        <v>356384.89800133562</v>
      </c>
      <c r="AE1493">
        <v>1</v>
      </c>
      <c r="AF1493">
        <v>1311.769844473343</v>
      </c>
      <c r="AG1493">
        <v>70811.270315602975</v>
      </c>
    </row>
    <row r="1494" spans="1:33" hidden="1" x14ac:dyDescent="0.25">
      <c r="B1494">
        <v>26</v>
      </c>
      <c r="C1494" t="s">
        <v>58</v>
      </c>
      <c r="D1494" t="s">
        <v>59</v>
      </c>
      <c r="E1494" t="s">
        <v>67</v>
      </c>
      <c r="F1494">
        <v>105528</v>
      </c>
      <c r="G1494">
        <v>107072</v>
      </c>
      <c r="H1494">
        <v>49</v>
      </c>
      <c r="I1494">
        <v>0</v>
      </c>
      <c r="J1494">
        <v>0</v>
      </c>
      <c r="K1494">
        <v>420765</v>
      </c>
      <c r="L1494">
        <v>26667</v>
      </c>
      <c r="M1494">
        <v>244</v>
      </c>
      <c r="N1494">
        <v>29467</v>
      </c>
      <c r="O1494" s="43">
        <v>30197283.088795502</v>
      </c>
      <c r="P1494" s="14">
        <f t="shared" si="71"/>
        <v>3.3527612686157227E-8</v>
      </c>
      <c r="Q1494" s="14" t="str">
        <f t="shared" si="69"/>
        <v/>
      </c>
      <c r="R1494" s="14" t="str">
        <f t="shared" si="69"/>
        <v/>
      </c>
      <c r="S1494" s="14" t="str">
        <f t="shared" si="70"/>
        <v/>
      </c>
      <c r="T1494" s="14" t="s">
        <v>72</v>
      </c>
      <c r="U1494" s="14">
        <v>0</v>
      </c>
      <c r="V1494">
        <v>3875</v>
      </c>
      <c r="W1494">
        <v>19.227410888671901</v>
      </c>
      <c r="X1494">
        <v>26.3128686062262</v>
      </c>
      <c r="Y1494">
        <v>1.6436983536733201</v>
      </c>
      <c r="Z1494" s="31">
        <v>2.8842988838417001</v>
      </c>
      <c r="AA1494">
        <v>8.4484589565392092</v>
      </c>
      <c r="AB1494">
        <v>0.06</v>
      </c>
      <c r="AC1494">
        <v>315161.74213064701</v>
      </c>
      <c r="AD1494">
        <v>356384.89800133562</v>
      </c>
      <c r="AE1494">
        <v>1</v>
      </c>
      <c r="AF1494">
        <v>1311.769844473343</v>
      </c>
      <c r="AG1494">
        <v>70811.270315602975</v>
      </c>
    </row>
    <row r="1495" spans="1:33" hidden="1" x14ac:dyDescent="0.25">
      <c r="B1495">
        <v>26</v>
      </c>
      <c r="C1495" t="s">
        <v>58</v>
      </c>
      <c r="D1495" t="s">
        <v>59</v>
      </c>
      <c r="E1495" t="s">
        <v>67</v>
      </c>
      <c r="F1495">
        <v>105757</v>
      </c>
      <c r="G1495">
        <v>107072</v>
      </c>
      <c r="H1495">
        <v>50</v>
      </c>
      <c r="I1495">
        <v>647</v>
      </c>
      <c r="J1495">
        <v>0.11121488340000001</v>
      </c>
      <c r="K1495">
        <v>420765</v>
      </c>
      <c r="L1495">
        <v>26667</v>
      </c>
      <c r="M1495">
        <v>244</v>
      </c>
      <c r="N1495">
        <v>29467</v>
      </c>
      <c r="O1495" s="43">
        <v>30197283.088795502</v>
      </c>
      <c r="P1495" s="14">
        <f t="shared" si="71"/>
        <v>0</v>
      </c>
      <c r="Q1495" s="14" t="str">
        <f t="shared" si="69"/>
        <v/>
      </c>
      <c r="R1495" s="14" t="str">
        <f t="shared" si="69"/>
        <v/>
      </c>
      <c r="S1495" s="14" t="str">
        <f t="shared" si="70"/>
        <v/>
      </c>
      <c r="T1495" s="14" t="s">
        <v>72</v>
      </c>
      <c r="U1495" s="14">
        <v>0</v>
      </c>
      <c r="V1495">
        <v>3875</v>
      </c>
      <c r="W1495">
        <v>15.739892578125</v>
      </c>
      <c r="X1495">
        <v>57.218231002609997</v>
      </c>
      <c r="Y1495">
        <v>0.76582764822909999</v>
      </c>
      <c r="Z1495" s="31">
        <v>4.1550800061618398</v>
      </c>
      <c r="AA1495">
        <v>5.1692355705472002</v>
      </c>
      <c r="AB1495">
        <v>0.06</v>
      </c>
      <c r="AC1495">
        <v>315161.74213064701</v>
      </c>
      <c r="AD1495">
        <v>356384.89800133562</v>
      </c>
      <c r="AE1495">
        <v>1</v>
      </c>
      <c r="AF1495">
        <v>1311.769844473343</v>
      </c>
      <c r="AG1495">
        <v>70811.270315602975</v>
      </c>
    </row>
    <row r="1496" spans="1:33" hidden="1" x14ac:dyDescent="0.25">
      <c r="B1496">
        <v>26</v>
      </c>
      <c r="C1496" t="s">
        <v>58</v>
      </c>
      <c r="D1496" t="s">
        <v>59</v>
      </c>
      <c r="E1496" t="s">
        <v>67</v>
      </c>
      <c r="F1496">
        <v>105931</v>
      </c>
      <c r="G1496">
        <v>107072</v>
      </c>
      <c r="H1496">
        <v>51</v>
      </c>
      <c r="I1496">
        <v>81</v>
      </c>
      <c r="J1496">
        <v>8.4503885240000007E-2</v>
      </c>
      <c r="K1496">
        <v>420765</v>
      </c>
      <c r="L1496">
        <v>26667</v>
      </c>
      <c r="M1496">
        <v>244</v>
      </c>
      <c r="N1496">
        <v>29467</v>
      </c>
      <c r="O1496" s="43">
        <v>30197283.088795502</v>
      </c>
      <c r="P1496" s="14">
        <f t="shared" si="71"/>
        <v>0</v>
      </c>
      <c r="Q1496" s="14" t="str">
        <f t="shared" si="69"/>
        <v/>
      </c>
      <c r="R1496" s="14" t="str">
        <f t="shared" si="69"/>
        <v/>
      </c>
      <c r="S1496" s="14" t="str">
        <f t="shared" si="70"/>
        <v/>
      </c>
      <c r="T1496" s="14" t="s">
        <v>72</v>
      </c>
      <c r="U1496" s="14">
        <v>0</v>
      </c>
      <c r="V1496">
        <v>3875</v>
      </c>
      <c r="W1496">
        <v>21.874047851562501</v>
      </c>
      <c r="X1496">
        <v>22.327236805956399</v>
      </c>
      <c r="Y1496">
        <v>2.03925592085371</v>
      </c>
      <c r="Z1496" s="31">
        <v>1.7811064506110399</v>
      </c>
      <c r="AA1496">
        <v>12.867363470472499</v>
      </c>
      <c r="AB1496">
        <v>0.06</v>
      </c>
      <c r="AC1496">
        <v>315161.74213064701</v>
      </c>
      <c r="AD1496">
        <v>356384.89800133562</v>
      </c>
      <c r="AE1496">
        <v>1</v>
      </c>
      <c r="AF1496">
        <v>1311.769844473343</v>
      </c>
      <c r="AG1496">
        <v>70811.270315602975</v>
      </c>
    </row>
    <row r="1497" spans="1:33" hidden="1" x14ac:dyDescent="0.25">
      <c r="B1497">
        <v>26</v>
      </c>
      <c r="C1497" t="s">
        <v>58</v>
      </c>
      <c r="D1497" t="s">
        <v>59</v>
      </c>
      <c r="E1497" t="s">
        <v>67</v>
      </c>
      <c r="F1497">
        <v>107072</v>
      </c>
      <c r="G1497">
        <v>107072</v>
      </c>
      <c r="H1497">
        <v>52</v>
      </c>
      <c r="I1497">
        <v>0</v>
      </c>
      <c r="J1497">
        <v>0.5541317992</v>
      </c>
      <c r="K1497">
        <v>420765</v>
      </c>
      <c r="L1497">
        <v>26667</v>
      </c>
      <c r="M1497">
        <v>244</v>
      </c>
      <c r="N1497">
        <v>29467</v>
      </c>
      <c r="O1497" s="43">
        <v>30197283.088795502</v>
      </c>
      <c r="P1497" s="14">
        <f t="shared" si="71"/>
        <v>0</v>
      </c>
      <c r="Q1497" s="14" t="str">
        <f t="shared" si="69"/>
        <v/>
      </c>
      <c r="R1497" s="14" t="str">
        <f t="shared" si="69"/>
        <v/>
      </c>
      <c r="S1497" s="14" t="str">
        <f t="shared" si="70"/>
        <v/>
      </c>
      <c r="T1497" s="14" t="s">
        <v>72</v>
      </c>
      <c r="U1497" s="14">
        <v>0</v>
      </c>
      <c r="V1497">
        <v>3875</v>
      </c>
      <c r="W1497">
        <v>20.850457763671901</v>
      </c>
      <c r="X1497">
        <v>22.371752053887999</v>
      </c>
      <c r="Y1497">
        <v>1.91436847450721</v>
      </c>
      <c r="Z1497" s="31">
        <v>2.5239794259210702</v>
      </c>
      <c r="AA1497">
        <v>6.7261488763227799</v>
      </c>
      <c r="AB1497">
        <v>0.06</v>
      </c>
      <c r="AC1497">
        <v>315161.74213064701</v>
      </c>
      <c r="AD1497">
        <v>356384.89800133562</v>
      </c>
      <c r="AE1497">
        <v>1</v>
      </c>
      <c r="AF1497">
        <v>1311.769844473343</v>
      </c>
      <c r="AG1497">
        <v>70811.270315602975</v>
      </c>
    </row>
    <row r="1498" spans="1:33" hidden="1" x14ac:dyDescent="0.25">
      <c r="A1498" t="s">
        <v>100</v>
      </c>
      <c r="B1498">
        <v>27</v>
      </c>
      <c r="C1498" t="s">
        <v>60</v>
      </c>
      <c r="D1498" t="s">
        <v>26</v>
      </c>
      <c r="E1498" t="s">
        <v>69</v>
      </c>
      <c r="F1498">
        <v>25000</v>
      </c>
      <c r="G1498">
        <v>157270</v>
      </c>
      <c r="H1498">
        <v>1</v>
      </c>
      <c r="I1498">
        <v>0</v>
      </c>
      <c r="J1498">
        <v>11.127360590068029</v>
      </c>
      <c r="K1498">
        <v>611715</v>
      </c>
      <c r="L1498">
        <v>58229</v>
      </c>
      <c r="M1498">
        <v>9113</v>
      </c>
      <c r="N1498">
        <v>2262</v>
      </c>
      <c r="O1498" s="43">
        <v>28608.227999999999</v>
      </c>
      <c r="P1498" s="14">
        <v>0</v>
      </c>
      <c r="Q1498" s="14" t="str">
        <f t="shared" si="69"/>
        <v/>
      </c>
      <c r="R1498" s="14" t="str">
        <f t="shared" si="69"/>
        <v/>
      </c>
      <c r="S1498" s="14" t="str">
        <f t="shared" si="70"/>
        <v/>
      </c>
      <c r="T1498" s="14" t="s">
        <v>72</v>
      </c>
      <c r="U1498" s="14">
        <v>0</v>
      </c>
      <c r="V1498">
        <v>5066</v>
      </c>
      <c r="W1498">
        <v>32.289025878906301</v>
      </c>
      <c r="X1498">
        <v>19.187430971585801</v>
      </c>
      <c r="Y1498">
        <v>3.9057617384835801</v>
      </c>
      <c r="Z1498" s="31">
        <v>1.86358134190592</v>
      </c>
      <c r="AA1498">
        <v>6.6181412173555598</v>
      </c>
      <c r="AB1498">
        <v>0.08</v>
      </c>
      <c r="AC1498">
        <v>221523.43356685</v>
      </c>
      <c r="AD1498">
        <v>253489.26503054649</v>
      </c>
      <c r="AE1498">
        <v>1</v>
      </c>
      <c r="AF1498">
        <v>6613.9407384721053</v>
      </c>
      <c r="AG1498">
        <v>26590.35429034417</v>
      </c>
    </row>
    <row r="1499" spans="1:33" hidden="1" x14ac:dyDescent="0.25">
      <c r="B1499">
        <v>27</v>
      </c>
      <c r="C1499" t="s">
        <v>60</v>
      </c>
      <c r="D1499" t="s">
        <v>26</v>
      </c>
      <c r="E1499" t="s">
        <v>69</v>
      </c>
      <c r="F1499">
        <v>95935</v>
      </c>
      <c r="G1499">
        <v>157270</v>
      </c>
      <c r="H1499">
        <v>2</v>
      </c>
      <c r="I1499">
        <v>0</v>
      </c>
      <c r="J1499">
        <v>31.572772938259039</v>
      </c>
      <c r="K1499">
        <v>611715</v>
      </c>
      <c r="L1499">
        <v>58229</v>
      </c>
      <c r="M1499">
        <v>9113</v>
      </c>
      <c r="N1499">
        <v>2262</v>
      </c>
      <c r="O1499" s="43">
        <v>572164.56000000006</v>
      </c>
      <c r="P1499" s="14">
        <f t="shared" si="71"/>
        <v>543556.33200000005</v>
      </c>
      <c r="Q1499" s="14" t="str">
        <f t="shared" si="69"/>
        <v/>
      </c>
      <c r="R1499" s="14" t="str">
        <f t="shared" si="69"/>
        <v/>
      </c>
      <c r="S1499" s="14" t="str">
        <f t="shared" si="70"/>
        <v/>
      </c>
      <c r="T1499" s="14" t="s">
        <v>72</v>
      </c>
      <c r="U1499" s="14">
        <v>0</v>
      </c>
      <c r="V1499">
        <v>5066</v>
      </c>
      <c r="W1499">
        <v>25.545739746093702</v>
      </c>
      <c r="X1499">
        <v>13.1029730097769</v>
      </c>
      <c r="Y1499">
        <v>2.8448908965667798</v>
      </c>
      <c r="Z1499" s="31">
        <v>3.8613108876720998</v>
      </c>
      <c r="AA1499">
        <v>4.7383542034843504</v>
      </c>
      <c r="AB1499">
        <v>0.08</v>
      </c>
      <c r="AC1499">
        <v>221523.43356685</v>
      </c>
      <c r="AD1499">
        <v>253489.26503054649</v>
      </c>
      <c r="AE1499">
        <v>1</v>
      </c>
      <c r="AF1499">
        <v>6613.9407384721053</v>
      </c>
      <c r="AG1499">
        <v>26590.35429034417</v>
      </c>
    </row>
    <row r="1500" spans="1:33" hidden="1" x14ac:dyDescent="0.25">
      <c r="B1500">
        <v>27</v>
      </c>
      <c r="C1500" t="s">
        <v>60</v>
      </c>
      <c r="D1500" t="s">
        <v>26</v>
      </c>
      <c r="E1500" t="s">
        <v>69</v>
      </c>
      <c r="F1500">
        <v>119493</v>
      </c>
      <c r="G1500">
        <v>157270</v>
      </c>
      <c r="H1500">
        <v>3</v>
      </c>
      <c r="I1500">
        <v>0</v>
      </c>
      <c r="J1500">
        <v>10.48553443123291</v>
      </c>
      <c r="K1500">
        <v>611715</v>
      </c>
      <c r="L1500">
        <v>58229</v>
      </c>
      <c r="M1500">
        <v>9113</v>
      </c>
      <c r="N1500">
        <v>2262</v>
      </c>
      <c r="O1500" s="43">
        <v>572164.56000000006</v>
      </c>
      <c r="P1500" s="14">
        <f t="shared" si="71"/>
        <v>0</v>
      </c>
      <c r="Q1500" s="14" t="str">
        <f t="shared" si="69"/>
        <v/>
      </c>
      <c r="R1500" s="14" t="str">
        <f t="shared" si="69"/>
        <v/>
      </c>
      <c r="S1500" s="14" t="str">
        <f t="shared" si="70"/>
        <v/>
      </c>
      <c r="T1500" s="14" t="s">
        <v>72</v>
      </c>
      <c r="U1500" s="14">
        <v>0</v>
      </c>
      <c r="V1500">
        <v>5066</v>
      </c>
      <c r="W1500">
        <v>28.544091796875001</v>
      </c>
      <c r="X1500">
        <v>16.304594243718199</v>
      </c>
      <c r="Y1500">
        <v>3.2662467226713798</v>
      </c>
      <c r="Z1500" s="31">
        <v>0.75641662195191905</v>
      </c>
      <c r="AA1500">
        <v>6.7330408946242803</v>
      </c>
      <c r="AB1500">
        <v>0.08</v>
      </c>
      <c r="AC1500">
        <v>221523.43356685</v>
      </c>
      <c r="AD1500">
        <v>253489.26503054649</v>
      </c>
      <c r="AE1500">
        <v>1</v>
      </c>
      <c r="AF1500">
        <v>6613.9407384721053</v>
      </c>
      <c r="AG1500">
        <v>26590.35429034417</v>
      </c>
    </row>
    <row r="1501" spans="1:33" hidden="1" x14ac:dyDescent="0.25">
      <c r="B1501">
        <v>27</v>
      </c>
      <c r="C1501" t="s">
        <v>60</v>
      </c>
      <c r="D1501" t="s">
        <v>26</v>
      </c>
      <c r="E1501" t="s">
        <v>69</v>
      </c>
      <c r="F1501">
        <v>122006</v>
      </c>
      <c r="G1501">
        <v>157270</v>
      </c>
      <c r="H1501">
        <v>4</v>
      </c>
      <c r="I1501">
        <v>25000</v>
      </c>
      <c r="J1501">
        <v>1.1185222865136391</v>
      </c>
      <c r="K1501">
        <v>611715</v>
      </c>
      <c r="L1501">
        <v>58229</v>
      </c>
      <c r="M1501">
        <v>9113</v>
      </c>
      <c r="N1501">
        <v>2262</v>
      </c>
      <c r="O1501" s="43">
        <v>1373194.9439999999</v>
      </c>
      <c r="P1501" s="14">
        <f t="shared" si="71"/>
        <v>801030.38399999985</v>
      </c>
      <c r="Q1501" s="14" t="str">
        <f t="shared" si="69"/>
        <v/>
      </c>
      <c r="R1501" s="14" t="str">
        <f t="shared" si="69"/>
        <v/>
      </c>
      <c r="S1501" s="14" t="str">
        <f t="shared" si="70"/>
        <v/>
      </c>
      <c r="T1501" s="14" t="s">
        <v>72</v>
      </c>
      <c r="U1501" s="14">
        <v>32.041215360000002</v>
      </c>
      <c r="V1501">
        <v>5066</v>
      </c>
      <c r="W1501">
        <v>24.095727539062501</v>
      </c>
      <c r="X1501">
        <v>27.661212856797899</v>
      </c>
      <c r="Y1501">
        <v>2.1719118532245099</v>
      </c>
      <c r="Z1501" s="31">
        <v>2.1801794906981899</v>
      </c>
      <c r="AA1501">
        <v>6.4086937545953697</v>
      </c>
      <c r="AB1501">
        <v>0.08</v>
      </c>
      <c r="AC1501">
        <v>221523.43356685</v>
      </c>
      <c r="AD1501">
        <v>253489.26503054649</v>
      </c>
      <c r="AE1501">
        <v>1</v>
      </c>
      <c r="AF1501">
        <v>6613.9407384721053</v>
      </c>
      <c r="AG1501">
        <v>26590.35429034417</v>
      </c>
    </row>
    <row r="1502" spans="1:33" hidden="1" x14ac:dyDescent="0.25">
      <c r="B1502">
        <v>27</v>
      </c>
      <c r="C1502" t="s">
        <v>60</v>
      </c>
      <c r="D1502" t="s">
        <v>26</v>
      </c>
      <c r="E1502" t="s">
        <v>69</v>
      </c>
      <c r="F1502">
        <v>126333</v>
      </c>
      <c r="G1502">
        <v>157270</v>
      </c>
      <c r="H1502">
        <v>5</v>
      </c>
      <c r="I1502">
        <v>70935</v>
      </c>
      <c r="J1502">
        <v>1.925923570928975</v>
      </c>
      <c r="K1502">
        <v>611715</v>
      </c>
      <c r="L1502">
        <v>58229</v>
      </c>
      <c r="M1502">
        <v>9113</v>
      </c>
      <c r="N1502">
        <v>2262</v>
      </c>
      <c r="O1502" s="43">
        <v>2174225.3280000002</v>
      </c>
      <c r="P1502" s="14">
        <f t="shared" si="71"/>
        <v>801030.38400000031</v>
      </c>
      <c r="Q1502" s="14" t="str">
        <f t="shared" si="69"/>
        <v/>
      </c>
      <c r="R1502" s="14" t="str">
        <f t="shared" si="69"/>
        <v/>
      </c>
      <c r="S1502" s="14" t="str">
        <f t="shared" si="70"/>
        <v/>
      </c>
      <c r="T1502" s="14" t="s">
        <v>72</v>
      </c>
      <c r="U1502" s="14">
        <v>11.292456248678368</v>
      </c>
      <c r="V1502">
        <v>5066</v>
      </c>
      <c r="W1502">
        <v>23.047021484375001</v>
      </c>
      <c r="X1502">
        <v>40.796651372189601</v>
      </c>
      <c r="Y1502">
        <v>1.66857732300898</v>
      </c>
      <c r="Z1502" s="31">
        <v>1.91489285076733</v>
      </c>
      <c r="AA1502">
        <v>7.3920403011513098</v>
      </c>
      <c r="AB1502">
        <v>0.08</v>
      </c>
      <c r="AC1502">
        <v>221523.43356685</v>
      </c>
      <c r="AD1502">
        <v>253489.26503054649</v>
      </c>
      <c r="AE1502">
        <v>1</v>
      </c>
      <c r="AF1502">
        <v>6613.9407384721053</v>
      </c>
      <c r="AG1502">
        <v>26590.35429034417</v>
      </c>
    </row>
    <row r="1503" spans="1:33" hidden="1" x14ac:dyDescent="0.25">
      <c r="B1503">
        <v>27</v>
      </c>
      <c r="C1503" t="s">
        <v>60</v>
      </c>
      <c r="D1503" t="s">
        <v>26</v>
      </c>
      <c r="E1503" t="s">
        <v>69</v>
      </c>
      <c r="F1503">
        <v>131601</v>
      </c>
      <c r="G1503">
        <v>157270</v>
      </c>
      <c r="H1503">
        <v>6</v>
      </c>
      <c r="I1503">
        <v>23558</v>
      </c>
      <c r="J1503">
        <v>2.3447574235391362</v>
      </c>
      <c r="K1503">
        <v>611715</v>
      </c>
      <c r="L1503">
        <v>58229</v>
      </c>
      <c r="M1503">
        <v>9113</v>
      </c>
      <c r="N1503">
        <v>2262</v>
      </c>
      <c r="O1503" s="43">
        <v>2631956.9759999998</v>
      </c>
      <c r="P1503" s="14">
        <f t="shared" si="71"/>
        <v>457731.64799999958</v>
      </c>
      <c r="Q1503" s="14" t="str">
        <f t="shared" si="69"/>
        <v/>
      </c>
      <c r="R1503" s="14" t="str">
        <f t="shared" si="69"/>
        <v/>
      </c>
      <c r="S1503" s="14" t="str">
        <f t="shared" si="70"/>
        <v/>
      </c>
      <c r="T1503" s="14" t="s">
        <v>72</v>
      </c>
      <c r="U1503" s="14">
        <v>19.429987605059853</v>
      </c>
      <c r="V1503">
        <v>5066</v>
      </c>
      <c r="W1503">
        <v>24.351586914062501</v>
      </c>
      <c r="X1503">
        <v>38.398539190189297</v>
      </c>
      <c r="Y1503">
        <v>1.87774416783223</v>
      </c>
      <c r="Z1503">
        <v>2.1274317137493299</v>
      </c>
      <c r="AA1503">
        <v>11.749999343477</v>
      </c>
      <c r="AB1503">
        <v>0.08</v>
      </c>
      <c r="AC1503">
        <v>221523.43356685</v>
      </c>
      <c r="AD1503">
        <v>253489.26503054649</v>
      </c>
      <c r="AE1503">
        <v>1</v>
      </c>
      <c r="AF1503">
        <v>6613.9407384721053</v>
      </c>
      <c r="AG1503">
        <v>26590.35429034417</v>
      </c>
    </row>
    <row r="1504" spans="1:33" hidden="1" x14ac:dyDescent="0.25">
      <c r="B1504">
        <v>27</v>
      </c>
      <c r="C1504" t="s">
        <v>60</v>
      </c>
      <c r="D1504" t="s">
        <v>26</v>
      </c>
      <c r="E1504" t="s">
        <v>69</v>
      </c>
      <c r="F1504">
        <v>138019</v>
      </c>
      <c r="G1504">
        <v>157270</v>
      </c>
      <c r="H1504">
        <v>7</v>
      </c>
      <c r="I1504">
        <v>2513</v>
      </c>
      <c r="J1504">
        <v>2.856616010682266</v>
      </c>
      <c r="K1504">
        <v>611715</v>
      </c>
      <c r="L1504">
        <v>58229</v>
      </c>
      <c r="M1504">
        <v>9113</v>
      </c>
      <c r="N1504">
        <v>2262</v>
      </c>
      <c r="O1504" s="43">
        <v>3661853.1839999999</v>
      </c>
      <c r="P1504" s="14">
        <f t="shared" si="71"/>
        <v>1029896.2080000001</v>
      </c>
      <c r="Q1504" s="14" t="str">
        <f t="shared" si="69"/>
        <v/>
      </c>
      <c r="R1504" s="14" t="str">
        <f t="shared" si="69"/>
        <v/>
      </c>
      <c r="S1504" s="14" t="str">
        <f t="shared" si="70"/>
        <v/>
      </c>
      <c r="T1504" s="14" t="s">
        <v>72</v>
      </c>
      <c r="U1504" s="14">
        <v>409.82738081973741</v>
      </c>
      <c r="V1504">
        <v>5066</v>
      </c>
      <c r="W1504">
        <v>21.221093750000001</v>
      </c>
      <c r="X1504">
        <v>38.2861922898609</v>
      </c>
      <c r="Y1504">
        <v>1.5566584350335</v>
      </c>
      <c r="Z1504" s="31">
        <v>2.9465511985069401</v>
      </c>
      <c r="AA1504">
        <v>18.958211158649899</v>
      </c>
      <c r="AB1504">
        <v>0.08</v>
      </c>
      <c r="AC1504">
        <v>221523.43356685</v>
      </c>
      <c r="AD1504">
        <v>253489.26503054649</v>
      </c>
      <c r="AE1504">
        <v>1</v>
      </c>
      <c r="AF1504">
        <v>6613.9407384721053</v>
      </c>
      <c r="AG1504">
        <v>26590.35429034417</v>
      </c>
    </row>
    <row r="1505" spans="2:33" hidden="1" x14ac:dyDescent="0.25">
      <c r="B1505">
        <v>27</v>
      </c>
      <c r="C1505" t="s">
        <v>60</v>
      </c>
      <c r="D1505" t="s">
        <v>26</v>
      </c>
      <c r="E1505" t="s">
        <v>69</v>
      </c>
      <c r="F1505">
        <v>141403</v>
      </c>
      <c r="G1505">
        <v>157270</v>
      </c>
      <c r="H1505">
        <v>8</v>
      </c>
      <c r="I1505">
        <v>4327</v>
      </c>
      <c r="J1505">
        <v>1.5061995294716091</v>
      </c>
      <c r="K1505">
        <v>611715</v>
      </c>
      <c r="L1505">
        <v>58229</v>
      </c>
      <c r="M1505">
        <v>9113</v>
      </c>
      <c r="N1505">
        <v>2262</v>
      </c>
      <c r="O1505" s="43">
        <v>4462883.568</v>
      </c>
      <c r="P1505" s="14">
        <f t="shared" si="71"/>
        <v>801030.38400000008</v>
      </c>
      <c r="Q1505" s="14" t="str">
        <f t="shared" si="69"/>
        <v/>
      </c>
      <c r="R1505" s="14" t="str">
        <f t="shared" si="69"/>
        <v/>
      </c>
      <c r="S1505" s="14" t="str">
        <f t="shared" si="70"/>
        <v/>
      </c>
      <c r="T1505" s="14" t="s">
        <v>72</v>
      </c>
      <c r="U1505" s="14">
        <v>185.12373099144895</v>
      </c>
      <c r="V1505">
        <v>5066</v>
      </c>
      <c r="W1505">
        <v>22.406579589843702</v>
      </c>
      <c r="X1505">
        <v>26.640981021338501</v>
      </c>
      <c r="Y1505">
        <v>1.9893149212099801</v>
      </c>
      <c r="Z1505" s="31">
        <v>3.1773366515449299</v>
      </c>
      <c r="AA1505">
        <v>14.198929993510101</v>
      </c>
      <c r="AB1505">
        <v>0.08</v>
      </c>
      <c r="AC1505">
        <v>221523.43356685</v>
      </c>
      <c r="AD1505">
        <v>253489.26503054649</v>
      </c>
      <c r="AE1505">
        <v>1</v>
      </c>
      <c r="AF1505">
        <v>6613.9407384721053</v>
      </c>
      <c r="AG1505">
        <v>26590.35429034417</v>
      </c>
    </row>
    <row r="1506" spans="2:33" hidden="1" x14ac:dyDescent="0.25">
      <c r="B1506">
        <v>27</v>
      </c>
      <c r="C1506" t="s">
        <v>60</v>
      </c>
      <c r="D1506" t="s">
        <v>26</v>
      </c>
      <c r="E1506" t="s">
        <v>69</v>
      </c>
      <c r="F1506">
        <v>143092</v>
      </c>
      <c r="G1506">
        <v>157270</v>
      </c>
      <c r="H1506">
        <v>9</v>
      </c>
      <c r="I1506">
        <v>5268</v>
      </c>
      <c r="J1506">
        <v>0.75176448146499641</v>
      </c>
      <c r="K1506">
        <v>611715</v>
      </c>
      <c r="L1506">
        <v>58229</v>
      </c>
      <c r="M1506">
        <v>9113</v>
      </c>
      <c r="N1506">
        <v>2262</v>
      </c>
      <c r="O1506" s="43">
        <v>5607212.6880000001</v>
      </c>
      <c r="P1506" s="14">
        <f t="shared" si="71"/>
        <v>1144329.1200000001</v>
      </c>
      <c r="Q1506" s="14" t="str">
        <f t="shared" si="69"/>
        <v/>
      </c>
      <c r="R1506" s="14" t="str">
        <f t="shared" si="69"/>
        <v/>
      </c>
      <c r="S1506" s="14" t="str">
        <f t="shared" si="70"/>
        <v/>
      </c>
      <c r="T1506" s="14" t="s">
        <v>72</v>
      </c>
      <c r="U1506" s="14">
        <v>217.22268792710707</v>
      </c>
      <c r="V1506">
        <v>5066</v>
      </c>
      <c r="W1506">
        <v>23.277551269531301</v>
      </c>
      <c r="X1506">
        <v>26.263820326161099</v>
      </c>
      <c r="Y1506">
        <v>2.1077008649931699</v>
      </c>
      <c r="Z1506" s="31">
        <v>2.4223818126608601</v>
      </c>
      <c r="AA1506">
        <v>12.262208241143799</v>
      </c>
      <c r="AB1506">
        <v>0.08</v>
      </c>
      <c r="AC1506">
        <v>221523.43356685</v>
      </c>
      <c r="AD1506">
        <v>253489.26503054649</v>
      </c>
      <c r="AE1506">
        <v>1</v>
      </c>
      <c r="AF1506">
        <v>6613.9407384721053</v>
      </c>
      <c r="AG1506">
        <v>26590.35429034417</v>
      </c>
    </row>
    <row r="1507" spans="2:33" hidden="1" x14ac:dyDescent="0.25">
      <c r="B1507">
        <v>27</v>
      </c>
      <c r="C1507" t="s">
        <v>60</v>
      </c>
      <c r="D1507" t="s">
        <v>26</v>
      </c>
      <c r="E1507" t="s">
        <v>69</v>
      </c>
      <c r="F1507">
        <v>143092</v>
      </c>
      <c r="G1507">
        <v>157270</v>
      </c>
      <c r="H1507">
        <v>10</v>
      </c>
      <c r="I1507">
        <v>6418</v>
      </c>
      <c r="J1507">
        <v>0</v>
      </c>
      <c r="K1507">
        <v>611715</v>
      </c>
      <c r="L1507">
        <v>58229</v>
      </c>
      <c r="M1507">
        <v>9113</v>
      </c>
      <c r="N1507">
        <v>2262</v>
      </c>
      <c r="O1507" s="43">
        <v>7209273.4560000002</v>
      </c>
      <c r="P1507" s="14">
        <f t="shared" si="71"/>
        <v>1602060.7680000002</v>
      </c>
      <c r="Q1507" s="14" t="str">
        <f t="shared" si="69"/>
        <v/>
      </c>
      <c r="R1507" s="14" t="str">
        <f t="shared" si="69"/>
        <v/>
      </c>
      <c r="S1507" s="14" t="str">
        <f t="shared" si="70"/>
        <v/>
      </c>
      <c r="T1507" s="14" t="s">
        <v>72</v>
      </c>
      <c r="U1507" s="14">
        <v>249.61993892178251</v>
      </c>
      <c r="V1507">
        <v>5066</v>
      </c>
      <c r="W1507">
        <v>20.404412841796901</v>
      </c>
      <c r="X1507">
        <v>57.822830779900002</v>
      </c>
      <c r="Y1507">
        <v>1.0115747687896399</v>
      </c>
      <c r="Z1507" s="31">
        <v>2.6179104889935698</v>
      </c>
      <c r="AA1507">
        <v>14.7637898307882</v>
      </c>
      <c r="AB1507">
        <v>0.08</v>
      </c>
      <c r="AC1507">
        <v>221523.43356685</v>
      </c>
      <c r="AD1507">
        <v>253489.26503054649</v>
      </c>
      <c r="AE1507">
        <v>1</v>
      </c>
      <c r="AF1507">
        <v>6613.9407384721053</v>
      </c>
      <c r="AG1507">
        <v>26590.35429034417</v>
      </c>
    </row>
    <row r="1508" spans="2:33" hidden="1" x14ac:dyDescent="0.25">
      <c r="B1508">
        <v>27</v>
      </c>
      <c r="C1508" t="s">
        <v>60</v>
      </c>
      <c r="D1508" t="s">
        <v>26</v>
      </c>
      <c r="E1508" t="s">
        <v>69</v>
      </c>
      <c r="F1508">
        <v>146714</v>
      </c>
      <c r="G1508">
        <v>157270</v>
      </c>
      <c r="H1508">
        <v>11</v>
      </c>
      <c r="I1508">
        <v>3384</v>
      </c>
      <c r="J1508">
        <v>1.6121320022890571</v>
      </c>
      <c r="K1508">
        <v>611715</v>
      </c>
      <c r="L1508">
        <v>58229</v>
      </c>
      <c r="M1508">
        <v>9113</v>
      </c>
      <c r="N1508">
        <v>2262</v>
      </c>
      <c r="O1508" s="43">
        <v>9841230.432</v>
      </c>
      <c r="P1508" s="14">
        <f t="shared" si="71"/>
        <v>2631956.9759999998</v>
      </c>
      <c r="Q1508" s="14" t="str">
        <f t="shared" si="69"/>
        <v/>
      </c>
      <c r="R1508" s="14" t="str">
        <f t="shared" si="69"/>
        <v/>
      </c>
      <c r="S1508" s="14" t="str">
        <f t="shared" si="70"/>
        <v/>
      </c>
      <c r="T1508" s="14" t="s">
        <v>72</v>
      </c>
      <c r="U1508" s="14">
        <v>777.76506382978721</v>
      </c>
      <c r="V1508">
        <v>5066</v>
      </c>
      <c r="W1508">
        <v>19.113061523437501</v>
      </c>
      <c r="X1508">
        <v>56.698843962633802</v>
      </c>
      <c r="Y1508">
        <v>0.95877218190232205</v>
      </c>
      <c r="Z1508" s="31">
        <v>1.9735803263290199</v>
      </c>
      <c r="AA1508">
        <v>13.782400672830899</v>
      </c>
      <c r="AB1508">
        <v>0.08</v>
      </c>
      <c r="AC1508">
        <v>221523.43356685</v>
      </c>
      <c r="AD1508">
        <v>253489.26503054649</v>
      </c>
      <c r="AE1508">
        <v>1</v>
      </c>
      <c r="AF1508">
        <v>6613.9407384721053</v>
      </c>
      <c r="AG1508">
        <v>26590.35429034417</v>
      </c>
    </row>
    <row r="1509" spans="2:33" hidden="1" x14ac:dyDescent="0.25">
      <c r="B1509">
        <v>27</v>
      </c>
      <c r="C1509" t="s">
        <v>60</v>
      </c>
      <c r="D1509" t="s">
        <v>26</v>
      </c>
      <c r="E1509" t="s">
        <v>69</v>
      </c>
      <c r="F1509">
        <v>148583</v>
      </c>
      <c r="G1509">
        <v>157270</v>
      </c>
      <c r="H1509">
        <v>12</v>
      </c>
      <c r="I1509">
        <v>1689</v>
      </c>
      <c r="J1509">
        <v>0.83188147771348631</v>
      </c>
      <c r="K1509">
        <v>611715</v>
      </c>
      <c r="L1509">
        <v>58229</v>
      </c>
      <c r="M1509">
        <v>9113</v>
      </c>
      <c r="N1509">
        <v>2262</v>
      </c>
      <c r="O1509" s="43">
        <v>13731949.439999999</v>
      </c>
      <c r="P1509" s="14">
        <f t="shared" si="71"/>
        <v>3890719.0079999994</v>
      </c>
      <c r="Q1509" s="14" t="str">
        <f t="shared" si="69"/>
        <v/>
      </c>
      <c r="R1509" s="14" t="str">
        <f t="shared" si="69"/>
        <v/>
      </c>
      <c r="S1509" s="14" t="str">
        <f t="shared" si="70"/>
        <v/>
      </c>
      <c r="T1509" s="14" t="s">
        <v>72</v>
      </c>
      <c r="U1509" s="14">
        <v>2303.5636518650094</v>
      </c>
      <c r="V1509">
        <v>5066</v>
      </c>
      <c r="W1509">
        <v>15.22744140625</v>
      </c>
      <c r="X1509">
        <v>79.169241968933505</v>
      </c>
      <c r="Y1509">
        <v>0.360787505112447</v>
      </c>
      <c r="Z1509" s="31">
        <v>3.9683309574594801</v>
      </c>
      <c r="AA1509">
        <v>8.3290416856068905</v>
      </c>
      <c r="AB1509">
        <v>0.08</v>
      </c>
      <c r="AC1509">
        <v>221523.43356685</v>
      </c>
      <c r="AD1509">
        <v>253489.26503054649</v>
      </c>
      <c r="AE1509">
        <v>1</v>
      </c>
      <c r="AF1509">
        <v>6613.9407384721053</v>
      </c>
      <c r="AG1509">
        <v>26590.35429034417</v>
      </c>
    </row>
    <row r="1510" spans="2:33" hidden="1" x14ac:dyDescent="0.25">
      <c r="B1510">
        <v>27</v>
      </c>
      <c r="C1510" t="s">
        <v>60</v>
      </c>
      <c r="D1510" t="s">
        <v>26</v>
      </c>
      <c r="E1510" t="s">
        <v>69</v>
      </c>
      <c r="F1510">
        <v>148583</v>
      </c>
      <c r="G1510">
        <v>157270</v>
      </c>
      <c r="H1510">
        <v>13</v>
      </c>
      <c r="I1510">
        <v>0</v>
      </c>
      <c r="J1510">
        <v>0</v>
      </c>
      <c r="K1510">
        <v>611715</v>
      </c>
      <c r="L1510">
        <v>58229</v>
      </c>
      <c r="M1510">
        <v>9113</v>
      </c>
      <c r="N1510">
        <v>2262</v>
      </c>
      <c r="O1510" s="43">
        <v>16020607.68</v>
      </c>
      <c r="P1510" s="14">
        <f t="shared" si="71"/>
        <v>2288658.2400000002</v>
      </c>
      <c r="Q1510" s="14" t="str">
        <f t="shared" si="69"/>
        <v/>
      </c>
      <c r="R1510" s="14" t="str">
        <f t="shared" si="69"/>
        <v/>
      </c>
      <c r="S1510" s="14" t="str">
        <f t="shared" si="70"/>
        <v/>
      </c>
      <c r="T1510" s="14" t="s">
        <v>72</v>
      </c>
      <c r="U1510" s="14">
        <v>0</v>
      </c>
      <c r="V1510">
        <v>5066</v>
      </c>
      <c r="W1510">
        <v>20.572900390625001</v>
      </c>
      <c r="X1510">
        <v>42.622331038759498</v>
      </c>
      <c r="Y1510">
        <v>1.3907673944502801</v>
      </c>
      <c r="Z1510" s="31">
        <v>2.7568901555729299</v>
      </c>
      <c r="AA1510">
        <v>9.2333487013718401</v>
      </c>
      <c r="AB1510">
        <v>0.08</v>
      </c>
      <c r="AC1510">
        <v>221523.43356685</v>
      </c>
      <c r="AD1510">
        <v>253489.26503054649</v>
      </c>
      <c r="AE1510">
        <v>1</v>
      </c>
      <c r="AF1510">
        <v>6613.9407384721053</v>
      </c>
      <c r="AG1510">
        <v>26590.35429034417</v>
      </c>
    </row>
    <row r="1511" spans="2:33" hidden="1" x14ac:dyDescent="0.25">
      <c r="B1511">
        <v>27</v>
      </c>
      <c r="C1511" t="s">
        <v>60</v>
      </c>
      <c r="D1511" t="s">
        <v>26</v>
      </c>
      <c r="E1511" t="s">
        <v>69</v>
      </c>
      <c r="F1511">
        <v>150230</v>
      </c>
      <c r="G1511">
        <v>157270</v>
      </c>
      <c r="H1511">
        <v>14</v>
      </c>
      <c r="I1511">
        <v>3622</v>
      </c>
      <c r="J1511">
        <v>0.7330705156736822</v>
      </c>
      <c r="K1511">
        <v>611715</v>
      </c>
      <c r="L1511">
        <v>58229</v>
      </c>
      <c r="M1511">
        <v>9113</v>
      </c>
      <c r="N1511">
        <v>2262</v>
      </c>
      <c r="O1511" s="43">
        <v>17622668.447999999</v>
      </c>
      <c r="P1511" s="14">
        <f t="shared" si="71"/>
        <v>1602060.7679999992</v>
      </c>
      <c r="Q1511" s="14" t="str">
        <f t="shared" si="69"/>
        <v/>
      </c>
      <c r="R1511" s="14" t="str">
        <f t="shared" si="69"/>
        <v/>
      </c>
      <c r="S1511" s="14" t="str">
        <f t="shared" si="70"/>
        <v/>
      </c>
      <c r="T1511" s="14" t="s">
        <v>72</v>
      </c>
      <c r="U1511" s="14">
        <v>442.31385091109917</v>
      </c>
      <c r="V1511">
        <v>5066</v>
      </c>
      <c r="W1511">
        <v>22.646783447265602</v>
      </c>
      <c r="X1511">
        <v>31.526304103653501</v>
      </c>
      <c r="Y1511">
        <v>1.8839637970681999</v>
      </c>
      <c r="Z1511" s="31">
        <v>1.89235486893984</v>
      </c>
      <c r="AA1511">
        <v>4.8704902639125303</v>
      </c>
      <c r="AB1511">
        <v>0.08</v>
      </c>
      <c r="AC1511">
        <v>221523.43356685</v>
      </c>
      <c r="AD1511">
        <v>253489.26503054649</v>
      </c>
      <c r="AE1511">
        <v>1</v>
      </c>
      <c r="AF1511">
        <v>6613.9407384721053</v>
      </c>
      <c r="AG1511">
        <v>26590.35429034417</v>
      </c>
    </row>
    <row r="1512" spans="2:33" hidden="1" x14ac:dyDescent="0.25">
      <c r="B1512">
        <v>27</v>
      </c>
      <c r="C1512" t="s">
        <v>60</v>
      </c>
      <c r="D1512" t="s">
        <v>26</v>
      </c>
      <c r="E1512" t="s">
        <v>69</v>
      </c>
      <c r="F1512">
        <v>150956</v>
      </c>
      <c r="G1512">
        <v>157270</v>
      </c>
      <c r="H1512">
        <v>15</v>
      </c>
      <c r="I1512">
        <v>1869</v>
      </c>
      <c r="J1512">
        <v>0.32313855153557569</v>
      </c>
      <c r="K1512">
        <v>611715</v>
      </c>
      <c r="L1512">
        <v>58229</v>
      </c>
      <c r="M1512">
        <v>9113</v>
      </c>
      <c r="N1512">
        <v>2262</v>
      </c>
      <c r="O1512" s="43">
        <v>19453595.039999999</v>
      </c>
      <c r="P1512" s="14">
        <f t="shared" si="71"/>
        <v>1830926.5920000002</v>
      </c>
      <c r="Q1512" s="14" t="str">
        <f t="shared" si="69"/>
        <v/>
      </c>
      <c r="R1512" s="14" t="str">
        <f t="shared" si="69"/>
        <v/>
      </c>
      <c r="S1512" s="14" t="str">
        <f t="shared" si="70"/>
        <v/>
      </c>
      <c r="T1512" s="14" t="s">
        <v>72</v>
      </c>
      <c r="U1512" s="14">
        <v>979.62899518459074</v>
      </c>
      <c r="V1512">
        <v>5066</v>
      </c>
      <c r="W1512">
        <v>18.588830566406301</v>
      </c>
      <c r="X1512">
        <v>58.073319804714103</v>
      </c>
      <c r="Y1512">
        <v>0.89847964368647604</v>
      </c>
      <c r="Z1512" s="31">
        <v>2.3412166388953701</v>
      </c>
      <c r="AA1512">
        <v>10.5744936408908</v>
      </c>
      <c r="AB1512">
        <v>0.08</v>
      </c>
      <c r="AC1512">
        <v>221523.43356685</v>
      </c>
      <c r="AD1512">
        <v>253489.26503054649</v>
      </c>
      <c r="AE1512">
        <v>1</v>
      </c>
      <c r="AF1512">
        <v>6613.9407384721053</v>
      </c>
      <c r="AG1512">
        <v>26590.35429034417</v>
      </c>
    </row>
    <row r="1513" spans="2:33" hidden="1" x14ac:dyDescent="0.25">
      <c r="B1513">
        <v>27</v>
      </c>
      <c r="C1513" t="s">
        <v>60</v>
      </c>
      <c r="D1513" t="s">
        <v>26</v>
      </c>
      <c r="E1513" t="s">
        <v>69</v>
      </c>
      <c r="F1513">
        <v>152002</v>
      </c>
      <c r="G1513">
        <v>157270</v>
      </c>
      <c r="H1513">
        <v>16</v>
      </c>
      <c r="I1513">
        <v>0</v>
      </c>
      <c r="J1513">
        <v>0.46556876708844658</v>
      </c>
      <c r="K1513">
        <v>611715</v>
      </c>
      <c r="L1513">
        <v>58229</v>
      </c>
      <c r="M1513">
        <v>9113</v>
      </c>
      <c r="N1513">
        <v>2262</v>
      </c>
      <c r="O1513" s="43">
        <v>21398954.544</v>
      </c>
      <c r="P1513" s="14">
        <f t="shared" si="71"/>
        <v>1945359.5040000007</v>
      </c>
      <c r="Q1513" s="14" t="str">
        <f t="shared" si="69"/>
        <v/>
      </c>
      <c r="R1513" s="14" t="str">
        <f t="shared" si="69"/>
        <v/>
      </c>
      <c r="S1513" s="14" t="str">
        <f t="shared" si="70"/>
        <v/>
      </c>
      <c r="T1513" s="14" t="s">
        <v>72</v>
      </c>
      <c r="U1513" s="14">
        <v>0</v>
      </c>
      <c r="V1513">
        <v>5066</v>
      </c>
      <c r="W1513">
        <v>18.800103759765602</v>
      </c>
      <c r="X1513">
        <v>44.852177036372701</v>
      </c>
      <c r="Y1513">
        <v>1.1976677425245701</v>
      </c>
      <c r="Z1513" s="31">
        <v>2.7949500729363299</v>
      </c>
      <c r="AA1513">
        <v>10.4610168675902</v>
      </c>
      <c r="AB1513">
        <v>0.08</v>
      </c>
      <c r="AC1513">
        <v>221523.43356685</v>
      </c>
      <c r="AD1513">
        <v>253489.26503054649</v>
      </c>
      <c r="AE1513">
        <v>1</v>
      </c>
      <c r="AF1513">
        <v>6613.9407384721053</v>
      </c>
      <c r="AG1513">
        <v>26590.35429034417</v>
      </c>
    </row>
    <row r="1514" spans="2:33" hidden="1" x14ac:dyDescent="0.25">
      <c r="B1514">
        <v>27</v>
      </c>
      <c r="C1514" t="s">
        <v>60</v>
      </c>
      <c r="D1514" t="s">
        <v>26</v>
      </c>
      <c r="E1514" t="s">
        <v>69</v>
      </c>
      <c r="F1514">
        <v>153850</v>
      </c>
      <c r="G1514">
        <v>157270</v>
      </c>
      <c r="H1514">
        <v>17</v>
      </c>
      <c r="I1514">
        <v>1647</v>
      </c>
      <c r="J1514">
        <v>0.82253449481782914</v>
      </c>
      <c r="K1514">
        <v>611715</v>
      </c>
      <c r="L1514">
        <v>58229</v>
      </c>
      <c r="M1514">
        <v>9113</v>
      </c>
      <c r="N1514">
        <v>2262</v>
      </c>
      <c r="O1514" s="43">
        <v>23458746.960000001</v>
      </c>
      <c r="P1514" s="14">
        <f t="shared" si="71"/>
        <v>2059792.4160000011</v>
      </c>
      <c r="Q1514" s="14" t="str">
        <f t="shared" si="69"/>
        <v/>
      </c>
      <c r="R1514" s="14" t="str">
        <f t="shared" si="69"/>
        <v/>
      </c>
      <c r="S1514" s="14" t="str">
        <f t="shared" si="70"/>
        <v/>
      </c>
      <c r="T1514" s="14" t="s">
        <v>72</v>
      </c>
      <c r="U1514" s="14">
        <v>1250.6329180327853</v>
      </c>
      <c r="V1514">
        <v>5066</v>
      </c>
      <c r="W1514">
        <v>18.312188720703102</v>
      </c>
      <c r="X1514">
        <v>63.316373524544801</v>
      </c>
      <c r="Y1514">
        <v>0.77259447822596305</v>
      </c>
      <c r="Z1514" s="31">
        <v>5.2367385344728801</v>
      </c>
      <c r="AA1514">
        <v>24.732097527587701</v>
      </c>
      <c r="AB1514">
        <v>0.08</v>
      </c>
      <c r="AC1514">
        <v>221523.43356685</v>
      </c>
      <c r="AD1514">
        <v>253489.26503054649</v>
      </c>
      <c r="AE1514">
        <v>1</v>
      </c>
      <c r="AF1514">
        <v>6613.9407384721053</v>
      </c>
      <c r="AG1514">
        <v>26590.35429034417</v>
      </c>
    </row>
    <row r="1515" spans="2:33" hidden="1" x14ac:dyDescent="0.25">
      <c r="B1515">
        <v>27</v>
      </c>
      <c r="C1515" t="s">
        <v>60</v>
      </c>
      <c r="D1515" t="s">
        <v>26</v>
      </c>
      <c r="E1515" t="s">
        <v>69</v>
      </c>
      <c r="F1515">
        <v>153850</v>
      </c>
      <c r="G1515">
        <v>157270</v>
      </c>
      <c r="H1515">
        <v>18</v>
      </c>
      <c r="I1515">
        <v>726</v>
      </c>
      <c r="J1515">
        <v>0</v>
      </c>
      <c r="K1515">
        <v>611715</v>
      </c>
      <c r="L1515">
        <v>58229</v>
      </c>
      <c r="M1515">
        <v>9113</v>
      </c>
      <c r="N1515">
        <v>2262</v>
      </c>
      <c r="O1515" s="43">
        <v>24946374.816</v>
      </c>
      <c r="P1515" s="14">
        <f t="shared" si="71"/>
        <v>1487627.8559999987</v>
      </c>
      <c r="Q1515" s="14" t="str">
        <f t="shared" si="69"/>
        <v/>
      </c>
      <c r="R1515" s="14" t="str">
        <f t="shared" si="69"/>
        <v/>
      </c>
      <c r="S1515" s="14" t="str">
        <f t="shared" si="70"/>
        <v/>
      </c>
      <c r="T1515" s="14" t="s">
        <v>72</v>
      </c>
      <c r="U1515" s="14">
        <v>2049.074181818185</v>
      </c>
      <c r="V1515">
        <v>5066</v>
      </c>
      <c r="W1515">
        <v>17.010888671875001</v>
      </c>
      <c r="X1515">
        <v>49.8448279005299</v>
      </c>
      <c r="Y1515">
        <v>0.97341632522943999</v>
      </c>
      <c r="Z1515" s="31">
        <v>2.4943031716981898</v>
      </c>
      <c r="AA1515">
        <v>10.095513662254</v>
      </c>
      <c r="AB1515">
        <v>0.08</v>
      </c>
      <c r="AC1515">
        <v>221523.43356685</v>
      </c>
      <c r="AD1515">
        <v>253489.26503054649</v>
      </c>
      <c r="AE1515">
        <v>1</v>
      </c>
      <c r="AF1515">
        <v>6613.9407384721053</v>
      </c>
      <c r="AG1515">
        <v>26590.35429034417</v>
      </c>
    </row>
    <row r="1516" spans="2:33" hidden="1" x14ac:dyDescent="0.25">
      <c r="B1516">
        <v>27</v>
      </c>
      <c r="C1516" t="s">
        <v>60</v>
      </c>
      <c r="D1516" t="s">
        <v>26</v>
      </c>
      <c r="E1516" t="s">
        <v>69</v>
      </c>
      <c r="F1516">
        <v>154102</v>
      </c>
      <c r="G1516">
        <v>157270</v>
      </c>
      <c r="H1516">
        <v>19</v>
      </c>
      <c r="I1516">
        <v>1046</v>
      </c>
      <c r="J1516">
        <v>0.11216379474788581</v>
      </c>
      <c r="K1516">
        <v>611715</v>
      </c>
      <c r="L1516">
        <v>58229</v>
      </c>
      <c r="M1516">
        <v>9113</v>
      </c>
      <c r="N1516">
        <v>2262</v>
      </c>
      <c r="O1516" s="43">
        <v>27006167.232000001</v>
      </c>
      <c r="P1516" s="14">
        <f t="shared" si="71"/>
        <v>2059792.4160000011</v>
      </c>
      <c r="Q1516" s="14" t="str">
        <f t="shared" si="69"/>
        <v/>
      </c>
      <c r="R1516" s="14" t="str">
        <f t="shared" si="69"/>
        <v/>
      </c>
      <c r="S1516" s="14" t="str">
        <f t="shared" si="70"/>
        <v/>
      </c>
      <c r="T1516" s="14" t="s">
        <v>72</v>
      </c>
      <c r="U1516" s="14">
        <v>1969.2088107074544</v>
      </c>
      <c r="V1516">
        <v>5066</v>
      </c>
      <c r="W1516">
        <v>13.9919677734375</v>
      </c>
      <c r="X1516">
        <v>71.225653667085993</v>
      </c>
      <c r="Y1516">
        <v>0.46026908128878902</v>
      </c>
      <c r="Z1516" s="31">
        <v>2.9336052607375298</v>
      </c>
      <c r="AA1516">
        <v>20.9755677140164</v>
      </c>
      <c r="AB1516">
        <v>0.08</v>
      </c>
      <c r="AC1516">
        <v>221523.43356685</v>
      </c>
      <c r="AD1516">
        <v>253489.26503054649</v>
      </c>
      <c r="AE1516">
        <v>1</v>
      </c>
      <c r="AF1516">
        <v>6613.9407384721053</v>
      </c>
      <c r="AG1516">
        <v>26590.35429034417</v>
      </c>
    </row>
    <row r="1517" spans="2:33" hidden="1" x14ac:dyDescent="0.25">
      <c r="B1517">
        <v>27</v>
      </c>
      <c r="C1517" t="s">
        <v>60</v>
      </c>
      <c r="D1517" t="s">
        <v>26</v>
      </c>
      <c r="E1517" t="s">
        <v>69</v>
      </c>
      <c r="F1517">
        <v>154102</v>
      </c>
      <c r="G1517">
        <v>157270</v>
      </c>
      <c r="H1517">
        <v>20</v>
      </c>
      <c r="I1517">
        <v>1848</v>
      </c>
      <c r="J1517">
        <v>0</v>
      </c>
      <c r="K1517">
        <v>611715</v>
      </c>
      <c r="L1517">
        <v>58229</v>
      </c>
      <c r="M1517">
        <v>9113</v>
      </c>
      <c r="N1517">
        <v>2262</v>
      </c>
      <c r="O1517" s="43">
        <v>28379362.175999999</v>
      </c>
      <c r="P1517" s="14">
        <f t="shared" si="71"/>
        <v>1373194.9439999983</v>
      </c>
      <c r="Q1517" s="14" t="str">
        <f t="shared" si="69"/>
        <v/>
      </c>
      <c r="R1517" s="14" t="str">
        <f t="shared" si="69"/>
        <v/>
      </c>
      <c r="S1517" s="14" t="str">
        <f t="shared" si="70"/>
        <v/>
      </c>
      <c r="T1517" s="14" t="s">
        <v>72</v>
      </c>
      <c r="U1517" s="14">
        <v>743.07085714285824</v>
      </c>
      <c r="V1517">
        <v>5066</v>
      </c>
      <c r="W1517">
        <v>18.070153808593702</v>
      </c>
      <c r="X1517">
        <v>56.397585676566003</v>
      </c>
      <c r="Y1517">
        <v>0.90456215977835197</v>
      </c>
      <c r="Z1517" s="31">
        <v>2.79312531813521</v>
      </c>
      <c r="AA1517">
        <v>11.3048430454682</v>
      </c>
      <c r="AB1517">
        <v>0.08</v>
      </c>
      <c r="AC1517">
        <v>221523.43356685</v>
      </c>
      <c r="AD1517">
        <v>253489.26503054649</v>
      </c>
      <c r="AE1517">
        <v>1</v>
      </c>
      <c r="AF1517">
        <v>6613.9407384721053</v>
      </c>
      <c r="AG1517">
        <v>26590.35429034417</v>
      </c>
    </row>
    <row r="1518" spans="2:33" hidden="1" x14ac:dyDescent="0.25">
      <c r="B1518">
        <v>27</v>
      </c>
      <c r="C1518" t="s">
        <v>60</v>
      </c>
      <c r="D1518" t="s">
        <v>26</v>
      </c>
      <c r="E1518" t="s">
        <v>69</v>
      </c>
      <c r="F1518">
        <v>154102</v>
      </c>
      <c r="G1518">
        <v>157270</v>
      </c>
      <c r="H1518">
        <v>21</v>
      </c>
      <c r="I1518">
        <v>0</v>
      </c>
      <c r="J1518">
        <v>0</v>
      </c>
      <c r="K1518">
        <v>611715</v>
      </c>
      <c r="L1518">
        <v>58229</v>
      </c>
      <c r="M1518">
        <v>9113</v>
      </c>
      <c r="N1518">
        <v>2262</v>
      </c>
      <c r="O1518" s="43">
        <v>30668020.416000001</v>
      </c>
      <c r="P1518" s="14">
        <f t="shared" si="71"/>
        <v>2288658.2400000021</v>
      </c>
      <c r="Q1518" s="14" t="str">
        <f t="shared" si="69"/>
        <v/>
      </c>
      <c r="R1518" s="14" t="str">
        <f t="shared" si="69"/>
        <v/>
      </c>
      <c r="S1518" s="14" t="str">
        <f t="shared" si="70"/>
        <v/>
      </c>
      <c r="T1518" s="14" t="s">
        <v>72</v>
      </c>
      <c r="U1518" s="14">
        <v>0</v>
      </c>
      <c r="V1518">
        <v>5066</v>
      </c>
      <c r="W1518">
        <v>22.763024902343702</v>
      </c>
      <c r="X1518">
        <v>35.982024613982297</v>
      </c>
      <c r="Y1518">
        <v>1.7736994763502301</v>
      </c>
      <c r="Z1518" s="31">
        <v>4.08077638005871</v>
      </c>
      <c r="AA1518">
        <v>16.038245224309801</v>
      </c>
      <c r="AB1518">
        <v>0.08</v>
      </c>
      <c r="AC1518">
        <v>221523.43356685</v>
      </c>
      <c r="AD1518">
        <v>253489.26503054649</v>
      </c>
      <c r="AE1518">
        <v>1</v>
      </c>
      <c r="AF1518">
        <v>6613.9407384721053</v>
      </c>
      <c r="AG1518">
        <v>26590.35429034417</v>
      </c>
    </row>
    <row r="1519" spans="2:33" hidden="1" x14ac:dyDescent="0.25">
      <c r="B1519">
        <v>27</v>
      </c>
      <c r="C1519" t="s">
        <v>60</v>
      </c>
      <c r="D1519" t="s">
        <v>26</v>
      </c>
      <c r="E1519" t="s">
        <v>69</v>
      </c>
      <c r="F1519">
        <v>154145</v>
      </c>
      <c r="G1519">
        <v>157270</v>
      </c>
      <c r="H1519">
        <v>22</v>
      </c>
      <c r="I1519">
        <v>252</v>
      </c>
      <c r="J1519">
        <v>1.9139060214917021E-2</v>
      </c>
      <c r="K1519">
        <v>611715</v>
      </c>
      <c r="L1519">
        <v>58229</v>
      </c>
      <c r="M1519">
        <v>9113</v>
      </c>
      <c r="N1519">
        <v>2262</v>
      </c>
      <c r="O1519" s="43">
        <v>32270081.184</v>
      </c>
      <c r="P1519" s="14">
        <f t="shared" si="71"/>
        <v>1602060.7679999992</v>
      </c>
      <c r="Q1519" s="14" t="str">
        <f t="shared" si="69"/>
        <v/>
      </c>
      <c r="R1519" s="14" t="str">
        <f t="shared" si="69"/>
        <v/>
      </c>
      <c r="S1519" s="14" t="str">
        <f t="shared" si="70"/>
        <v/>
      </c>
      <c r="T1519" s="14" t="s">
        <v>72</v>
      </c>
      <c r="U1519" s="14">
        <v>6357.3840000000118</v>
      </c>
      <c r="V1519">
        <v>5066</v>
      </c>
      <c r="W1519">
        <v>30.679803466796901</v>
      </c>
      <c r="X1519">
        <v>22.821211168319099</v>
      </c>
      <c r="Y1519">
        <v>3.40475087460098</v>
      </c>
      <c r="Z1519" s="31">
        <v>1.7331565775508999</v>
      </c>
      <c r="AA1519">
        <v>6.7063345478182503</v>
      </c>
      <c r="AB1519">
        <v>0.08</v>
      </c>
      <c r="AC1519">
        <v>221523.43356685</v>
      </c>
      <c r="AD1519">
        <v>253489.26503054649</v>
      </c>
      <c r="AE1519">
        <v>1</v>
      </c>
      <c r="AF1519">
        <v>6613.9407384721053</v>
      </c>
      <c r="AG1519">
        <v>26590.35429034417</v>
      </c>
    </row>
    <row r="1520" spans="2:33" hidden="1" x14ac:dyDescent="0.25">
      <c r="B1520">
        <v>27</v>
      </c>
      <c r="C1520" t="s">
        <v>60</v>
      </c>
      <c r="D1520" t="s">
        <v>26</v>
      </c>
      <c r="E1520" t="s">
        <v>69</v>
      </c>
      <c r="F1520">
        <v>154507</v>
      </c>
      <c r="G1520">
        <v>157270</v>
      </c>
      <c r="H1520">
        <v>23</v>
      </c>
      <c r="I1520">
        <v>0</v>
      </c>
      <c r="J1520">
        <v>0.16112418134418521</v>
      </c>
      <c r="K1520">
        <v>611715</v>
      </c>
      <c r="L1520">
        <v>58229</v>
      </c>
      <c r="M1520">
        <v>9113</v>
      </c>
      <c r="N1520">
        <v>2262</v>
      </c>
      <c r="O1520" s="43">
        <v>33872141.952</v>
      </c>
      <c r="P1520" s="14">
        <f t="shared" si="71"/>
        <v>1602060.7679999992</v>
      </c>
      <c r="Q1520" s="14" t="str">
        <f t="shared" si="69"/>
        <v/>
      </c>
      <c r="R1520" s="14" t="str">
        <f t="shared" si="69"/>
        <v/>
      </c>
      <c r="S1520" s="14" t="str">
        <f t="shared" si="70"/>
        <v/>
      </c>
      <c r="T1520" s="14" t="s">
        <v>72</v>
      </c>
      <c r="U1520" s="14">
        <v>0</v>
      </c>
      <c r="V1520">
        <v>5066</v>
      </c>
      <c r="W1520">
        <v>27.213403320312501</v>
      </c>
      <c r="X1520">
        <v>26.363372930218802</v>
      </c>
      <c r="Y1520">
        <v>2.6590115681806199</v>
      </c>
      <c r="Z1520" s="31">
        <v>1.4698253973809801</v>
      </c>
      <c r="AA1520">
        <v>3.5667536276559599</v>
      </c>
      <c r="AB1520">
        <v>0.08</v>
      </c>
      <c r="AC1520">
        <v>221523.43356685</v>
      </c>
      <c r="AD1520">
        <v>253489.26503054649</v>
      </c>
      <c r="AE1520">
        <v>1</v>
      </c>
      <c r="AF1520">
        <v>6613.9407384721053</v>
      </c>
      <c r="AG1520">
        <v>26590.35429034417</v>
      </c>
    </row>
    <row r="1521" spans="2:33" hidden="1" x14ac:dyDescent="0.25">
      <c r="B1521">
        <v>27</v>
      </c>
      <c r="C1521" t="s">
        <v>60</v>
      </c>
      <c r="D1521" t="s">
        <v>26</v>
      </c>
      <c r="E1521" t="s">
        <v>69</v>
      </c>
      <c r="F1521">
        <v>154563</v>
      </c>
      <c r="G1521">
        <v>157270</v>
      </c>
      <c r="H1521">
        <v>24</v>
      </c>
      <c r="I1521">
        <v>0</v>
      </c>
      <c r="J1521">
        <v>2.4925287721752402E-2</v>
      </c>
      <c r="K1521">
        <v>611715</v>
      </c>
      <c r="L1521">
        <v>58229</v>
      </c>
      <c r="M1521">
        <v>9113</v>
      </c>
      <c r="N1521">
        <v>2262</v>
      </c>
      <c r="O1521" s="43">
        <v>35130903.983999997</v>
      </c>
      <c r="P1521" s="14">
        <f t="shared" si="71"/>
        <v>1258762.0319999978</v>
      </c>
      <c r="Q1521" s="14" t="str">
        <f t="shared" si="69"/>
        <v/>
      </c>
      <c r="R1521" s="14" t="str">
        <f t="shared" si="69"/>
        <v/>
      </c>
      <c r="S1521" s="14" t="str">
        <f t="shared" si="70"/>
        <v/>
      </c>
      <c r="T1521" s="14" t="s">
        <v>72</v>
      </c>
      <c r="U1521" s="14">
        <v>0</v>
      </c>
      <c r="V1521">
        <v>5066</v>
      </c>
      <c r="W1521">
        <v>26.429406738281301</v>
      </c>
      <c r="X1521">
        <v>28.033713168115401</v>
      </c>
      <c r="Y1521">
        <v>2.4817962891837899</v>
      </c>
      <c r="Z1521" s="31">
        <v>1.6963475913984301</v>
      </c>
      <c r="AA1521">
        <v>4.9931846536532198</v>
      </c>
      <c r="AB1521">
        <v>0.08</v>
      </c>
      <c r="AC1521">
        <v>221523.43356685</v>
      </c>
      <c r="AD1521">
        <v>253489.26503054649</v>
      </c>
      <c r="AE1521">
        <v>1</v>
      </c>
      <c r="AF1521">
        <v>6613.9407384721053</v>
      </c>
      <c r="AG1521">
        <v>26590.35429034417</v>
      </c>
    </row>
    <row r="1522" spans="2:33" hidden="1" x14ac:dyDescent="0.25">
      <c r="B1522">
        <v>27</v>
      </c>
      <c r="C1522" t="s">
        <v>60</v>
      </c>
      <c r="D1522" t="s">
        <v>26</v>
      </c>
      <c r="E1522" t="s">
        <v>69</v>
      </c>
      <c r="F1522">
        <v>154780</v>
      </c>
      <c r="G1522">
        <v>157270</v>
      </c>
      <c r="H1522">
        <v>25</v>
      </c>
      <c r="I1522">
        <v>43</v>
      </c>
      <c r="J1522">
        <v>9.6585489921790543E-2</v>
      </c>
      <c r="K1522">
        <v>611715</v>
      </c>
      <c r="L1522">
        <v>58229</v>
      </c>
      <c r="M1522">
        <v>9113</v>
      </c>
      <c r="N1522">
        <v>2262</v>
      </c>
      <c r="O1522" s="43">
        <v>36504098.928000003</v>
      </c>
      <c r="P1522" s="14">
        <f t="shared" si="71"/>
        <v>1373194.9440000057</v>
      </c>
      <c r="Q1522" s="14" t="str">
        <f t="shared" si="69"/>
        <v/>
      </c>
      <c r="R1522" s="14" t="str">
        <f t="shared" si="69"/>
        <v/>
      </c>
      <c r="S1522" s="14" t="str">
        <f t="shared" si="70"/>
        <v/>
      </c>
      <c r="T1522" s="14" t="s">
        <v>72</v>
      </c>
      <c r="U1522" s="14">
        <v>31934.766139534844</v>
      </c>
      <c r="V1522">
        <v>5066</v>
      </c>
      <c r="W1522">
        <v>26.761865234375001</v>
      </c>
      <c r="X1522">
        <v>32.077180657669899</v>
      </c>
      <c r="Y1522">
        <v>2.3883823293698101</v>
      </c>
      <c r="Z1522" s="31">
        <v>2.41436602605937</v>
      </c>
      <c r="AA1522">
        <v>4.1360618345336402</v>
      </c>
      <c r="AB1522">
        <v>0.08</v>
      </c>
      <c r="AC1522">
        <v>221523.43356685</v>
      </c>
      <c r="AD1522">
        <v>253489.26503054649</v>
      </c>
      <c r="AE1522">
        <v>1</v>
      </c>
      <c r="AF1522">
        <v>6613.9407384721053</v>
      </c>
      <c r="AG1522">
        <v>26590.35429034417</v>
      </c>
    </row>
    <row r="1523" spans="2:33" hidden="1" x14ac:dyDescent="0.25">
      <c r="B1523">
        <v>27</v>
      </c>
      <c r="C1523" t="s">
        <v>60</v>
      </c>
      <c r="D1523" t="s">
        <v>26</v>
      </c>
      <c r="E1523" t="s">
        <v>69</v>
      </c>
      <c r="F1523">
        <v>154974</v>
      </c>
      <c r="G1523">
        <v>157270</v>
      </c>
      <c r="H1523">
        <v>26</v>
      </c>
      <c r="I1523">
        <v>362</v>
      </c>
      <c r="J1523">
        <v>8.6348318178927949E-2</v>
      </c>
      <c r="K1523">
        <v>611715</v>
      </c>
      <c r="L1523">
        <v>58229</v>
      </c>
      <c r="M1523">
        <v>9113</v>
      </c>
      <c r="N1523">
        <v>2262</v>
      </c>
      <c r="O1523" s="43">
        <v>37759427.97264</v>
      </c>
      <c r="P1523" s="14">
        <f t="shared" si="71"/>
        <v>1255329.0446399972</v>
      </c>
      <c r="Q1523" s="14" t="str">
        <f t="shared" si="69"/>
        <v/>
      </c>
      <c r="R1523" s="14" t="str">
        <f t="shared" si="69"/>
        <v/>
      </c>
      <c r="S1523" s="14" t="str">
        <f t="shared" si="70"/>
        <v/>
      </c>
      <c r="T1523" s="14" t="s">
        <v>72</v>
      </c>
      <c r="U1523" s="14">
        <v>3467.7597918231968</v>
      </c>
      <c r="V1523">
        <v>5066</v>
      </c>
      <c r="W1523">
        <v>26.114129638671901</v>
      </c>
      <c r="X1523">
        <v>30.641038219446099</v>
      </c>
      <c r="Y1523">
        <v>2.3477548019500198</v>
      </c>
      <c r="Z1523" s="31">
        <v>2.4266648696892901</v>
      </c>
      <c r="AA1523">
        <v>5.0763168733479596</v>
      </c>
      <c r="AB1523">
        <v>0.08</v>
      </c>
      <c r="AC1523">
        <v>221523.43356685</v>
      </c>
      <c r="AD1523">
        <v>253489.26503054649</v>
      </c>
      <c r="AE1523">
        <v>1</v>
      </c>
      <c r="AF1523">
        <v>6613.9407384721053</v>
      </c>
      <c r="AG1523">
        <v>26590.35429034417</v>
      </c>
    </row>
    <row r="1524" spans="2:33" hidden="1" x14ac:dyDescent="0.25">
      <c r="B1524">
        <v>27</v>
      </c>
      <c r="C1524" t="s">
        <v>60</v>
      </c>
      <c r="D1524" t="s">
        <v>26</v>
      </c>
      <c r="E1524" t="s">
        <v>69</v>
      </c>
      <c r="F1524">
        <v>155096</v>
      </c>
      <c r="G1524">
        <v>157270</v>
      </c>
      <c r="H1524">
        <v>27</v>
      </c>
      <c r="I1524">
        <v>56</v>
      </c>
      <c r="J1524">
        <v>5.4301519679532007E-2</v>
      </c>
      <c r="K1524">
        <v>611715</v>
      </c>
      <c r="L1524">
        <v>58229</v>
      </c>
      <c r="M1524">
        <v>9113</v>
      </c>
      <c r="N1524">
        <v>2262</v>
      </c>
      <c r="O1524" s="43">
        <v>39164148.039566882</v>
      </c>
      <c r="P1524" s="14">
        <f t="shared" si="71"/>
        <v>1404720.0669268817</v>
      </c>
      <c r="Q1524" s="14" t="str">
        <f t="shared" si="69"/>
        <v/>
      </c>
      <c r="R1524" s="14" t="str">
        <f t="shared" si="69"/>
        <v/>
      </c>
      <c r="S1524" s="14" t="str">
        <f t="shared" si="70"/>
        <v/>
      </c>
      <c r="T1524" s="14" t="s">
        <v>72</v>
      </c>
      <c r="U1524" s="14">
        <v>25084.286909408602</v>
      </c>
      <c r="V1524">
        <v>5066</v>
      </c>
      <c r="W1524">
        <v>24.873254394531301</v>
      </c>
      <c r="X1524">
        <v>33.561498102294799</v>
      </c>
      <c r="Y1524">
        <v>2.0893674755126201</v>
      </c>
      <c r="Z1524" s="31">
        <v>1.6659535427757599</v>
      </c>
      <c r="AA1524">
        <v>8.0012539738582102</v>
      </c>
      <c r="AB1524">
        <v>0.08</v>
      </c>
      <c r="AC1524">
        <v>221523.43356685</v>
      </c>
      <c r="AD1524">
        <v>253489.26503054649</v>
      </c>
      <c r="AE1524">
        <v>1</v>
      </c>
      <c r="AF1524">
        <v>6613.9407384721053</v>
      </c>
      <c r="AG1524">
        <v>26590.35429034417</v>
      </c>
    </row>
    <row r="1525" spans="2:33" hidden="1" x14ac:dyDescent="0.25">
      <c r="B1525">
        <v>27</v>
      </c>
      <c r="C1525" t="s">
        <v>60</v>
      </c>
      <c r="D1525" t="s">
        <v>26</v>
      </c>
      <c r="E1525" t="s">
        <v>69</v>
      </c>
      <c r="F1525">
        <v>155287</v>
      </c>
      <c r="G1525">
        <v>157270</v>
      </c>
      <c r="H1525">
        <v>28</v>
      </c>
      <c r="I1525">
        <v>217</v>
      </c>
      <c r="J1525">
        <v>8.5013034908119789E-2</v>
      </c>
      <c r="K1525">
        <v>611715</v>
      </c>
      <c r="L1525">
        <v>58229</v>
      </c>
      <c r="M1525">
        <v>9113</v>
      </c>
      <c r="N1525">
        <v>2262</v>
      </c>
      <c r="O1525" s="43">
        <v>39164148.039566882</v>
      </c>
      <c r="P1525" s="14">
        <f t="shared" si="71"/>
        <v>0</v>
      </c>
      <c r="Q1525" s="14" t="str">
        <f t="shared" si="69"/>
        <v/>
      </c>
      <c r="R1525" s="14" t="str">
        <f t="shared" si="69"/>
        <v/>
      </c>
      <c r="S1525" s="14" t="str">
        <f t="shared" si="70"/>
        <v/>
      </c>
      <c r="T1525" s="14" t="s">
        <v>72</v>
      </c>
      <c r="U1525" s="14">
        <v>0</v>
      </c>
      <c r="V1525">
        <v>5066</v>
      </c>
      <c r="W1525">
        <v>21.962182617187501</v>
      </c>
      <c r="X1525">
        <v>36.030301802979402</v>
      </c>
      <c r="Y1525">
        <v>1.68828394199576</v>
      </c>
      <c r="Z1525" s="31">
        <v>2.12826375387306</v>
      </c>
      <c r="AA1525">
        <v>3.1422068763417799</v>
      </c>
      <c r="AB1525">
        <v>0.08</v>
      </c>
      <c r="AC1525">
        <v>221523.43356685</v>
      </c>
      <c r="AD1525">
        <v>253489.26503054649</v>
      </c>
      <c r="AE1525">
        <v>1</v>
      </c>
      <c r="AF1525">
        <v>6613.9407384721053</v>
      </c>
      <c r="AG1525">
        <v>26590.35429034417</v>
      </c>
    </row>
    <row r="1526" spans="2:33" hidden="1" x14ac:dyDescent="0.25">
      <c r="B1526">
        <v>27</v>
      </c>
      <c r="C1526" t="s">
        <v>60</v>
      </c>
      <c r="D1526" t="s">
        <v>26</v>
      </c>
      <c r="E1526" t="s">
        <v>69</v>
      </c>
      <c r="F1526">
        <v>155510</v>
      </c>
      <c r="G1526">
        <v>157270</v>
      </c>
      <c r="H1526">
        <v>29</v>
      </c>
      <c r="I1526">
        <v>194</v>
      </c>
      <c r="J1526">
        <v>9.9256056463406878E-2</v>
      </c>
      <c r="K1526">
        <v>611715</v>
      </c>
      <c r="L1526">
        <v>58229</v>
      </c>
      <c r="M1526">
        <v>9113</v>
      </c>
      <c r="N1526">
        <v>2262</v>
      </c>
      <c r="O1526" s="43">
        <v>43716799.649714403</v>
      </c>
      <c r="P1526" s="14">
        <f t="shared" si="71"/>
        <v>4552651.6101475209</v>
      </c>
      <c r="Q1526" s="14" t="str">
        <f t="shared" si="69"/>
        <v/>
      </c>
      <c r="R1526" s="14" t="str">
        <f t="shared" si="69"/>
        <v/>
      </c>
      <c r="S1526" s="14" t="str">
        <f t="shared" si="70"/>
        <v/>
      </c>
      <c r="T1526" s="14" t="s">
        <v>72</v>
      </c>
      <c r="U1526" s="14">
        <v>23467.276340966604</v>
      </c>
      <c r="V1526">
        <v>5066</v>
      </c>
      <c r="W1526">
        <v>25.427575683593702</v>
      </c>
      <c r="X1526">
        <v>33.5456576694069</v>
      </c>
      <c r="Y1526">
        <v>2.1598325574825101</v>
      </c>
      <c r="Z1526" s="31">
        <v>1.43256607578818</v>
      </c>
      <c r="AA1526">
        <v>2.5900127423538901</v>
      </c>
      <c r="AB1526">
        <v>0.08</v>
      </c>
      <c r="AC1526">
        <v>221523.43356685</v>
      </c>
      <c r="AD1526">
        <v>253489.26503054649</v>
      </c>
      <c r="AE1526">
        <v>1</v>
      </c>
      <c r="AF1526">
        <v>6613.9407384721053</v>
      </c>
      <c r="AG1526">
        <v>26590.35429034417</v>
      </c>
    </row>
    <row r="1527" spans="2:33" hidden="1" x14ac:dyDescent="0.25">
      <c r="B1527">
        <v>27</v>
      </c>
      <c r="C1527" t="s">
        <v>60</v>
      </c>
      <c r="D1527" t="s">
        <v>26</v>
      </c>
      <c r="E1527" t="s">
        <v>69</v>
      </c>
      <c r="F1527">
        <v>155726</v>
      </c>
      <c r="G1527">
        <v>157270</v>
      </c>
      <c r="H1527">
        <v>30</v>
      </c>
      <c r="I1527">
        <v>122</v>
      </c>
      <c r="J1527">
        <v>9.6140395498187828E-2</v>
      </c>
      <c r="K1527">
        <v>611715</v>
      </c>
      <c r="L1527">
        <v>58229</v>
      </c>
      <c r="M1527">
        <v>9113</v>
      </c>
      <c r="N1527">
        <v>2262</v>
      </c>
      <c r="O1527" s="43">
        <v>43412885.289037444</v>
      </c>
      <c r="P1527" s="14">
        <f t="shared" si="71"/>
        <v>-303914.36067695916</v>
      </c>
      <c r="Q1527" s="14">
        <f t="shared" si="69"/>
        <v>-303914.36067695916</v>
      </c>
      <c r="R1527" s="14">
        <f t="shared" si="69"/>
        <v>-303914.36067695916</v>
      </c>
      <c r="S1527" s="14">
        <f t="shared" si="70"/>
        <v>92363938625.684814</v>
      </c>
      <c r="T1527" s="14">
        <v>92363938625.684814</v>
      </c>
      <c r="U1527" s="14">
        <v>-2491.1013170242554</v>
      </c>
      <c r="V1527">
        <v>5066</v>
      </c>
      <c r="W1527">
        <v>25.270715332031301</v>
      </c>
      <c r="X1527">
        <v>32.2845110396417</v>
      </c>
      <c r="Y1527">
        <v>2.1804867808041299</v>
      </c>
      <c r="Z1527" s="31">
        <v>1.6088244190947001</v>
      </c>
      <c r="AA1527">
        <v>6.2361635298002103</v>
      </c>
      <c r="AB1527">
        <v>0.08</v>
      </c>
      <c r="AC1527">
        <v>221523.43356685</v>
      </c>
      <c r="AD1527">
        <v>253489.26503054649</v>
      </c>
      <c r="AE1527">
        <v>1</v>
      </c>
      <c r="AF1527">
        <v>6613.9407384721053</v>
      </c>
      <c r="AG1527">
        <v>26590.35429034417</v>
      </c>
    </row>
    <row r="1528" spans="2:33" hidden="1" x14ac:dyDescent="0.25">
      <c r="B1528">
        <v>27</v>
      </c>
      <c r="C1528" t="s">
        <v>60</v>
      </c>
      <c r="D1528" t="s">
        <v>26</v>
      </c>
      <c r="E1528" t="s">
        <v>69</v>
      </c>
      <c r="F1528">
        <v>155726</v>
      </c>
      <c r="G1528">
        <v>157270</v>
      </c>
      <c r="H1528">
        <v>31</v>
      </c>
      <c r="I1528">
        <v>191</v>
      </c>
      <c r="J1528">
        <v>0</v>
      </c>
      <c r="K1528">
        <v>611715</v>
      </c>
      <c r="L1528">
        <v>58229</v>
      </c>
      <c r="M1528">
        <v>9113</v>
      </c>
      <c r="N1528">
        <v>2262</v>
      </c>
      <c r="O1528" s="43">
        <v>44832079.975003213</v>
      </c>
      <c r="P1528" s="14">
        <f t="shared" si="71"/>
        <v>1419194.685965769</v>
      </c>
      <c r="Q1528" s="14" t="str">
        <f t="shared" si="69"/>
        <v/>
      </c>
      <c r="R1528" s="14" t="str">
        <f t="shared" si="69"/>
        <v/>
      </c>
      <c r="S1528" s="14" t="str">
        <f t="shared" si="70"/>
        <v/>
      </c>
      <c r="T1528" s="14" t="s">
        <v>72</v>
      </c>
      <c r="U1528" s="14">
        <v>7430.3386699778093</v>
      </c>
      <c r="V1528">
        <v>5066</v>
      </c>
      <c r="W1528">
        <v>21.338098144531301</v>
      </c>
      <c r="X1528">
        <v>31.334141454308</v>
      </c>
      <c r="Y1528">
        <v>1.74460303459403</v>
      </c>
      <c r="Z1528" s="31">
        <v>1.9524333733030099</v>
      </c>
      <c r="AA1528">
        <v>9.6463656116581902</v>
      </c>
      <c r="AB1528">
        <v>0.08</v>
      </c>
      <c r="AC1528">
        <v>221523.43356685</v>
      </c>
      <c r="AD1528">
        <v>253489.26503054649</v>
      </c>
      <c r="AE1528">
        <v>1</v>
      </c>
      <c r="AF1528">
        <v>6613.9407384721053</v>
      </c>
      <c r="AG1528">
        <v>26590.35429034417</v>
      </c>
    </row>
    <row r="1529" spans="2:33" hidden="1" x14ac:dyDescent="0.25">
      <c r="B1529">
        <v>27</v>
      </c>
      <c r="C1529" t="s">
        <v>60</v>
      </c>
      <c r="D1529" t="s">
        <v>26</v>
      </c>
      <c r="E1529" t="s">
        <v>69</v>
      </c>
      <c r="F1529">
        <v>156392</v>
      </c>
      <c r="G1529">
        <v>157270</v>
      </c>
      <c r="H1529">
        <v>32</v>
      </c>
      <c r="I1529">
        <v>223</v>
      </c>
      <c r="J1529">
        <v>0.29643288611941249</v>
      </c>
      <c r="K1529">
        <v>611715</v>
      </c>
      <c r="L1529">
        <v>58229</v>
      </c>
      <c r="M1529">
        <v>9113</v>
      </c>
      <c r="N1529">
        <v>2262</v>
      </c>
      <c r="O1529" s="43">
        <v>46022321.867955841</v>
      </c>
      <c r="P1529" s="14">
        <f t="shared" si="71"/>
        <v>1190241.8929526284</v>
      </c>
      <c r="Q1529" s="14" t="str">
        <f t="shared" si="69"/>
        <v/>
      </c>
      <c r="R1529" s="14" t="str">
        <f t="shared" si="69"/>
        <v/>
      </c>
      <c r="S1529" s="14" t="str">
        <f t="shared" si="70"/>
        <v/>
      </c>
      <c r="T1529" s="14" t="s">
        <v>72</v>
      </c>
      <c r="U1529" s="14">
        <v>5337.4075917158561</v>
      </c>
      <c r="V1529">
        <v>5066</v>
      </c>
      <c r="W1529">
        <v>20.206750488281301</v>
      </c>
      <c r="X1529">
        <v>35.506746623176198</v>
      </c>
      <c r="Y1529">
        <v>1.5284920232914501</v>
      </c>
      <c r="Z1529" s="31">
        <v>1.7956719600552999</v>
      </c>
      <c r="AA1529">
        <v>6.6427585314038398</v>
      </c>
      <c r="AB1529">
        <v>0.08</v>
      </c>
      <c r="AC1529">
        <v>221523.43356685</v>
      </c>
      <c r="AD1529">
        <v>253489.26503054649</v>
      </c>
      <c r="AE1529">
        <v>1</v>
      </c>
      <c r="AF1529">
        <v>6613.9407384721053</v>
      </c>
      <c r="AG1529">
        <v>26590.35429034417</v>
      </c>
    </row>
    <row r="1530" spans="2:33" hidden="1" x14ac:dyDescent="0.25">
      <c r="B1530">
        <v>27</v>
      </c>
      <c r="C1530" t="s">
        <v>60</v>
      </c>
      <c r="D1530" t="s">
        <v>26</v>
      </c>
      <c r="E1530" t="s">
        <v>69</v>
      </c>
      <c r="F1530">
        <v>156417</v>
      </c>
      <c r="G1530">
        <v>157270</v>
      </c>
      <c r="H1530">
        <v>33</v>
      </c>
      <c r="I1530">
        <v>216</v>
      </c>
      <c r="J1530">
        <v>1.1127360590068041E-2</v>
      </c>
      <c r="K1530">
        <v>611715</v>
      </c>
      <c r="L1530">
        <v>58229</v>
      </c>
      <c r="M1530">
        <v>9113</v>
      </c>
      <c r="N1530">
        <v>2262</v>
      </c>
      <c r="O1530" s="43">
        <v>47248649.03537856</v>
      </c>
      <c r="P1530" s="14">
        <f t="shared" si="71"/>
        <v>1226327.1674227193</v>
      </c>
      <c r="Q1530" s="14" t="str">
        <f t="shared" si="69"/>
        <v/>
      </c>
      <c r="R1530" s="14" t="str">
        <f t="shared" si="69"/>
        <v/>
      </c>
      <c r="S1530" s="14" t="str">
        <f t="shared" si="70"/>
        <v/>
      </c>
      <c r="T1530" s="14" t="s">
        <v>72</v>
      </c>
      <c r="U1530" s="14">
        <v>5677.4405899199965</v>
      </c>
      <c r="V1530">
        <v>5066</v>
      </c>
      <c r="W1530">
        <v>17.520410156250001</v>
      </c>
      <c r="X1530">
        <v>55.951350873926202</v>
      </c>
      <c r="Y1530">
        <v>0.88278923674475296</v>
      </c>
      <c r="Z1530" s="31">
        <v>2.7899949508336999</v>
      </c>
      <c r="AA1530">
        <v>10.814142737501699</v>
      </c>
      <c r="AB1530">
        <v>0.08</v>
      </c>
      <c r="AC1530">
        <v>221523.43356685</v>
      </c>
      <c r="AD1530">
        <v>253489.26503054649</v>
      </c>
      <c r="AE1530">
        <v>1</v>
      </c>
      <c r="AF1530">
        <v>6613.9407384721053</v>
      </c>
      <c r="AG1530">
        <v>26590.35429034417</v>
      </c>
    </row>
    <row r="1531" spans="2:33" hidden="1" x14ac:dyDescent="0.25">
      <c r="B1531">
        <v>27</v>
      </c>
      <c r="C1531" t="s">
        <v>60</v>
      </c>
      <c r="D1531" t="s">
        <v>26</v>
      </c>
      <c r="E1531" t="s">
        <v>69</v>
      </c>
      <c r="F1531">
        <v>156417</v>
      </c>
      <c r="G1531">
        <v>157270</v>
      </c>
      <c r="H1531">
        <v>34</v>
      </c>
      <c r="I1531">
        <v>0</v>
      </c>
      <c r="J1531">
        <v>0</v>
      </c>
      <c r="K1531">
        <v>611715</v>
      </c>
      <c r="L1531">
        <v>58229</v>
      </c>
      <c r="M1531">
        <v>9113</v>
      </c>
      <c r="N1531">
        <v>2262</v>
      </c>
      <c r="O1531" s="43">
        <v>46797727.289971687</v>
      </c>
      <c r="P1531" s="14">
        <f t="shared" si="71"/>
        <v>-450921.74540687352</v>
      </c>
      <c r="Q1531" s="14">
        <f t="shared" si="69"/>
        <v>-450921.74540687352</v>
      </c>
      <c r="R1531" s="14">
        <f t="shared" si="69"/>
        <v>-450921.74540687352</v>
      </c>
      <c r="S1531" s="14">
        <f t="shared" si="70"/>
        <v>203330420480.78125</v>
      </c>
      <c r="T1531" s="14">
        <v>203330420480.78125</v>
      </c>
      <c r="U1531" s="14">
        <v>0</v>
      </c>
      <c r="V1531">
        <v>5066</v>
      </c>
      <c r="W1531">
        <v>11.0100646972656</v>
      </c>
      <c r="X1531">
        <v>84.840431826790905</v>
      </c>
      <c r="Y1531">
        <v>0.199437067060974</v>
      </c>
      <c r="Z1531" s="31">
        <v>2.6855405832563699</v>
      </c>
      <c r="AA1531">
        <v>19.6955778720876</v>
      </c>
      <c r="AB1531">
        <v>0.08</v>
      </c>
      <c r="AC1531">
        <v>221523.43356685</v>
      </c>
      <c r="AD1531">
        <v>253489.26503054649</v>
      </c>
      <c r="AE1531">
        <v>1</v>
      </c>
      <c r="AF1531">
        <v>6613.9407384721053</v>
      </c>
      <c r="AG1531">
        <v>26590.35429034417</v>
      </c>
    </row>
    <row r="1532" spans="2:33" hidden="1" x14ac:dyDescent="0.25">
      <c r="B1532">
        <v>27</v>
      </c>
      <c r="C1532" t="s">
        <v>60</v>
      </c>
      <c r="D1532" t="s">
        <v>26</v>
      </c>
      <c r="E1532" t="s">
        <v>69</v>
      </c>
      <c r="F1532">
        <v>156417</v>
      </c>
      <c r="G1532">
        <v>157270</v>
      </c>
      <c r="H1532">
        <v>35</v>
      </c>
      <c r="I1532">
        <v>666</v>
      </c>
      <c r="J1532">
        <v>0</v>
      </c>
      <c r="K1532">
        <v>611715</v>
      </c>
      <c r="L1532">
        <v>58229</v>
      </c>
      <c r="M1532">
        <v>9113</v>
      </c>
      <c r="N1532">
        <v>2262</v>
      </c>
      <c r="O1532" s="43">
        <v>49668120.114402242</v>
      </c>
      <c r="P1532" s="14">
        <f t="shared" si="71"/>
        <v>2870392.8244305551</v>
      </c>
      <c r="Q1532" s="14" t="str">
        <f t="shared" si="69"/>
        <v/>
      </c>
      <c r="R1532" s="14" t="str">
        <f t="shared" si="69"/>
        <v/>
      </c>
      <c r="S1532" s="14" t="str">
        <f t="shared" si="70"/>
        <v/>
      </c>
      <c r="T1532" s="14" t="s">
        <v>72</v>
      </c>
      <c r="U1532" s="14">
        <v>4309.8991357816139</v>
      </c>
      <c r="V1532">
        <v>5066</v>
      </c>
      <c r="W1532">
        <v>14.7100158691406</v>
      </c>
      <c r="X1532">
        <v>61.546901947149003</v>
      </c>
      <c r="Y1532">
        <v>0.64432469020223204</v>
      </c>
      <c r="Z1532" s="31">
        <v>3.5071033979238799</v>
      </c>
      <c r="AA1532">
        <v>22.518441025526599</v>
      </c>
      <c r="AB1532">
        <v>0.08</v>
      </c>
      <c r="AC1532">
        <v>221523.43356685</v>
      </c>
      <c r="AD1532">
        <v>253489.26503054649</v>
      </c>
      <c r="AE1532">
        <v>1</v>
      </c>
      <c r="AF1532">
        <v>6613.9407384721053</v>
      </c>
      <c r="AG1532">
        <v>26590.35429034417</v>
      </c>
    </row>
    <row r="1533" spans="2:33" hidden="1" x14ac:dyDescent="0.25">
      <c r="B1533">
        <v>27</v>
      </c>
      <c r="C1533" t="s">
        <v>60</v>
      </c>
      <c r="D1533" t="s">
        <v>26</v>
      </c>
      <c r="E1533" t="s">
        <v>69</v>
      </c>
      <c r="F1533">
        <v>156610</v>
      </c>
      <c r="G1533">
        <v>157270</v>
      </c>
      <c r="H1533">
        <v>36</v>
      </c>
      <c r="I1533">
        <v>25</v>
      </c>
      <c r="J1533">
        <v>8.5903223755325234E-2</v>
      </c>
      <c r="K1533">
        <v>611715</v>
      </c>
      <c r="L1533">
        <v>58229</v>
      </c>
      <c r="M1533">
        <v>9113</v>
      </c>
      <c r="N1533">
        <v>2262</v>
      </c>
      <c r="O1533" s="43">
        <v>49668120.114402242</v>
      </c>
      <c r="P1533" s="14">
        <f t="shared" si="71"/>
        <v>0</v>
      </c>
      <c r="Q1533" s="14" t="str">
        <f t="shared" si="69"/>
        <v/>
      </c>
      <c r="R1533" s="14" t="str">
        <f t="shared" si="69"/>
        <v/>
      </c>
      <c r="S1533" s="14" t="str">
        <f t="shared" si="70"/>
        <v/>
      </c>
      <c r="T1533" s="14" t="s">
        <v>72</v>
      </c>
      <c r="U1533" s="14">
        <v>0</v>
      </c>
      <c r="V1533">
        <v>5066</v>
      </c>
      <c r="W1533">
        <v>18.664270019531301</v>
      </c>
      <c r="X1533">
        <v>52.1833189672627</v>
      </c>
      <c r="Y1533">
        <v>1.0296087316183999</v>
      </c>
      <c r="Z1533" s="31">
        <v>1.8915169704474899</v>
      </c>
      <c r="AA1533">
        <v>13.778043545106099</v>
      </c>
      <c r="AB1533">
        <v>0.08</v>
      </c>
      <c r="AC1533">
        <v>221523.43356685</v>
      </c>
      <c r="AD1533">
        <v>253489.26503054649</v>
      </c>
      <c r="AE1533">
        <v>1</v>
      </c>
      <c r="AF1533">
        <v>6613.9407384721053</v>
      </c>
      <c r="AG1533">
        <v>26590.35429034417</v>
      </c>
    </row>
    <row r="1534" spans="2:33" hidden="1" x14ac:dyDescent="0.25">
      <c r="B1534">
        <v>27</v>
      </c>
      <c r="C1534" t="s">
        <v>60</v>
      </c>
      <c r="D1534" t="s">
        <v>26</v>
      </c>
      <c r="E1534" t="s">
        <v>69</v>
      </c>
      <c r="F1534">
        <v>156610</v>
      </c>
      <c r="G1534">
        <v>157270</v>
      </c>
      <c r="H1534">
        <v>37</v>
      </c>
      <c r="I1534">
        <v>0</v>
      </c>
      <c r="J1534">
        <v>0</v>
      </c>
      <c r="K1534">
        <v>611715</v>
      </c>
      <c r="L1534">
        <v>58229</v>
      </c>
      <c r="M1534">
        <v>9113</v>
      </c>
      <c r="N1534">
        <v>2262</v>
      </c>
      <c r="O1534" s="43">
        <v>50740966.4272632</v>
      </c>
      <c r="P1534" s="14">
        <f t="shared" si="71"/>
        <v>1072846.3128609583</v>
      </c>
      <c r="Q1534" s="14" t="str">
        <f t="shared" si="69"/>
        <v/>
      </c>
      <c r="R1534" s="14" t="str">
        <f t="shared" si="69"/>
        <v/>
      </c>
      <c r="S1534" s="14" t="str">
        <f t="shared" si="70"/>
        <v/>
      </c>
      <c r="T1534" s="14" t="s">
        <v>72</v>
      </c>
      <c r="U1534" s="14">
        <v>0</v>
      </c>
      <c r="V1534">
        <v>5066</v>
      </c>
      <c r="W1534">
        <v>16.773156738281301</v>
      </c>
      <c r="X1534">
        <v>80.066723318440097</v>
      </c>
      <c r="Y1534">
        <v>0.38097348256223101</v>
      </c>
      <c r="Z1534" s="31">
        <v>2.5376581644849101</v>
      </c>
      <c r="AA1534">
        <v>17.151956508301001</v>
      </c>
      <c r="AB1534">
        <v>0.08</v>
      </c>
      <c r="AC1534">
        <v>221523.43356685</v>
      </c>
      <c r="AD1534">
        <v>253489.26503054649</v>
      </c>
      <c r="AE1534">
        <v>1</v>
      </c>
      <c r="AF1534">
        <v>6613.9407384721053</v>
      </c>
      <c r="AG1534">
        <v>26590.35429034417</v>
      </c>
    </row>
    <row r="1535" spans="2:33" hidden="1" x14ac:dyDescent="0.25">
      <c r="B1535">
        <v>27</v>
      </c>
      <c r="C1535" t="s">
        <v>60</v>
      </c>
      <c r="D1535" t="s">
        <v>26</v>
      </c>
      <c r="E1535" t="s">
        <v>69</v>
      </c>
      <c r="F1535">
        <v>156612</v>
      </c>
      <c r="G1535">
        <v>157270</v>
      </c>
      <c r="H1535">
        <v>38</v>
      </c>
      <c r="I1535">
        <v>0</v>
      </c>
      <c r="J1535">
        <v>8.9018884720544283E-4</v>
      </c>
      <c r="K1535">
        <v>611715</v>
      </c>
      <c r="L1535">
        <v>58229</v>
      </c>
      <c r="M1535">
        <v>9113</v>
      </c>
      <c r="N1535">
        <v>2262</v>
      </c>
      <c r="O1535" s="43">
        <v>51268638.326748483</v>
      </c>
      <c r="P1535" s="14">
        <f t="shared" si="71"/>
        <v>527671.8994852826</v>
      </c>
      <c r="Q1535" s="14" t="str">
        <f t="shared" si="69"/>
        <v/>
      </c>
      <c r="R1535" s="14" t="str">
        <f t="shared" si="69"/>
        <v/>
      </c>
      <c r="S1535" s="14" t="str">
        <f t="shared" si="70"/>
        <v/>
      </c>
      <c r="T1535" s="14" t="s">
        <v>72</v>
      </c>
      <c r="U1535" s="14">
        <v>0</v>
      </c>
      <c r="V1535">
        <v>5066</v>
      </c>
      <c r="W1535">
        <v>17.077478027343702</v>
      </c>
      <c r="X1535">
        <v>35.502277740826401</v>
      </c>
      <c r="Y1535">
        <v>1.2571881972432599</v>
      </c>
      <c r="Z1535" s="31">
        <v>3.5302863082875402</v>
      </c>
      <c r="AA1535">
        <v>18.0279118222637</v>
      </c>
      <c r="AB1535">
        <v>0.08</v>
      </c>
      <c r="AC1535">
        <v>221523.43356685</v>
      </c>
      <c r="AD1535">
        <v>253489.26503054649</v>
      </c>
      <c r="AE1535">
        <v>1</v>
      </c>
      <c r="AF1535">
        <v>6613.9407384721053</v>
      </c>
      <c r="AG1535">
        <v>26590.35429034417</v>
      </c>
    </row>
    <row r="1536" spans="2:33" hidden="1" x14ac:dyDescent="0.25">
      <c r="B1536">
        <v>27</v>
      </c>
      <c r="C1536" t="s">
        <v>60</v>
      </c>
      <c r="D1536" t="s">
        <v>26</v>
      </c>
      <c r="E1536" t="s">
        <v>69</v>
      </c>
      <c r="F1536">
        <v>156618</v>
      </c>
      <c r="G1536">
        <v>157270</v>
      </c>
      <c r="H1536">
        <v>39</v>
      </c>
      <c r="I1536">
        <v>193</v>
      </c>
      <c r="J1536">
        <v>2.6705665416163278E-3</v>
      </c>
      <c r="K1536">
        <v>611715</v>
      </c>
      <c r="L1536">
        <v>58229</v>
      </c>
      <c r="M1536">
        <v>9113</v>
      </c>
      <c r="N1536">
        <v>2262</v>
      </c>
      <c r="O1536" s="43">
        <v>49110059.410806254</v>
      </c>
      <c r="P1536" s="14">
        <f t="shared" si="71"/>
        <v>-2158578.9159422293</v>
      </c>
      <c r="Q1536" s="14">
        <f t="shared" si="69"/>
        <v>-2158578.9159422293</v>
      </c>
      <c r="R1536" s="14">
        <f t="shared" si="69"/>
        <v>-2158578.9159422293</v>
      </c>
      <c r="S1536" s="14">
        <f t="shared" si="70"/>
        <v>4659462936350.3301</v>
      </c>
      <c r="T1536" s="14">
        <v>4659462936350.3301</v>
      </c>
      <c r="U1536" s="14">
        <v>-11184.346714726615</v>
      </c>
      <c r="V1536">
        <v>5066</v>
      </c>
      <c r="W1536">
        <v>19.053247070312501</v>
      </c>
      <c r="X1536">
        <v>37.383713345705097</v>
      </c>
      <c r="Y1536">
        <v>1.38158427734915</v>
      </c>
      <c r="Z1536" s="31">
        <v>3.5647065186574798</v>
      </c>
      <c r="AA1536">
        <v>9.8878090703683998</v>
      </c>
      <c r="AB1536">
        <v>0.08</v>
      </c>
      <c r="AC1536">
        <v>221523.43356685</v>
      </c>
      <c r="AD1536">
        <v>253489.26503054649</v>
      </c>
      <c r="AE1536">
        <v>1</v>
      </c>
      <c r="AF1536">
        <v>6613.9407384721053</v>
      </c>
      <c r="AG1536">
        <v>26590.35429034417</v>
      </c>
    </row>
    <row r="1537" spans="2:33" hidden="1" x14ac:dyDescent="0.25">
      <c r="B1537">
        <v>27</v>
      </c>
      <c r="C1537" t="s">
        <v>60</v>
      </c>
      <c r="D1537" t="s">
        <v>26</v>
      </c>
      <c r="E1537" t="s">
        <v>69</v>
      </c>
      <c r="F1537">
        <v>156618</v>
      </c>
      <c r="G1537">
        <v>157270</v>
      </c>
      <c r="H1537">
        <v>40</v>
      </c>
      <c r="I1537">
        <v>0</v>
      </c>
      <c r="J1537">
        <v>0</v>
      </c>
      <c r="K1537">
        <v>611715</v>
      </c>
      <c r="L1537">
        <v>58229</v>
      </c>
      <c r="M1537">
        <v>9113</v>
      </c>
      <c r="N1537">
        <v>2262</v>
      </c>
      <c r="O1537" s="43">
        <v>50792555.072651044</v>
      </c>
      <c r="P1537" s="14">
        <f t="shared" si="71"/>
        <v>1682495.66184479</v>
      </c>
      <c r="Q1537" s="14" t="str">
        <f t="shared" si="69"/>
        <v/>
      </c>
      <c r="R1537" s="14" t="str">
        <f t="shared" si="69"/>
        <v/>
      </c>
      <c r="S1537" s="14" t="str">
        <f t="shared" si="70"/>
        <v/>
      </c>
      <c r="T1537" s="14" t="s">
        <v>72</v>
      </c>
      <c r="U1537" s="14">
        <v>0</v>
      </c>
      <c r="V1537">
        <v>5066</v>
      </c>
      <c r="W1537">
        <v>23.298120117187501</v>
      </c>
      <c r="X1537">
        <v>36.077021542740901</v>
      </c>
      <c r="Y1537">
        <v>1.8292156660711101</v>
      </c>
      <c r="Z1537" s="31">
        <v>2.7209600685335298</v>
      </c>
      <c r="AA1537">
        <v>14.0584808091699</v>
      </c>
      <c r="AB1537">
        <v>0.08</v>
      </c>
      <c r="AC1537">
        <v>221523.43356685</v>
      </c>
      <c r="AD1537">
        <v>253489.26503054649</v>
      </c>
      <c r="AE1537">
        <v>1</v>
      </c>
      <c r="AF1537">
        <v>6613.9407384721053</v>
      </c>
      <c r="AG1537">
        <v>26590.35429034417</v>
      </c>
    </row>
    <row r="1538" spans="2:33" hidden="1" x14ac:dyDescent="0.25">
      <c r="B1538">
        <v>27</v>
      </c>
      <c r="C1538" t="s">
        <v>60</v>
      </c>
      <c r="D1538" t="s">
        <v>26</v>
      </c>
      <c r="E1538" t="s">
        <v>69</v>
      </c>
      <c r="F1538">
        <v>156624</v>
      </c>
      <c r="G1538">
        <v>157270</v>
      </c>
      <c r="H1538">
        <v>41</v>
      </c>
      <c r="I1538">
        <v>2</v>
      </c>
      <c r="J1538">
        <v>2.6705665416163278E-3</v>
      </c>
      <c r="K1538">
        <v>611715</v>
      </c>
      <c r="L1538">
        <v>58229</v>
      </c>
      <c r="M1538">
        <v>9113</v>
      </c>
      <c r="N1538">
        <v>2262</v>
      </c>
      <c r="O1538" s="43">
        <v>50471803.053302407</v>
      </c>
      <c r="P1538" s="14">
        <f t="shared" si="71"/>
        <v>-320752.01934863627</v>
      </c>
      <c r="Q1538" s="14">
        <f t="shared" si="69"/>
        <v>-320752.01934863627</v>
      </c>
      <c r="R1538" s="14">
        <f t="shared" si="69"/>
        <v>-320752.01934863627</v>
      </c>
      <c r="S1538" s="14">
        <f t="shared" si="70"/>
        <v>102881857916.22794</v>
      </c>
      <c r="T1538" s="14">
        <v>102881857916.22794</v>
      </c>
      <c r="U1538" s="14">
        <v>-160376.00967431813</v>
      </c>
      <c r="V1538">
        <v>5066</v>
      </c>
      <c r="W1538">
        <v>21.279626464843702</v>
      </c>
      <c r="X1538">
        <v>41.022053743423797</v>
      </c>
      <c r="Y1538">
        <v>1.49293638448648</v>
      </c>
      <c r="Z1538" s="31">
        <v>2.8915390081074501</v>
      </c>
      <c r="AA1538">
        <v>10.845973035087299</v>
      </c>
      <c r="AB1538">
        <v>0.08</v>
      </c>
      <c r="AC1538">
        <v>221523.43356685</v>
      </c>
      <c r="AD1538">
        <v>253489.26503054649</v>
      </c>
      <c r="AE1538">
        <v>1</v>
      </c>
      <c r="AF1538">
        <v>6613.9407384721053</v>
      </c>
      <c r="AG1538">
        <v>26590.35429034417</v>
      </c>
    </row>
    <row r="1539" spans="2:33" hidden="1" x14ac:dyDescent="0.25">
      <c r="B1539">
        <v>27</v>
      </c>
      <c r="C1539" t="s">
        <v>60</v>
      </c>
      <c r="D1539" t="s">
        <v>26</v>
      </c>
      <c r="E1539" t="s">
        <v>69</v>
      </c>
      <c r="F1539">
        <v>156637</v>
      </c>
      <c r="G1539">
        <v>157270</v>
      </c>
      <c r="H1539">
        <v>42</v>
      </c>
      <c r="I1539">
        <v>6</v>
      </c>
      <c r="J1539">
        <v>5.786227506835378E-3</v>
      </c>
      <c r="K1539">
        <v>611715</v>
      </c>
      <c r="L1539">
        <v>58229</v>
      </c>
      <c r="M1539">
        <v>9113</v>
      </c>
      <c r="N1539">
        <v>2262</v>
      </c>
      <c r="O1539" s="43">
        <v>51213263.096302561</v>
      </c>
      <c r="P1539" s="14">
        <f t="shared" si="71"/>
        <v>741460.0430001542</v>
      </c>
      <c r="Q1539" s="14" t="str">
        <f t="shared" ref="Q1539:R1602" si="72">IF(P1539&gt;=0,"",P1539)</f>
        <v/>
      </c>
      <c r="R1539" s="14" t="str">
        <f t="shared" si="72"/>
        <v/>
      </c>
      <c r="S1539" s="14" t="str">
        <f t="shared" ref="S1539:S1602" si="73">IFERROR(IF(ISNA(Q1539),NA(),Q1539^2),"")</f>
        <v/>
      </c>
      <c r="T1539" s="14" t="s">
        <v>72</v>
      </c>
      <c r="U1539" s="14">
        <v>123576.67383335903</v>
      </c>
      <c r="V1539">
        <v>5066</v>
      </c>
      <c r="W1539">
        <v>22.248986816406301</v>
      </c>
      <c r="X1539">
        <v>36.0193992926135</v>
      </c>
      <c r="Y1539">
        <v>1.7182779223853</v>
      </c>
      <c r="Z1539" s="31">
        <v>2.1981657914474</v>
      </c>
      <c r="AA1539">
        <v>10.496991455752299</v>
      </c>
      <c r="AB1539">
        <v>0.08</v>
      </c>
      <c r="AC1539">
        <v>221523.43356685</v>
      </c>
      <c r="AD1539">
        <v>253489.26503054649</v>
      </c>
      <c r="AE1539">
        <v>1</v>
      </c>
      <c r="AF1539">
        <v>6613.9407384721053</v>
      </c>
      <c r="AG1539">
        <v>26590.35429034417</v>
      </c>
    </row>
    <row r="1540" spans="2:33" hidden="1" x14ac:dyDescent="0.25">
      <c r="B1540">
        <v>27</v>
      </c>
      <c r="C1540" t="s">
        <v>60</v>
      </c>
      <c r="D1540" t="s">
        <v>26</v>
      </c>
      <c r="E1540" t="s">
        <v>69</v>
      </c>
      <c r="F1540">
        <v>156645</v>
      </c>
      <c r="G1540">
        <v>157270</v>
      </c>
      <c r="H1540">
        <v>43</v>
      </c>
      <c r="I1540">
        <v>0</v>
      </c>
      <c r="J1540">
        <v>3.5607553888217709E-3</v>
      </c>
      <c r="K1540">
        <v>611715</v>
      </c>
      <c r="L1540">
        <v>58229</v>
      </c>
      <c r="M1540">
        <v>9113</v>
      </c>
      <c r="N1540">
        <v>2262</v>
      </c>
      <c r="O1540" s="43">
        <v>51761959.754709601</v>
      </c>
      <c r="P1540" s="14">
        <f t="shared" ref="P1540:P1603" si="74">O1540-O1539</f>
        <v>548696.65840703994</v>
      </c>
      <c r="Q1540" s="14" t="str">
        <f t="shared" si="72"/>
        <v/>
      </c>
      <c r="R1540" s="14" t="str">
        <f t="shared" si="72"/>
        <v/>
      </c>
      <c r="S1540" s="14" t="str">
        <f t="shared" si="73"/>
        <v/>
      </c>
      <c r="T1540" s="14" t="s">
        <v>72</v>
      </c>
      <c r="U1540" s="14">
        <v>0</v>
      </c>
      <c r="V1540">
        <v>5066</v>
      </c>
      <c r="W1540">
        <v>19.652062988281301</v>
      </c>
      <c r="X1540">
        <v>36.969524325668999</v>
      </c>
      <c r="Y1540">
        <v>1.4434319220525</v>
      </c>
      <c r="Z1540" s="31">
        <v>3.01634568694953</v>
      </c>
      <c r="AA1540">
        <v>5.2336775676500604</v>
      </c>
      <c r="AB1540">
        <v>0.08</v>
      </c>
      <c r="AC1540">
        <v>221523.43356685</v>
      </c>
      <c r="AD1540">
        <v>253489.26503054649</v>
      </c>
      <c r="AE1540">
        <v>1</v>
      </c>
      <c r="AF1540">
        <v>6613.9407384721053</v>
      </c>
      <c r="AG1540">
        <v>26590.35429034417</v>
      </c>
    </row>
    <row r="1541" spans="2:33" hidden="1" x14ac:dyDescent="0.25">
      <c r="B1541">
        <v>27</v>
      </c>
      <c r="C1541" t="s">
        <v>60</v>
      </c>
      <c r="D1541" t="s">
        <v>26</v>
      </c>
      <c r="E1541" t="s">
        <v>69</v>
      </c>
      <c r="F1541">
        <v>156648</v>
      </c>
      <c r="G1541">
        <v>157270</v>
      </c>
      <c r="H1541">
        <v>44</v>
      </c>
      <c r="I1541">
        <v>6</v>
      </c>
      <c r="J1541">
        <v>1.3352832708081639E-3</v>
      </c>
      <c r="K1541">
        <v>611715</v>
      </c>
      <c r="L1541">
        <v>58229</v>
      </c>
      <c r="M1541">
        <v>9113</v>
      </c>
      <c r="N1541">
        <v>2262</v>
      </c>
      <c r="O1541" s="43">
        <v>54309635.746692494</v>
      </c>
      <c r="P1541" s="14">
        <f t="shared" si="74"/>
        <v>2547675.9919828922</v>
      </c>
      <c r="Q1541" s="14" t="str">
        <f t="shared" si="72"/>
        <v/>
      </c>
      <c r="R1541" s="14" t="str">
        <f t="shared" si="72"/>
        <v/>
      </c>
      <c r="S1541" s="14" t="str">
        <f t="shared" si="73"/>
        <v/>
      </c>
      <c r="T1541" s="14" t="s">
        <v>72</v>
      </c>
      <c r="U1541" s="14">
        <v>424612.66533048078</v>
      </c>
      <c r="V1541">
        <v>5066</v>
      </c>
      <c r="W1541">
        <v>20.062524414062501</v>
      </c>
      <c r="X1541">
        <v>48.427525677410699</v>
      </c>
      <c r="Y1541">
        <v>1.21125546536179</v>
      </c>
      <c r="Z1541" s="31">
        <v>2.57311876858788</v>
      </c>
      <c r="AA1541">
        <v>12.3615887497728</v>
      </c>
      <c r="AB1541">
        <v>0.08</v>
      </c>
      <c r="AC1541">
        <v>221523.43356685</v>
      </c>
      <c r="AD1541">
        <v>253489.26503054649</v>
      </c>
      <c r="AE1541">
        <v>1</v>
      </c>
      <c r="AF1541">
        <v>6613.9407384721053</v>
      </c>
      <c r="AG1541">
        <v>26590.35429034417</v>
      </c>
    </row>
    <row r="1542" spans="2:33" hidden="1" x14ac:dyDescent="0.25">
      <c r="B1542">
        <v>27</v>
      </c>
      <c r="C1542" t="s">
        <v>60</v>
      </c>
      <c r="D1542" t="s">
        <v>26</v>
      </c>
      <c r="E1542" t="s">
        <v>69</v>
      </c>
      <c r="F1542">
        <v>156666</v>
      </c>
      <c r="G1542">
        <v>157270</v>
      </c>
      <c r="H1542">
        <v>45</v>
      </c>
      <c r="I1542">
        <v>13</v>
      </c>
      <c r="J1542">
        <v>8.0116996248489857E-3</v>
      </c>
      <c r="K1542">
        <v>611715</v>
      </c>
      <c r="L1542">
        <v>58229</v>
      </c>
      <c r="M1542">
        <v>9113</v>
      </c>
      <c r="N1542">
        <v>2262</v>
      </c>
      <c r="O1542" s="43">
        <v>55143221.149827361</v>
      </c>
      <c r="P1542" s="14">
        <f t="shared" si="74"/>
        <v>833585.40313486755</v>
      </c>
      <c r="Q1542" s="14" t="str">
        <f t="shared" si="72"/>
        <v/>
      </c>
      <c r="R1542" s="14" t="str">
        <f t="shared" si="72"/>
        <v/>
      </c>
      <c r="S1542" s="14" t="str">
        <f t="shared" si="73"/>
        <v/>
      </c>
      <c r="T1542" s="14" t="s">
        <v>72</v>
      </c>
      <c r="U1542" s="14">
        <v>64121.95408729808</v>
      </c>
      <c r="V1542">
        <v>5066</v>
      </c>
      <c r="W1542">
        <v>13.725244140625</v>
      </c>
      <c r="X1542">
        <v>46.270356059552</v>
      </c>
      <c r="Y1542">
        <v>0.84483636586090505</v>
      </c>
      <c r="Z1542" s="31">
        <v>4.1245016067076596</v>
      </c>
      <c r="AA1542">
        <v>11.991557690504701</v>
      </c>
      <c r="AB1542">
        <v>0.08</v>
      </c>
      <c r="AC1542">
        <v>221523.43356685</v>
      </c>
      <c r="AD1542">
        <v>253489.26503054649</v>
      </c>
      <c r="AE1542">
        <v>1</v>
      </c>
      <c r="AF1542">
        <v>6613.9407384721053</v>
      </c>
      <c r="AG1542">
        <v>26590.35429034417</v>
      </c>
    </row>
    <row r="1543" spans="2:33" hidden="1" x14ac:dyDescent="0.25">
      <c r="B1543">
        <v>27</v>
      </c>
      <c r="C1543" t="s">
        <v>60</v>
      </c>
      <c r="D1543" t="s">
        <v>26</v>
      </c>
      <c r="E1543" t="s">
        <v>69</v>
      </c>
      <c r="F1543">
        <v>156666</v>
      </c>
      <c r="G1543">
        <v>157270</v>
      </c>
      <c r="H1543">
        <v>46</v>
      </c>
      <c r="I1543">
        <v>8</v>
      </c>
      <c r="J1543">
        <v>0</v>
      </c>
      <c r="K1543">
        <v>611715</v>
      </c>
      <c r="L1543">
        <v>58229</v>
      </c>
      <c r="M1543">
        <v>9113</v>
      </c>
      <c r="N1543">
        <v>2262</v>
      </c>
      <c r="O1543" s="43">
        <v>56454604.012081437</v>
      </c>
      <c r="P1543" s="14">
        <f t="shared" si="74"/>
        <v>1311382.8622540757</v>
      </c>
      <c r="Q1543" s="14" t="str">
        <f t="shared" si="72"/>
        <v/>
      </c>
      <c r="R1543" s="14" t="str">
        <f t="shared" si="72"/>
        <v/>
      </c>
      <c r="S1543" s="14" t="str">
        <f t="shared" si="73"/>
        <v/>
      </c>
      <c r="T1543" s="14" t="s">
        <v>72</v>
      </c>
      <c r="U1543" s="14">
        <v>163922.85778176039</v>
      </c>
      <c r="V1543">
        <v>5066</v>
      </c>
      <c r="W1543">
        <v>11.480615234375</v>
      </c>
      <c r="X1543">
        <v>31.620360978609</v>
      </c>
      <c r="Y1543">
        <v>0.92813767426508398</v>
      </c>
      <c r="Z1543" s="31">
        <v>4.0211047386878001</v>
      </c>
      <c r="AA1543">
        <v>9.8403615041573502</v>
      </c>
      <c r="AB1543">
        <v>0.08</v>
      </c>
      <c r="AC1543">
        <v>221523.43356685</v>
      </c>
      <c r="AD1543">
        <v>253489.26503054649</v>
      </c>
      <c r="AE1543">
        <v>1</v>
      </c>
      <c r="AF1543">
        <v>6613.9407384721053</v>
      </c>
      <c r="AG1543">
        <v>26590.35429034417</v>
      </c>
    </row>
    <row r="1544" spans="2:33" hidden="1" x14ac:dyDescent="0.25">
      <c r="B1544">
        <v>27</v>
      </c>
      <c r="C1544" t="s">
        <v>60</v>
      </c>
      <c r="D1544" t="s">
        <v>26</v>
      </c>
      <c r="E1544" t="s">
        <v>69</v>
      </c>
      <c r="F1544">
        <v>156688</v>
      </c>
      <c r="G1544">
        <v>157270</v>
      </c>
      <c r="H1544">
        <v>47</v>
      </c>
      <c r="I1544">
        <v>3</v>
      </c>
      <c r="J1544">
        <v>9.7920773192598717E-3</v>
      </c>
      <c r="K1544">
        <v>611715</v>
      </c>
      <c r="L1544">
        <v>58229</v>
      </c>
      <c r="M1544">
        <v>9113</v>
      </c>
      <c r="N1544">
        <v>2262</v>
      </c>
      <c r="O1544" s="43">
        <v>56191819.128635533</v>
      </c>
      <c r="P1544" s="14">
        <f t="shared" si="74"/>
        <v>-262784.88344590366</v>
      </c>
      <c r="Q1544" s="14">
        <f t="shared" si="72"/>
        <v>-262784.88344590366</v>
      </c>
      <c r="R1544" s="14">
        <f t="shared" si="72"/>
        <v>-262784.88344590366</v>
      </c>
      <c r="S1544" s="14">
        <f t="shared" si="73"/>
        <v>69055894967.67717</v>
      </c>
      <c r="T1544" s="14">
        <v>69055894967.67717</v>
      </c>
      <c r="U1544" s="14">
        <v>-87594.961148639515</v>
      </c>
      <c r="V1544">
        <v>5066</v>
      </c>
      <c r="W1544">
        <v>17.382043457031301</v>
      </c>
      <c r="X1544">
        <v>32.602148372258902</v>
      </c>
      <c r="Y1544">
        <v>1.33925235181049</v>
      </c>
      <c r="Z1544" s="31">
        <v>1.97682031291301</v>
      </c>
      <c r="AA1544">
        <v>12.088574847820899</v>
      </c>
      <c r="AB1544">
        <v>0.08</v>
      </c>
      <c r="AC1544">
        <v>221523.43356685</v>
      </c>
      <c r="AD1544">
        <v>253489.26503054649</v>
      </c>
      <c r="AE1544">
        <v>1</v>
      </c>
      <c r="AF1544">
        <v>6613.9407384721053</v>
      </c>
      <c r="AG1544">
        <v>26590.35429034417</v>
      </c>
    </row>
    <row r="1545" spans="2:33" hidden="1" x14ac:dyDescent="0.25">
      <c r="B1545">
        <v>27</v>
      </c>
      <c r="C1545" t="s">
        <v>60</v>
      </c>
      <c r="D1545" t="s">
        <v>26</v>
      </c>
      <c r="E1545" t="s">
        <v>69</v>
      </c>
      <c r="F1545">
        <v>156688</v>
      </c>
      <c r="G1545">
        <v>157270</v>
      </c>
      <c r="H1545">
        <v>48</v>
      </c>
      <c r="I1545">
        <v>18</v>
      </c>
      <c r="J1545">
        <v>0</v>
      </c>
      <c r="K1545">
        <v>611715</v>
      </c>
      <c r="L1545">
        <v>58229</v>
      </c>
      <c r="M1545">
        <v>9113</v>
      </c>
      <c r="N1545">
        <v>2262</v>
      </c>
      <c r="O1545" s="43">
        <v>57742623.106692493</v>
      </c>
      <c r="P1545" s="14">
        <f t="shared" si="74"/>
        <v>1550803.9780569598</v>
      </c>
      <c r="Q1545" s="14" t="str">
        <f t="shared" si="72"/>
        <v/>
      </c>
      <c r="R1545" s="14" t="str">
        <f t="shared" si="72"/>
        <v/>
      </c>
      <c r="S1545" s="14" t="str">
        <f t="shared" si="73"/>
        <v/>
      </c>
      <c r="T1545" s="14" t="s">
        <v>72</v>
      </c>
      <c r="U1545" s="14">
        <v>86155.776558719983</v>
      </c>
      <c r="V1545">
        <v>5066</v>
      </c>
      <c r="W1545">
        <v>13.26015625</v>
      </c>
      <c r="X1545">
        <v>60.007446794068599</v>
      </c>
      <c r="Y1545">
        <v>0.61006537970963703</v>
      </c>
      <c r="Z1545" s="31">
        <v>2.7210905043360598</v>
      </c>
      <c r="AA1545">
        <v>13.3514228465373</v>
      </c>
      <c r="AB1545">
        <v>0.08</v>
      </c>
      <c r="AC1545">
        <v>221523.43356685</v>
      </c>
      <c r="AD1545">
        <v>253489.26503054649</v>
      </c>
      <c r="AE1545">
        <v>1</v>
      </c>
      <c r="AF1545">
        <v>6613.9407384721053</v>
      </c>
      <c r="AG1545">
        <v>26590.35429034417</v>
      </c>
    </row>
    <row r="1546" spans="2:33" hidden="1" x14ac:dyDescent="0.25">
      <c r="B1546">
        <v>27</v>
      </c>
      <c r="C1546" t="s">
        <v>60</v>
      </c>
      <c r="D1546" t="s">
        <v>26</v>
      </c>
      <c r="E1546" t="s">
        <v>69</v>
      </c>
      <c r="F1546">
        <v>156673</v>
      </c>
      <c r="G1546">
        <v>157270</v>
      </c>
      <c r="H1546">
        <v>49</v>
      </c>
      <c r="I1546">
        <v>0</v>
      </c>
      <c r="J1546">
        <v>0</v>
      </c>
      <c r="K1546">
        <v>611715</v>
      </c>
      <c r="L1546">
        <v>58229</v>
      </c>
      <c r="M1546">
        <v>9113</v>
      </c>
      <c r="N1546">
        <v>2262</v>
      </c>
      <c r="O1546" s="43">
        <v>57789655.033524483</v>
      </c>
      <c r="P1546" s="14">
        <f t="shared" si="74"/>
        <v>47031.92683199048</v>
      </c>
      <c r="Q1546" s="14" t="str">
        <f t="shared" si="72"/>
        <v/>
      </c>
      <c r="R1546" s="14" t="str">
        <f t="shared" si="72"/>
        <v/>
      </c>
      <c r="S1546" s="14" t="str">
        <f t="shared" si="73"/>
        <v/>
      </c>
      <c r="T1546" s="14" t="s">
        <v>72</v>
      </c>
      <c r="U1546" s="14">
        <v>0</v>
      </c>
      <c r="V1546">
        <v>5066</v>
      </c>
      <c r="W1546">
        <v>10.695520019531299</v>
      </c>
      <c r="X1546">
        <v>16.005180357561098</v>
      </c>
      <c r="Y1546">
        <v>1.0819757110306001</v>
      </c>
      <c r="Z1546" s="31">
        <v>3.8866549203893501</v>
      </c>
      <c r="AA1546">
        <v>21.466643390001799</v>
      </c>
      <c r="AB1546">
        <v>0.08</v>
      </c>
      <c r="AC1546">
        <v>221523.43356685</v>
      </c>
      <c r="AD1546">
        <v>253489.26503054649</v>
      </c>
      <c r="AE1546">
        <v>1</v>
      </c>
      <c r="AF1546">
        <v>6613.9407384721053</v>
      </c>
      <c r="AG1546">
        <v>26590.35429034417</v>
      </c>
    </row>
    <row r="1547" spans="2:33" hidden="1" x14ac:dyDescent="0.25">
      <c r="B1547">
        <v>27</v>
      </c>
      <c r="C1547" t="s">
        <v>60</v>
      </c>
      <c r="D1547" t="s">
        <v>26</v>
      </c>
      <c r="E1547" t="s">
        <v>69</v>
      </c>
      <c r="F1547">
        <v>156773</v>
      </c>
      <c r="G1547">
        <v>157270</v>
      </c>
      <c r="H1547">
        <v>50</v>
      </c>
      <c r="I1547">
        <v>22</v>
      </c>
      <c r="J1547">
        <v>4.4509442360272142E-2</v>
      </c>
      <c r="K1547">
        <v>611715</v>
      </c>
      <c r="L1547">
        <v>58229</v>
      </c>
      <c r="M1547">
        <v>9113</v>
      </c>
      <c r="N1547">
        <v>2262</v>
      </c>
      <c r="O1547" s="43">
        <v>57904087.945524476</v>
      </c>
      <c r="P1547" s="14">
        <f t="shared" si="74"/>
        <v>114432.91199999303</v>
      </c>
      <c r="Q1547" s="14" t="str">
        <f t="shared" si="72"/>
        <v/>
      </c>
      <c r="R1547" s="14" t="str">
        <f t="shared" si="72"/>
        <v/>
      </c>
      <c r="S1547" s="14" t="str">
        <f t="shared" si="73"/>
        <v/>
      </c>
      <c r="T1547" s="14" t="s">
        <v>72</v>
      </c>
      <c r="U1547" s="14">
        <v>5201.4960000000219</v>
      </c>
      <c r="V1547">
        <v>5066</v>
      </c>
      <c r="W1547">
        <v>13.950341796875</v>
      </c>
      <c r="X1547">
        <v>17.172949133056701</v>
      </c>
      <c r="Y1547">
        <v>1.3213846095348101</v>
      </c>
      <c r="Z1547" s="31">
        <v>2.6363055164100002</v>
      </c>
      <c r="AA1547">
        <v>22.0228962943502</v>
      </c>
      <c r="AB1547">
        <v>0.08</v>
      </c>
      <c r="AC1547">
        <v>221523.43356685</v>
      </c>
      <c r="AD1547">
        <v>253489.26503054649</v>
      </c>
      <c r="AE1547">
        <v>1</v>
      </c>
      <c r="AF1547">
        <v>6613.9407384721053</v>
      </c>
      <c r="AG1547">
        <v>26590.35429034417</v>
      </c>
    </row>
    <row r="1548" spans="2:33" hidden="1" x14ac:dyDescent="0.25">
      <c r="B1548">
        <v>27</v>
      </c>
      <c r="C1548" t="s">
        <v>60</v>
      </c>
      <c r="D1548" t="s">
        <v>26</v>
      </c>
      <c r="E1548" t="s">
        <v>69</v>
      </c>
      <c r="F1548">
        <v>156832</v>
      </c>
      <c r="G1548">
        <v>157270</v>
      </c>
      <c r="H1548">
        <v>51</v>
      </c>
      <c r="I1548">
        <v>0</v>
      </c>
      <c r="J1548">
        <v>2.6260570992560558E-2</v>
      </c>
      <c r="K1548">
        <v>611715</v>
      </c>
      <c r="L1548">
        <v>58229</v>
      </c>
      <c r="M1548">
        <v>9113</v>
      </c>
      <c r="N1548">
        <v>2262</v>
      </c>
      <c r="O1548" s="43">
        <v>57904087.945524476</v>
      </c>
      <c r="P1548" s="14">
        <f t="shared" si="74"/>
        <v>0</v>
      </c>
      <c r="Q1548" s="14" t="str">
        <f t="shared" si="72"/>
        <v/>
      </c>
      <c r="R1548" s="14" t="str">
        <f t="shared" si="72"/>
        <v/>
      </c>
      <c r="S1548" s="14" t="str">
        <f t="shared" si="73"/>
        <v/>
      </c>
      <c r="T1548" s="14" t="s">
        <v>72</v>
      </c>
      <c r="U1548" s="14">
        <v>0</v>
      </c>
      <c r="V1548">
        <v>5066</v>
      </c>
      <c r="W1548">
        <v>18.595361328125001</v>
      </c>
      <c r="X1548">
        <v>29.650356780896999</v>
      </c>
      <c r="Y1548">
        <v>1.50859165461478</v>
      </c>
      <c r="Z1548" s="31">
        <v>2.6090543912342401</v>
      </c>
      <c r="AA1548">
        <v>3.6295184876772502</v>
      </c>
      <c r="AB1548">
        <v>0.08</v>
      </c>
      <c r="AC1548">
        <v>221523.43356685</v>
      </c>
      <c r="AD1548">
        <v>253489.26503054649</v>
      </c>
      <c r="AE1548">
        <v>1</v>
      </c>
      <c r="AF1548">
        <v>6613.9407384721053</v>
      </c>
      <c r="AG1548">
        <v>26590.35429034417</v>
      </c>
    </row>
    <row r="1549" spans="2:33" hidden="1" x14ac:dyDescent="0.25">
      <c r="B1549">
        <v>27</v>
      </c>
      <c r="C1549" t="s">
        <v>60</v>
      </c>
      <c r="D1549" t="s">
        <v>26</v>
      </c>
      <c r="E1549" t="s">
        <v>69</v>
      </c>
      <c r="F1549">
        <v>156801</v>
      </c>
      <c r="G1549">
        <v>157270</v>
      </c>
      <c r="H1549">
        <v>52</v>
      </c>
      <c r="I1549">
        <v>-15</v>
      </c>
      <c r="J1549">
        <v>0</v>
      </c>
      <c r="K1549">
        <v>611715</v>
      </c>
      <c r="L1549">
        <v>58229</v>
      </c>
      <c r="M1549">
        <v>9113</v>
      </c>
      <c r="N1549">
        <v>2262</v>
      </c>
      <c r="O1549" s="43">
        <v>57681239.004037447</v>
      </c>
      <c r="P1549" s="14">
        <f t="shared" si="74"/>
        <v>-222848.94148702919</v>
      </c>
      <c r="Q1549" s="14">
        <f t="shared" si="72"/>
        <v>-222848.94148702919</v>
      </c>
      <c r="R1549" s="14">
        <f t="shared" si="72"/>
        <v>-222848.94148702919</v>
      </c>
      <c r="S1549" s="14">
        <f t="shared" si="73"/>
        <v>49661650721.889359</v>
      </c>
      <c r="T1549" s="14">
        <v>49661650721.889359</v>
      </c>
      <c r="U1549" s="14">
        <v>14856.596099135777</v>
      </c>
      <c r="V1549">
        <v>5066</v>
      </c>
      <c r="W1549">
        <v>19.557794189453102</v>
      </c>
      <c r="X1549">
        <v>27.309751792397201</v>
      </c>
      <c r="Y1549">
        <v>1.6550714267657001</v>
      </c>
      <c r="Z1549" s="31">
        <v>1.2055256653402799</v>
      </c>
      <c r="AA1549">
        <v>5.6526548549667996</v>
      </c>
      <c r="AB1549">
        <v>0.08</v>
      </c>
      <c r="AC1549">
        <v>221523.43356685</v>
      </c>
      <c r="AD1549">
        <v>253489.26503054649</v>
      </c>
      <c r="AE1549">
        <v>1</v>
      </c>
      <c r="AF1549">
        <v>6613.9407384721053</v>
      </c>
      <c r="AG1549">
        <v>26590.35429034417</v>
      </c>
    </row>
    <row r="1550" spans="2:33" hidden="1" x14ac:dyDescent="0.25">
      <c r="B1550">
        <v>27</v>
      </c>
      <c r="C1550" t="s">
        <v>60</v>
      </c>
      <c r="D1550" t="s">
        <v>26</v>
      </c>
      <c r="E1550" t="s">
        <v>69</v>
      </c>
      <c r="F1550">
        <v>157087</v>
      </c>
      <c r="G1550">
        <v>157270</v>
      </c>
      <c r="H1550">
        <v>53</v>
      </c>
      <c r="I1550">
        <v>100</v>
      </c>
      <c r="J1550">
        <v>0.12729700515037831</v>
      </c>
      <c r="K1550">
        <v>611715</v>
      </c>
      <c r="L1550">
        <v>58229</v>
      </c>
      <c r="M1550">
        <v>9113</v>
      </c>
      <c r="N1550">
        <v>2262</v>
      </c>
      <c r="O1550" s="43">
        <v>57681239.004037447</v>
      </c>
      <c r="P1550" s="14">
        <f t="shared" si="74"/>
        <v>0</v>
      </c>
      <c r="Q1550" s="14" t="str">
        <f t="shared" si="72"/>
        <v/>
      </c>
      <c r="R1550" s="14" t="str">
        <f t="shared" si="72"/>
        <v/>
      </c>
      <c r="S1550" s="14" t="str">
        <f t="shared" si="73"/>
        <v/>
      </c>
      <c r="T1550" s="14" t="s">
        <v>72</v>
      </c>
      <c r="U1550" s="14">
        <v>-576812.39004037448</v>
      </c>
      <c r="V1550">
        <v>5066</v>
      </c>
      <c r="W1550">
        <v>19.826226806640602</v>
      </c>
      <c r="X1550">
        <v>34.646028493063199</v>
      </c>
      <c r="Y1550">
        <v>1.5129049859864001</v>
      </c>
      <c r="Z1550" s="31">
        <v>0.88038544648435901</v>
      </c>
      <c r="AA1550">
        <v>3.7557186933772901</v>
      </c>
      <c r="AB1550">
        <v>0.08</v>
      </c>
      <c r="AC1550">
        <v>221523.43356685</v>
      </c>
      <c r="AD1550">
        <v>253489.26503054649</v>
      </c>
      <c r="AE1550">
        <v>1</v>
      </c>
      <c r="AF1550">
        <v>6613.9407384721053</v>
      </c>
      <c r="AG1550">
        <v>26590.35429034417</v>
      </c>
    </row>
    <row r="1551" spans="2:33" hidden="1" x14ac:dyDescent="0.25">
      <c r="B1551">
        <v>27</v>
      </c>
      <c r="C1551" t="s">
        <v>60</v>
      </c>
      <c r="D1551" t="s">
        <v>26</v>
      </c>
      <c r="E1551" t="s">
        <v>69</v>
      </c>
      <c r="F1551">
        <v>157126</v>
      </c>
      <c r="G1551">
        <v>157270</v>
      </c>
      <c r="H1551">
        <v>54</v>
      </c>
      <c r="I1551">
        <v>59</v>
      </c>
      <c r="J1551">
        <v>1.7358682520506132E-2</v>
      </c>
      <c r="K1551">
        <v>611715</v>
      </c>
      <c r="L1551">
        <v>58229</v>
      </c>
      <c r="M1551">
        <v>9113</v>
      </c>
      <c r="N1551">
        <v>2262</v>
      </c>
      <c r="O1551" s="43">
        <v>57456480.177249134</v>
      </c>
      <c r="P1551" s="14">
        <f t="shared" si="74"/>
        <v>-224758.82678831369</v>
      </c>
      <c r="Q1551" s="14">
        <f t="shared" si="72"/>
        <v>-224758.82678831369</v>
      </c>
      <c r="R1551" s="14">
        <f t="shared" si="72"/>
        <v>-224758.82678831369</v>
      </c>
      <c r="S1551" s="14">
        <f t="shared" si="73"/>
        <v>50516530219.259193</v>
      </c>
      <c r="T1551" s="14">
        <v>50516530219.259193</v>
      </c>
      <c r="U1551" s="14">
        <v>973838.64707201906</v>
      </c>
      <c r="V1551">
        <v>5066</v>
      </c>
      <c r="W1551">
        <v>17.984246826171901</v>
      </c>
      <c r="X1551">
        <v>38.238543184271101</v>
      </c>
      <c r="Y1551">
        <v>1.27461405999001</v>
      </c>
      <c r="Z1551" s="31">
        <v>1.66609206595871</v>
      </c>
      <c r="AA1551">
        <v>13.444110062937501</v>
      </c>
      <c r="AB1551">
        <v>0.08</v>
      </c>
      <c r="AC1551">
        <v>221523.43356685</v>
      </c>
      <c r="AD1551">
        <v>253489.26503054649</v>
      </c>
      <c r="AE1551">
        <v>1</v>
      </c>
      <c r="AF1551">
        <v>6613.9407384721053</v>
      </c>
      <c r="AG1551">
        <v>26590.35429034417</v>
      </c>
    </row>
    <row r="1552" spans="2:33" hidden="1" x14ac:dyDescent="0.25">
      <c r="B1552">
        <v>27</v>
      </c>
      <c r="C1552" t="s">
        <v>60</v>
      </c>
      <c r="D1552" t="s">
        <v>26</v>
      </c>
      <c r="E1552" t="s">
        <v>69</v>
      </c>
      <c r="F1552">
        <v>157173</v>
      </c>
      <c r="G1552">
        <v>157270</v>
      </c>
      <c r="H1552">
        <v>55</v>
      </c>
      <c r="I1552">
        <v>-31</v>
      </c>
      <c r="J1552">
        <v>2.0919437909327911E-2</v>
      </c>
      <c r="K1552">
        <v>611715</v>
      </c>
      <c r="L1552">
        <v>58229</v>
      </c>
      <c r="M1552">
        <v>9113</v>
      </c>
      <c r="N1552">
        <v>2262</v>
      </c>
      <c r="O1552" s="43">
        <v>58747030.527873613</v>
      </c>
      <c r="P1552" s="14">
        <f t="shared" si="74"/>
        <v>1290550.3506244794</v>
      </c>
      <c r="Q1552" s="14" t="str">
        <f t="shared" si="72"/>
        <v/>
      </c>
      <c r="R1552" s="14" t="str">
        <f t="shared" si="72"/>
        <v/>
      </c>
      <c r="S1552" s="14" t="str">
        <f t="shared" si="73"/>
        <v/>
      </c>
      <c r="T1552" s="14" t="s">
        <v>72</v>
      </c>
      <c r="U1552" s="14">
        <v>-41630.6564717574</v>
      </c>
      <c r="V1552">
        <v>5066</v>
      </c>
      <c r="W1552">
        <v>18.448693847656301</v>
      </c>
      <c r="X1552">
        <v>43.6787477806879</v>
      </c>
      <c r="Y1552">
        <v>1.1966112113470999</v>
      </c>
      <c r="Z1552" s="31">
        <v>1.2249351080425299</v>
      </c>
      <c r="AA1552">
        <v>1.7530312363290901</v>
      </c>
      <c r="AB1552">
        <v>0.08</v>
      </c>
      <c r="AC1552">
        <v>221523.43356685</v>
      </c>
      <c r="AD1552">
        <v>253489.26503054649</v>
      </c>
      <c r="AE1552">
        <v>1</v>
      </c>
      <c r="AF1552">
        <v>6613.9407384721053</v>
      </c>
      <c r="AG1552">
        <v>26590.35429034417</v>
      </c>
    </row>
    <row r="1553" spans="2:33" hidden="1" x14ac:dyDescent="0.25">
      <c r="B1553">
        <v>27</v>
      </c>
      <c r="C1553" t="s">
        <v>60</v>
      </c>
      <c r="D1553" t="s">
        <v>26</v>
      </c>
      <c r="E1553" t="s">
        <v>69</v>
      </c>
      <c r="F1553">
        <v>157229</v>
      </c>
      <c r="G1553">
        <v>157270</v>
      </c>
      <c r="H1553">
        <v>56</v>
      </c>
      <c r="I1553">
        <v>286</v>
      </c>
      <c r="J1553">
        <v>2.4925287721752402E-2</v>
      </c>
      <c r="K1553">
        <v>611715</v>
      </c>
      <c r="L1553">
        <v>58229</v>
      </c>
      <c r="M1553">
        <v>9113</v>
      </c>
      <c r="N1553">
        <v>2262</v>
      </c>
      <c r="O1553" s="43">
        <v>59108302.097032323</v>
      </c>
      <c r="P1553" s="14">
        <f t="shared" si="74"/>
        <v>361271.56915871054</v>
      </c>
      <c r="Q1553" s="14" t="str">
        <f t="shared" si="72"/>
        <v/>
      </c>
      <c r="R1553" s="14" t="str">
        <f t="shared" si="72"/>
        <v/>
      </c>
      <c r="S1553" s="14" t="str">
        <f t="shared" si="73"/>
        <v/>
      </c>
      <c r="T1553" s="14" t="s">
        <v>72</v>
      </c>
      <c r="U1553" s="14">
        <v>1263.1873047507622</v>
      </c>
      <c r="V1553">
        <v>5066</v>
      </c>
      <c r="W1553">
        <v>20.532312011718801</v>
      </c>
      <c r="X1553">
        <v>42.6058694945716</v>
      </c>
      <c r="Y1553">
        <v>1.38769667100232</v>
      </c>
      <c r="Z1553" s="31">
        <v>1.07845696857454</v>
      </c>
      <c r="AA1553">
        <v>6.7417444821244104</v>
      </c>
      <c r="AB1553">
        <v>0.08</v>
      </c>
      <c r="AC1553">
        <v>221523.43356685</v>
      </c>
      <c r="AD1553">
        <v>253489.26503054649</v>
      </c>
      <c r="AE1553">
        <v>1</v>
      </c>
      <c r="AF1553">
        <v>6613.9407384721053</v>
      </c>
      <c r="AG1553">
        <v>26590.35429034417</v>
      </c>
    </row>
    <row r="1554" spans="2:33" hidden="1" x14ac:dyDescent="0.25">
      <c r="B1554">
        <v>27</v>
      </c>
      <c r="C1554" t="s">
        <v>60</v>
      </c>
      <c r="D1554" t="s">
        <v>26</v>
      </c>
      <c r="E1554" t="s">
        <v>69</v>
      </c>
      <c r="F1554">
        <v>157270</v>
      </c>
      <c r="G1554">
        <v>157270</v>
      </c>
      <c r="H1554">
        <v>57</v>
      </c>
      <c r="I1554">
        <v>39</v>
      </c>
      <c r="J1554">
        <v>1.824887136771158E-2</v>
      </c>
      <c r="K1554">
        <v>611715</v>
      </c>
      <c r="L1554">
        <v>58229</v>
      </c>
      <c r="M1554">
        <v>9113</v>
      </c>
      <c r="N1554">
        <v>2262</v>
      </c>
      <c r="O1554" s="43">
        <v>59108302.097032323</v>
      </c>
      <c r="P1554" s="14">
        <f t="shared" si="74"/>
        <v>0</v>
      </c>
      <c r="Q1554" s="14" t="str">
        <f t="shared" si="72"/>
        <v/>
      </c>
      <c r="R1554" s="14" t="str">
        <f t="shared" si="72"/>
        <v/>
      </c>
      <c r="S1554" s="14" t="str">
        <f t="shared" si="73"/>
        <v/>
      </c>
      <c r="T1554" s="14" t="s">
        <v>72</v>
      </c>
      <c r="U1554" s="14">
        <v>0</v>
      </c>
      <c r="V1554">
        <v>5066</v>
      </c>
      <c r="W1554">
        <v>19.216363525390602</v>
      </c>
      <c r="X1554">
        <v>38.220146364369597</v>
      </c>
      <c r="Y1554">
        <v>1.37702353393593</v>
      </c>
      <c r="Z1554" s="31">
        <v>1.69726783366274</v>
      </c>
      <c r="AA1554">
        <v>9.7438656558499392</v>
      </c>
      <c r="AB1554">
        <v>0.08</v>
      </c>
      <c r="AC1554">
        <v>221523.43356685</v>
      </c>
      <c r="AD1554">
        <v>253489.26503054649</v>
      </c>
      <c r="AE1554">
        <v>1</v>
      </c>
      <c r="AF1554">
        <v>6613.9407384721053</v>
      </c>
      <c r="AG1554">
        <v>26590.35429034417</v>
      </c>
    </row>
    <row r="1555" spans="2:33" hidden="1" x14ac:dyDescent="0.25">
      <c r="B1555">
        <v>27</v>
      </c>
      <c r="C1555" t="s">
        <v>60</v>
      </c>
      <c r="D1555" t="s">
        <v>26</v>
      </c>
      <c r="E1555" t="s">
        <v>69</v>
      </c>
      <c r="F1555">
        <v>157270</v>
      </c>
      <c r="G1555">
        <v>157270</v>
      </c>
      <c r="H1555">
        <v>58</v>
      </c>
      <c r="I1555">
        <v>47</v>
      </c>
      <c r="J1555">
        <v>0</v>
      </c>
      <c r="K1555">
        <v>611715</v>
      </c>
      <c r="L1555">
        <v>58229</v>
      </c>
      <c r="M1555">
        <v>9113</v>
      </c>
      <c r="N1555">
        <v>2262</v>
      </c>
      <c r="O1555" s="43">
        <v>60427395.448896967</v>
      </c>
      <c r="P1555" s="14">
        <f t="shared" si="74"/>
        <v>1319093.3518646434</v>
      </c>
      <c r="Q1555" s="14" t="str">
        <f t="shared" si="72"/>
        <v/>
      </c>
      <c r="R1555" s="14" t="str">
        <f t="shared" si="72"/>
        <v/>
      </c>
      <c r="S1555" s="14" t="str">
        <f t="shared" si="73"/>
        <v/>
      </c>
      <c r="T1555" s="14" t="s">
        <v>72</v>
      </c>
      <c r="U1555" s="14">
        <v>28065.815997120073</v>
      </c>
      <c r="V1555">
        <v>5066</v>
      </c>
      <c r="W1555">
        <v>16.985742187500001</v>
      </c>
      <c r="X1555">
        <v>37.628044551763601</v>
      </c>
      <c r="Y1555">
        <v>1.2087045649661901</v>
      </c>
      <c r="Z1555" s="31">
        <v>1.6369935337216699</v>
      </c>
      <c r="AA1555">
        <v>12.1787072419637</v>
      </c>
      <c r="AB1555">
        <v>0.08</v>
      </c>
      <c r="AC1555">
        <v>221523.43356685</v>
      </c>
      <c r="AD1555">
        <v>253489.26503054649</v>
      </c>
      <c r="AE1555">
        <v>1</v>
      </c>
      <c r="AF1555">
        <v>6613.9407384721053</v>
      </c>
      <c r="AG1555">
        <v>26590.35429034417</v>
      </c>
    </row>
    <row r="1556" spans="2:33" hidden="1" x14ac:dyDescent="0.25">
      <c r="B1556">
        <v>27</v>
      </c>
      <c r="C1556" t="s">
        <v>60</v>
      </c>
      <c r="D1556" t="s">
        <v>26</v>
      </c>
      <c r="E1556" t="s">
        <v>69</v>
      </c>
      <c r="F1556">
        <v>157270</v>
      </c>
      <c r="G1556">
        <v>157270</v>
      </c>
      <c r="H1556">
        <v>59</v>
      </c>
      <c r="I1556">
        <v>56</v>
      </c>
      <c r="J1556">
        <v>0</v>
      </c>
      <c r="K1556">
        <v>611715</v>
      </c>
      <c r="L1556">
        <v>58229</v>
      </c>
      <c r="M1556">
        <v>9113</v>
      </c>
      <c r="N1556">
        <v>2262</v>
      </c>
      <c r="O1556" s="43">
        <v>60646686.671149917</v>
      </c>
      <c r="P1556" s="14">
        <f t="shared" si="74"/>
        <v>219291.22225295007</v>
      </c>
      <c r="Q1556" s="14" t="str">
        <f t="shared" si="72"/>
        <v/>
      </c>
      <c r="R1556" s="14" t="str">
        <f t="shared" si="72"/>
        <v/>
      </c>
      <c r="S1556" s="14" t="str">
        <f t="shared" si="73"/>
        <v/>
      </c>
      <c r="T1556" s="14" t="s">
        <v>72</v>
      </c>
      <c r="U1556" s="14">
        <v>3915.914683088527</v>
      </c>
      <c r="V1556">
        <v>5066</v>
      </c>
      <c r="W1556">
        <v>16.836663818359401</v>
      </c>
      <c r="X1556">
        <v>62.350692639016799</v>
      </c>
      <c r="Y1556">
        <v>0.72260480932460303</v>
      </c>
      <c r="Z1556" s="31">
        <v>2.0164724147558601</v>
      </c>
      <c r="AA1556">
        <v>10.090353493052699</v>
      </c>
      <c r="AB1556">
        <v>0.08</v>
      </c>
      <c r="AC1556">
        <v>221523.43356685</v>
      </c>
      <c r="AD1556">
        <v>253489.26503054649</v>
      </c>
      <c r="AE1556">
        <v>1</v>
      </c>
      <c r="AF1556">
        <v>6613.9407384721053</v>
      </c>
      <c r="AG1556">
        <v>26590.35429034417</v>
      </c>
    </row>
    <row r="1557" spans="2:33" hidden="1" x14ac:dyDescent="0.25">
      <c r="B1557">
        <v>27</v>
      </c>
      <c r="C1557" t="s">
        <v>60</v>
      </c>
      <c r="D1557" t="s">
        <v>26</v>
      </c>
      <c r="E1557" t="s">
        <v>69</v>
      </c>
      <c r="F1557">
        <v>157270</v>
      </c>
      <c r="G1557">
        <v>157270</v>
      </c>
      <c r="H1557">
        <v>60</v>
      </c>
      <c r="I1557">
        <v>41</v>
      </c>
      <c r="J1557">
        <v>0</v>
      </c>
      <c r="K1557">
        <v>611715</v>
      </c>
      <c r="L1557">
        <v>58229</v>
      </c>
      <c r="M1557">
        <v>9113</v>
      </c>
      <c r="N1557">
        <v>2262</v>
      </c>
      <c r="O1557" s="43">
        <v>61111239.665034242</v>
      </c>
      <c r="P1557" s="14">
        <f t="shared" si="74"/>
        <v>464552.99388432503</v>
      </c>
      <c r="Q1557" s="14" t="str">
        <f t="shared" si="72"/>
        <v/>
      </c>
      <c r="R1557" s="14" t="str">
        <f t="shared" si="72"/>
        <v/>
      </c>
      <c r="S1557" s="14" t="str">
        <f t="shared" si="73"/>
        <v/>
      </c>
      <c r="T1557" s="14" t="s">
        <v>72</v>
      </c>
      <c r="U1557" s="14">
        <v>11330.56082644677</v>
      </c>
      <c r="V1557">
        <v>5066</v>
      </c>
      <c r="W1557">
        <v>15.178674316406299</v>
      </c>
      <c r="X1557">
        <v>75.874647740321194</v>
      </c>
      <c r="Y1557">
        <v>0.41655782193840002</v>
      </c>
      <c r="Z1557" s="31">
        <v>2.9444543132266201</v>
      </c>
      <c r="AA1557">
        <v>22.900337825157099</v>
      </c>
      <c r="AB1557">
        <v>0.08</v>
      </c>
      <c r="AC1557">
        <v>221523.43356685</v>
      </c>
      <c r="AD1557">
        <v>253489.26503054649</v>
      </c>
      <c r="AE1557">
        <v>1</v>
      </c>
      <c r="AF1557">
        <v>6613.9407384721053</v>
      </c>
      <c r="AG1557">
        <v>26590.35429034417</v>
      </c>
    </row>
    <row r="1558" spans="2:33" hidden="1" x14ac:dyDescent="0.25">
      <c r="B1558">
        <v>27</v>
      </c>
      <c r="C1558" t="s">
        <v>60</v>
      </c>
      <c r="D1558" t="s">
        <v>26</v>
      </c>
      <c r="E1558" t="s">
        <v>69</v>
      </c>
      <c r="F1558">
        <v>157270</v>
      </c>
      <c r="G1558">
        <v>157270</v>
      </c>
      <c r="H1558">
        <v>61</v>
      </c>
      <c r="I1558" s="2">
        <v>0</v>
      </c>
      <c r="J1558">
        <v>0</v>
      </c>
      <c r="K1558">
        <v>611715</v>
      </c>
      <c r="L1558">
        <v>58229</v>
      </c>
      <c r="M1558">
        <v>9113</v>
      </c>
      <c r="N1558">
        <v>2262</v>
      </c>
      <c r="O1558" s="43">
        <v>61655178.202960327</v>
      </c>
      <c r="P1558" s="14">
        <f t="shared" si="74"/>
        <v>543938.53792608529</v>
      </c>
      <c r="Q1558" s="14" t="str">
        <f t="shared" si="72"/>
        <v/>
      </c>
      <c r="R1558" s="14" t="str">
        <f t="shared" si="72"/>
        <v/>
      </c>
      <c r="S1558" s="14" t="str">
        <f t="shared" si="73"/>
        <v/>
      </c>
      <c r="T1558" s="14" t="s">
        <v>72</v>
      </c>
      <c r="U1558" s="14">
        <v>0</v>
      </c>
      <c r="V1558">
        <v>5066</v>
      </c>
      <c r="W1558">
        <v>3.5185485839844</v>
      </c>
      <c r="X1558">
        <v>93.738307058699604</v>
      </c>
      <c r="Y1558">
        <v>4.9363083831498601E-2</v>
      </c>
      <c r="Z1558" s="31">
        <v>2.5163918876156699</v>
      </c>
      <c r="AA1558">
        <v>6.4039977289702303</v>
      </c>
      <c r="AB1558">
        <v>0.08</v>
      </c>
      <c r="AC1558">
        <v>221523.43356685</v>
      </c>
      <c r="AD1558">
        <v>253489.26503054649</v>
      </c>
      <c r="AE1558">
        <v>1</v>
      </c>
      <c r="AF1558">
        <v>6613.9407384721053</v>
      </c>
      <c r="AG1558">
        <v>26590.35429034417</v>
      </c>
    </row>
    <row r="1559" spans="2:33" hidden="1" x14ac:dyDescent="0.25">
      <c r="B1559">
        <v>27</v>
      </c>
      <c r="C1559" t="s">
        <v>60</v>
      </c>
      <c r="D1559" t="s">
        <v>26</v>
      </c>
      <c r="E1559" t="s">
        <v>69</v>
      </c>
      <c r="F1559">
        <v>157270</v>
      </c>
      <c r="G1559">
        <v>157270</v>
      </c>
      <c r="H1559">
        <v>62</v>
      </c>
      <c r="I1559" s="2">
        <v>0</v>
      </c>
      <c r="J1559">
        <v>0</v>
      </c>
      <c r="K1559">
        <v>611715</v>
      </c>
      <c r="L1559">
        <v>58229</v>
      </c>
      <c r="M1559">
        <v>9113</v>
      </c>
      <c r="N1559">
        <v>2262</v>
      </c>
      <c r="O1559" s="43">
        <v>61655178.202960327</v>
      </c>
      <c r="P1559" s="14">
        <f t="shared" si="74"/>
        <v>0</v>
      </c>
      <c r="Q1559" s="14" t="str">
        <f t="shared" si="72"/>
        <v/>
      </c>
      <c r="R1559" s="14" t="str">
        <f t="shared" si="72"/>
        <v/>
      </c>
      <c r="S1559" s="14" t="str">
        <f t="shared" si="73"/>
        <v/>
      </c>
      <c r="T1559" s="14" t="s">
        <v>72</v>
      </c>
      <c r="U1559" s="14">
        <v>0</v>
      </c>
      <c r="V1559">
        <v>5066</v>
      </c>
      <c r="W1559">
        <v>4.1294799804687701</v>
      </c>
      <c r="X1559">
        <v>74.117308624502598</v>
      </c>
      <c r="Y1559">
        <v>0.212988615594745</v>
      </c>
      <c r="Z1559" s="31">
        <v>2.81635095701423</v>
      </c>
      <c r="AA1559">
        <v>19.786870608572102</v>
      </c>
      <c r="AB1559">
        <v>0.08</v>
      </c>
      <c r="AC1559">
        <v>221523.43356685</v>
      </c>
      <c r="AD1559">
        <v>253489.26503054649</v>
      </c>
      <c r="AE1559">
        <v>1</v>
      </c>
      <c r="AF1559">
        <v>6613.9407384721053</v>
      </c>
      <c r="AG1559">
        <v>26590.35429034417</v>
      </c>
    </row>
    <row r="1560" spans="2:33" hidden="1" x14ac:dyDescent="0.25">
      <c r="B1560">
        <v>27</v>
      </c>
      <c r="C1560" t="s">
        <v>60</v>
      </c>
      <c r="D1560" t="s">
        <v>26</v>
      </c>
      <c r="E1560" t="s">
        <v>69</v>
      </c>
      <c r="F1560">
        <v>157270</v>
      </c>
      <c r="G1560">
        <v>157270</v>
      </c>
      <c r="H1560">
        <v>63</v>
      </c>
      <c r="I1560" s="2">
        <v>0</v>
      </c>
      <c r="J1560">
        <v>0</v>
      </c>
      <c r="K1560">
        <v>611715</v>
      </c>
      <c r="L1560">
        <v>58229</v>
      </c>
      <c r="M1560">
        <v>9113</v>
      </c>
      <c r="N1560">
        <v>2262</v>
      </c>
      <c r="O1560" s="43">
        <v>61655178.202960327</v>
      </c>
      <c r="P1560" s="14">
        <f t="shared" si="74"/>
        <v>0</v>
      </c>
      <c r="Q1560" s="14" t="str">
        <f t="shared" si="72"/>
        <v/>
      </c>
      <c r="R1560" s="14" t="str">
        <f t="shared" si="72"/>
        <v/>
      </c>
      <c r="S1560" s="14" t="str">
        <f t="shared" si="73"/>
        <v/>
      </c>
      <c r="T1560" s="14" t="s">
        <v>72</v>
      </c>
      <c r="U1560" s="14">
        <v>0</v>
      </c>
      <c r="V1560">
        <v>5066</v>
      </c>
      <c r="W1560">
        <v>1.9816528320312701</v>
      </c>
      <c r="X1560">
        <v>45.7654629840955</v>
      </c>
      <c r="Y1560">
        <v>0.38325478358036402</v>
      </c>
      <c r="Z1560" s="31">
        <v>3.3180511566098199</v>
      </c>
      <c r="AA1560">
        <v>9.5645788927487292</v>
      </c>
      <c r="AB1560">
        <v>0.08</v>
      </c>
      <c r="AC1560">
        <v>221523.43356685</v>
      </c>
      <c r="AD1560">
        <v>253489.26503054649</v>
      </c>
      <c r="AE1560">
        <v>1</v>
      </c>
      <c r="AF1560">
        <v>6613.9407384721053</v>
      </c>
      <c r="AG1560">
        <v>26590.35429034417</v>
      </c>
    </row>
    <row r="1561" spans="2:33" hidden="1" x14ac:dyDescent="0.25">
      <c r="B1561">
        <v>27</v>
      </c>
      <c r="C1561" t="s">
        <v>60</v>
      </c>
      <c r="D1561" t="s">
        <v>26</v>
      </c>
      <c r="E1561" t="s">
        <v>69</v>
      </c>
      <c r="F1561">
        <v>157270</v>
      </c>
      <c r="G1561">
        <v>157270</v>
      </c>
      <c r="H1561">
        <v>64</v>
      </c>
      <c r="I1561" s="2">
        <v>0</v>
      </c>
      <c r="J1561">
        <v>0</v>
      </c>
      <c r="K1561">
        <v>611715</v>
      </c>
      <c r="L1561">
        <v>58229</v>
      </c>
      <c r="M1561">
        <v>9113</v>
      </c>
      <c r="N1561">
        <v>2262</v>
      </c>
      <c r="O1561" s="43">
        <v>60510849.082960322</v>
      </c>
      <c r="P1561" s="14">
        <f t="shared" si="74"/>
        <v>-1144329.1200000048</v>
      </c>
      <c r="Q1561" s="14">
        <f t="shared" si="72"/>
        <v>-1144329.1200000048</v>
      </c>
      <c r="R1561" s="14">
        <f t="shared" si="72"/>
        <v>-1144329.1200000048</v>
      </c>
      <c r="S1561" s="14">
        <f t="shared" si="73"/>
        <v>1309489134879.9854</v>
      </c>
      <c r="T1561" s="14">
        <v>1309489134879.9854</v>
      </c>
      <c r="U1561" s="14">
        <v>0</v>
      </c>
      <c r="V1561">
        <v>5066</v>
      </c>
      <c r="W1561">
        <v>4.4820190429687701</v>
      </c>
      <c r="X1561">
        <v>50.541687382292501</v>
      </c>
      <c r="Y1561">
        <v>0.41711284912223501</v>
      </c>
      <c r="Z1561" s="31">
        <v>0.87249746359323899</v>
      </c>
      <c r="AA1561">
        <v>20.204594417187</v>
      </c>
      <c r="AB1561">
        <v>0.08</v>
      </c>
      <c r="AC1561">
        <v>221523.43356685</v>
      </c>
      <c r="AD1561">
        <v>253489.26503054649</v>
      </c>
      <c r="AE1561">
        <v>1</v>
      </c>
      <c r="AF1561">
        <v>6613.9407384721053</v>
      </c>
      <c r="AG1561">
        <v>26590.35429034417</v>
      </c>
    </row>
    <row r="1562" spans="2:33" hidden="1" x14ac:dyDescent="0.25">
      <c r="B1562">
        <v>27</v>
      </c>
      <c r="C1562" t="s">
        <v>60</v>
      </c>
      <c r="D1562" t="s">
        <v>26</v>
      </c>
      <c r="E1562" t="s">
        <v>69</v>
      </c>
      <c r="F1562">
        <v>157270</v>
      </c>
      <c r="G1562">
        <v>157270</v>
      </c>
      <c r="H1562">
        <v>65</v>
      </c>
      <c r="I1562" s="2">
        <v>0</v>
      </c>
      <c r="J1562">
        <v>0</v>
      </c>
      <c r="K1562">
        <v>611715</v>
      </c>
      <c r="L1562">
        <v>58229</v>
      </c>
      <c r="M1562">
        <v>9113</v>
      </c>
      <c r="N1562">
        <v>2262</v>
      </c>
      <c r="O1562" s="43">
        <v>60510865.103568003</v>
      </c>
      <c r="P1562" s="14">
        <f t="shared" si="74"/>
        <v>16.020607680082321</v>
      </c>
      <c r="Q1562" s="14" t="str">
        <f t="shared" si="72"/>
        <v/>
      </c>
      <c r="R1562" s="14" t="str">
        <f t="shared" si="72"/>
        <v/>
      </c>
      <c r="S1562" s="14" t="str">
        <f t="shared" si="73"/>
        <v/>
      </c>
      <c r="T1562" s="14" t="s">
        <v>72</v>
      </c>
      <c r="U1562" s="14">
        <v>0</v>
      </c>
      <c r="V1562">
        <v>5066</v>
      </c>
      <c r="W1562">
        <v>4.9401489257812701</v>
      </c>
      <c r="X1562">
        <v>70.788790678185293</v>
      </c>
      <c r="Y1562">
        <v>0.25439317519821703</v>
      </c>
      <c r="Z1562" s="31">
        <v>2.7327035142031</v>
      </c>
      <c r="AA1562">
        <v>20.9528587390041</v>
      </c>
      <c r="AB1562">
        <v>0.08</v>
      </c>
      <c r="AC1562">
        <v>221523.43356685</v>
      </c>
      <c r="AD1562">
        <v>253489.26503054649</v>
      </c>
      <c r="AE1562">
        <v>1</v>
      </c>
      <c r="AF1562">
        <v>6613.9407384721053</v>
      </c>
      <c r="AG1562">
        <v>26590.35429034417</v>
      </c>
    </row>
    <row r="1563" spans="2:33" hidden="1" x14ac:dyDescent="0.25">
      <c r="B1563">
        <v>27</v>
      </c>
      <c r="C1563" t="s">
        <v>60</v>
      </c>
      <c r="D1563" t="s">
        <v>26</v>
      </c>
      <c r="E1563" t="s">
        <v>69</v>
      </c>
      <c r="F1563">
        <v>157270</v>
      </c>
      <c r="G1563">
        <v>157270</v>
      </c>
      <c r="H1563">
        <v>66</v>
      </c>
      <c r="I1563" s="2">
        <v>0</v>
      </c>
      <c r="J1563">
        <v>0</v>
      </c>
      <c r="K1563">
        <v>611715</v>
      </c>
      <c r="L1563">
        <v>58229</v>
      </c>
      <c r="M1563">
        <v>9113</v>
      </c>
      <c r="N1563">
        <v>2262</v>
      </c>
      <c r="O1563" s="43">
        <v>60510865.103568003</v>
      </c>
      <c r="P1563" s="14">
        <f t="shared" si="74"/>
        <v>0</v>
      </c>
      <c r="Q1563" s="14" t="str">
        <f t="shared" si="72"/>
        <v/>
      </c>
      <c r="R1563" s="14" t="str">
        <f t="shared" si="72"/>
        <v/>
      </c>
      <c r="S1563" s="14" t="str">
        <f t="shared" si="73"/>
        <v/>
      </c>
      <c r="T1563" s="14" t="s">
        <v>72</v>
      </c>
      <c r="U1563" s="14">
        <v>0</v>
      </c>
      <c r="V1563">
        <v>5066</v>
      </c>
      <c r="W1563">
        <v>8.0525756835937194</v>
      </c>
      <c r="X1563">
        <v>52.431699458222198</v>
      </c>
      <c r="Y1563">
        <v>0.513164501623951</v>
      </c>
      <c r="Z1563" s="31">
        <v>1.8923979833167801</v>
      </c>
      <c r="AA1563">
        <v>5.6711778306282099</v>
      </c>
      <c r="AB1563">
        <v>0.08</v>
      </c>
      <c r="AC1563">
        <v>221523.43356685</v>
      </c>
      <c r="AD1563">
        <v>253489.26503054649</v>
      </c>
      <c r="AE1563">
        <v>1</v>
      </c>
      <c r="AF1563">
        <v>6613.9407384721053</v>
      </c>
      <c r="AG1563">
        <v>26590.35429034417</v>
      </c>
    </row>
    <row r="1564" spans="2:33" hidden="1" x14ac:dyDescent="0.25">
      <c r="B1564">
        <v>27</v>
      </c>
      <c r="C1564" t="s">
        <v>60</v>
      </c>
      <c r="D1564" t="s">
        <v>26</v>
      </c>
      <c r="E1564" t="s">
        <v>69</v>
      </c>
      <c r="F1564">
        <v>157270</v>
      </c>
      <c r="G1564">
        <v>157270</v>
      </c>
      <c r="H1564">
        <v>67</v>
      </c>
      <c r="I1564" s="2">
        <v>0</v>
      </c>
      <c r="J1564">
        <v>0</v>
      </c>
      <c r="K1564">
        <v>611715</v>
      </c>
      <c r="L1564">
        <v>58229</v>
      </c>
      <c r="M1564">
        <v>9113</v>
      </c>
      <c r="N1564">
        <v>2262</v>
      </c>
      <c r="O1564" s="43">
        <v>66232510.703567997</v>
      </c>
      <c r="P1564" s="14">
        <f t="shared" si="74"/>
        <v>5721645.599999994</v>
      </c>
      <c r="Q1564" s="14" t="str">
        <f t="shared" si="72"/>
        <v/>
      </c>
      <c r="R1564" s="14" t="str">
        <f t="shared" si="72"/>
        <v/>
      </c>
      <c r="S1564" s="14" t="str">
        <f t="shared" si="73"/>
        <v/>
      </c>
      <c r="T1564" s="14" t="s">
        <v>72</v>
      </c>
      <c r="U1564" s="14">
        <v>0</v>
      </c>
      <c r="V1564">
        <v>5066</v>
      </c>
      <c r="W1564">
        <v>5.4943176269531504</v>
      </c>
      <c r="X1564">
        <v>62.941547361236601</v>
      </c>
      <c r="Y1564">
        <v>0.33540097776303501</v>
      </c>
      <c r="Z1564" s="31">
        <v>1.98327400286974</v>
      </c>
      <c r="AA1564">
        <v>11.015928125195</v>
      </c>
      <c r="AB1564">
        <v>0.08</v>
      </c>
      <c r="AC1564">
        <v>221523.43356685</v>
      </c>
      <c r="AD1564">
        <v>253489.26503054649</v>
      </c>
      <c r="AE1564">
        <v>1</v>
      </c>
      <c r="AF1564">
        <v>6613.9407384721053</v>
      </c>
      <c r="AG1564">
        <v>26590.35429034417</v>
      </c>
    </row>
    <row r="1565" spans="2:33" hidden="1" x14ac:dyDescent="0.25">
      <c r="B1565">
        <v>27</v>
      </c>
      <c r="C1565" t="s">
        <v>60</v>
      </c>
      <c r="D1565" t="s">
        <v>26</v>
      </c>
      <c r="E1565" t="s">
        <v>69</v>
      </c>
      <c r="F1565">
        <v>157270</v>
      </c>
      <c r="G1565">
        <v>157270</v>
      </c>
      <c r="H1565">
        <v>68</v>
      </c>
      <c r="I1565" s="2">
        <v>0</v>
      </c>
      <c r="J1565">
        <v>0</v>
      </c>
      <c r="K1565">
        <v>611715</v>
      </c>
      <c r="L1565">
        <v>58229</v>
      </c>
      <c r="M1565">
        <v>9113</v>
      </c>
      <c r="N1565">
        <v>2262</v>
      </c>
      <c r="O1565" s="43">
        <v>66232510.703567997</v>
      </c>
      <c r="P1565" s="14">
        <f t="shared" si="74"/>
        <v>0</v>
      </c>
      <c r="Q1565" s="14" t="str">
        <f t="shared" si="72"/>
        <v/>
      </c>
      <c r="R1565" s="14" t="str">
        <f t="shared" si="72"/>
        <v/>
      </c>
      <c r="S1565" s="14" t="str">
        <f t="shared" si="73"/>
        <v/>
      </c>
      <c r="T1565" s="14" t="s">
        <v>72</v>
      </c>
      <c r="U1565" s="14">
        <v>0</v>
      </c>
      <c r="V1565">
        <v>5066</v>
      </c>
      <c r="W1565">
        <v>4.2180114746094004</v>
      </c>
      <c r="X1565">
        <v>87.259305395442397</v>
      </c>
      <c r="Y1565">
        <v>0.105499059411624</v>
      </c>
      <c r="Z1565" s="31">
        <v>3.4808896925501398</v>
      </c>
      <c r="AA1565">
        <v>22.560228315910098</v>
      </c>
      <c r="AB1565">
        <v>0.08</v>
      </c>
      <c r="AC1565">
        <v>221523.43356685</v>
      </c>
      <c r="AD1565">
        <v>253489.26503054649</v>
      </c>
      <c r="AE1565">
        <v>1</v>
      </c>
      <c r="AF1565">
        <v>6613.9407384721053</v>
      </c>
      <c r="AG1565">
        <v>26590.35429034417</v>
      </c>
    </row>
    <row r="1566" spans="2:33" hidden="1" x14ac:dyDescent="0.25">
      <c r="B1566">
        <v>27</v>
      </c>
      <c r="C1566" t="s">
        <v>60</v>
      </c>
      <c r="D1566" t="s">
        <v>26</v>
      </c>
      <c r="E1566" t="s">
        <v>69</v>
      </c>
      <c r="F1566">
        <v>157270</v>
      </c>
      <c r="G1566">
        <v>157270</v>
      </c>
      <c r="H1566">
        <v>69</v>
      </c>
      <c r="I1566" s="2">
        <v>0</v>
      </c>
      <c r="J1566">
        <v>0</v>
      </c>
      <c r="K1566">
        <v>611715</v>
      </c>
      <c r="L1566">
        <v>58229</v>
      </c>
      <c r="M1566">
        <v>9113</v>
      </c>
      <c r="N1566">
        <v>2262</v>
      </c>
      <c r="O1566" s="43">
        <v>66232510.703567997</v>
      </c>
      <c r="P1566" s="14">
        <f t="shared" si="74"/>
        <v>0</v>
      </c>
      <c r="Q1566" s="14" t="str">
        <f t="shared" si="72"/>
        <v/>
      </c>
      <c r="R1566" s="14" t="str">
        <f t="shared" si="72"/>
        <v/>
      </c>
      <c r="S1566" s="14" t="str">
        <f t="shared" si="73"/>
        <v/>
      </c>
      <c r="T1566" s="14" t="s">
        <v>72</v>
      </c>
      <c r="U1566" s="14">
        <v>0</v>
      </c>
      <c r="V1566">
        <v>5066</v>
      </c>
      <c r="W1566">
        <v>6.2041870117187701</v>
      </c>
      <c r="X1566">
        <v>71.926255626099902</v>
      </c>
      <c r="Y1566">
        <v>0.266876106412134</v>
      </c>
      <c r="Z1566" s="31">
        <v>4.3753379509509696</v>
      </c>
      <c r="AA1566">
        <v>24.502237546323101</v>
      </c>
      <c r="AB1566">
        <v>0.08</v>
      </c>
      <c r="AC1566">
        <v>221523.43356685</v>
      </c>
      <c r="AD1566">
        <v>253489.26503054649</v>
      </c>
      <c r="AE1566">
        <v>1</v>
      </c>
      <c r="AF1566">
        <v>6613.9407384721053</v>
      </c>
      <c r="AG1566">
        <v>26590.35429034417</v>
      </c>
    </row>
    <row r="1567" spans="2:33" hidden="1" x14ac:dyDescent="0.25">
      <c r="B1567">
        <v>27</v>
      </c>
      <c r="C1567" t="s">
        <v>60</v>
      </c>
      <c r="D1567" t="s">
        <v>26</v>
      </c>
      <c r="E1567" t="s">
        <v>69</v>
      </c>
      <c r="F1567">
        <v>157270</v>
      </c>
      <c r="G1567">
        <v>157270</v>
      </c>
      <c r="H1567">
        <v>70</v>
      </c>
      <c r="I1567" s="2">
        <v>0</v>
      </c>
      <c r="J1567">
        <v>0</v>
      </c>
      <c r="K1567">
        <v>611715</v>
      </c>
      <c r="L1567">
        <v>58229</v>
      </c>
      <c r="M1567">
        <v>9113</v>
      </c>
      <c r="N1567">
        <v>2262</v>
      </c>
      <c r="O1567" s="43">
        <v>62988337.648368008</v>
      </c>
      <c r="P1567" s="14">
        <f t="shared" si="74"/>
        <v>-3244173.0551999882</v>
      </c>
      <c r="Q1567" s="14">
        <f t="shared" si="72"/>
        <v>-3244173.0551999882</v>
      </c>
      <c r="R1567" s="14">
        <f t="shared" si="72"/>
        <v>-3244173.0551999882</v>
      </c>
      <c r="S1567" s="14">
        <f t="shared" si="73"/>
        <v>10524658812085.625</v>
      </c>
      <c r="T1567" s="14">
        <v>10524658812085.625</v>
      </c>
      <c r="U1567" s="14">
        <v>0</v>
      </c>
      <c r="V1567">
        <v>5066</v>
      </c>
      <c r="W1567">
        <v>8.2214599609375192</v>
      </c>
      <c r="X1567">
        <v>96.290312795016803</v>
      </c>
      <c r="Y1567">
        <v>4.0479565348067403E-2</v>
      </c>
      <c r="Z1567" s="31">
        <v>1.19024847734802</v>
      </c>
      <c r="AA1567">
        <v>19.9747389488297</v>
      </c>
      <c r="AB1567">
        <v>0.08</v>
      </c>
      <c r="AC1567">
        <v>221523.43356685</v>
      </c>
      <c r="AD1567">
        <v>253489.26503054649</v>
      </c>
      <c r="AE1567">
        <v>1</v>
      </c>
      <c r="AF1567">
        <v>6613.9407384721053</v>
      </c>
      <c r="AG1567">
        <v>26590.35429034417</v>
      </c>
    </row>
    <row r="1568" spans="2:33" hidden="1" x14ac:dyDescent="0.25">
      <c r="B1568">
        <v>28</v>
      </c>
      <c r="C1568" t="s">
        <v>61</v>
      </c>
      <c r="D1568" t="s">
        <v>33</v>
      </c>
      <c r="E1568" t="s">
        <v>68</v>
      </c>
      <c r="F1568">
        <v>16214</v>
      </c>
      <c r="G1568">
        <v>180757</v>
      </c>
      <c r="H1568">
        <v>1</v>
      </c>
      <c r="I1568" s="2">
        <v>0</v>
      </c>
      <c r="J1568">
        <v>2.8704171899290212</v>
      </c>
      <c r="K1568">
        <v>521</v>
      </c>
      <c r="L1568">
        <v>495017</v>
      </c>
      <c r="M1568">
        <v>124544</v>
      </c>
      <c r="N1568">
        <v>195662</v>
      </c>
      <c r="O1568" s="43">
        <v>226152</v>
      </c>
      <c r="P1568" s="14">
        <v>0</v>
      </c>
      <c r="Q1568" s="14" t="str">
        <f t="shared" si="72"/>
        <v/>
      </c>
      <c r="R1568" s="14" t="str">
        <f t="shared" si="72"/>
        <v/>
      </c>
      <c r="S1568" s="14" t="str">
        <f t="shared" si="73"/>
        <v/>
      </c>
      <c r="T1568" s="14" t="s">
        <v>72</v>
      </c>
      <c r="U1568" s="14">
        <v>0</v>
      </c>
      <c r="V1568">
        <v>3435</v>
      </c>
      <c r="W1568">
        <v>34.994378662109398</v>
      </c>
      <c r="X1568">
        <v>9.8918544314820096</v>
      </c>
      <c r="Y1568">
        <v>5.0655821697977501</v>
      </c>
      <c r="Z1568" s="31">
        <v>5.4503531415412603</v>
      </c>
      <c r="AA1568">
        <v>6.07277060555354</v>
      </c>
      <c r="AB1568">
        <v>0.05</v>
      </c>
      <c r="AC1568">
        <v>315853.870677981</v>
      </c>
      <c r="AD1568">
        <v>356384.89800133562</v>
      </c>
      <c r="AE1568">
        <v>1</v>
      </c>
      <c r="AF1568">
        <v>23479.40807353014</v>
      </c>
      <c r="AG1568">
        <v>145800.1717696437</v>
      </c>
    </row>
    <row r="1569" spans="2:33" hidden="1" x14ac:dyDescent="0.25">
      <c r="B1569">
        <v>28</v>
      </c>
      <c r="C1569" t="s">
        <v>61</v>
      </c>
      <c r="D1569" t="s">
        <v>33</v>
      </c>
      <c r="E1569" t="s">
        <v>68</v>
      </c>
      <c r="F1569">
        <v>34436</v>
      </c>
      <c r="G1569">
        <v>180757</v>
      </c>
      <c r="H1569">
        <v>2</v>
      </c>
      <c r="I1569" s="2">
        <v>0</v>
      </c>
      <c r="J1569">
        <v>3.2258999651465778</v>
      </c>
      <c r="K1569">
        <v>521</v>
      </c>
      <c r="L1569">
        <v>495017</v>
      </c>
      <c r="M1569">
        <v>124544</v>
      </c>
      <c r="N1569">
        <v>195662</v>
      </c>
      <c r="O1569" s="43">
        <v>226152</v>
      </c>
      <c r="P1569" s="14">
        <f t="shared" si="74"/>
        <v>0</v>
      </c>
      <c r="Q1569" s="14" t="str">
        <f t="shared" si="72"/>
        <v/>
      </c>
      <c r="R1569" s="14" t="str">
        <f t="shared" si="72"/>
        <v/>
      </c>
      <c r="S1569" s="14" t="str">
        <f t="shared" si="73"/>
        <v/>
      </c>
      <c r="T1569" s="14" t="s">
        <v>72</v>
      </c>
      <c r="U1569" s="14">
        <v>0</v>
      </c>
      <c r="V1569">
        <v>3435</v>
      </c>
      <c r="W1569">
        <v>35.733361816406301</v>
      </c>
      <c r="X1569">
        <v>7.1308646433704901</v>
      </c>
      <c r="Y1569">
        <v>5.4380493715371401</v>
      </c>
      <c r="Z1569" s="31">
        <v>5.4809452150637998</v>
      </c>
      <c r="AA1569">
        <v>9.6703448403056402</v>
      </c>
      <c r="AB1569">
        <v>0.05</v>
      </c>
      <c r="AC1569">
        <v>315853.870677981</v>
      </c>
      <c r="AD1569">
        <v>356384.89800133562</v>
      </c>
      <c r="AE1569">
        <v>1</v>
      </c>
      <c r="AF1569">
        <v>23479.40807353014</v>
      </c>
      <c r="AG1569">
        <v>145800.1717696437</v>
      </c>
    </row>
    <row r="1570" spans="2:33" hidden="1" x14ac:dyDescent="0.25">
      <c r="B1570">
        <v>28</v>
      </c>
      <c r="C1570" t="s">
        <v>61</v>
      </c>
      <c r="D1570" t="s">
        <v>33</v>
      </c>
      <c r="E1570" t="s">
        <v>68</v>
      </c>
      <c r="F1570">
        <v>57010</v>
      </c>
      <c r="G1570">
        <v>180757</v>
      </c>
      <c r="H1570">
        <v>3</v>
      </c>
      <c r="I1570" s="2">
        <v>0</v>
      </c>
      <c r="J1570">
        <v>3.9963486891240732</v>
      </c>
      <c r="K1570">
        <v>521</v>
      </c>
      <c r="L1570">
        <v>495017</v>
      </c>
      <c r="M1570">
        <v>124544</v>
      </c>
      <c r="N1570">
        <v>195662</v>
      </c>
      <c r="O1570" s="43">
        <v>1402749.61812</v>
      </c>
      <c r="P1570" s="14">
        <f t="shared" si="74"/>
        <v>1176597.61812</v>
      </c>
      <c r="Q1570" s="14" t="str">
        <f t="shared" si="72"/>
        <v/>
      </c>
      <c r="R1570" s="14" t="str">
        <f t="shared" si="72"/>
        <v/>
      </c>
      <c r="S1570" s="14" t="str">
        <f t="shared" si="73"/>
        <v/>
      </c>
      <c r="T1570" s="14" t="s">
        <v>72</v>
      </c>
      <c r="U1570" s="14">
        <v>0</v>
      </c>
      <c r="V1570">
        <v>3435</v>
      </c>
      <c r="W1570">
        <v>35.425775146484398</v>
      </c>
      <c r="X1570">
        <v>9.9014869767126701</v>
      </c>
      <c r="Y1570">
        <v>5.1869827450512798</v>
      </c>
      <c r="Z1570" s="31">
        <v>6.9017176931297</v>
      </c>
      <c r="AA1570">
        <v>11.042614388460301</v>
      </c>
      <c r="AB1570">
        <v>0.05</v>
      </c>
      <c r="AC1570">
        <v>315853.870677981</v>
      </c>
      <c r="AD1570">
        <v>356384.89800133562</v>
      </c>
      <c r="AE1570">
        <v>1</v>
      </c>
      <c r="AF1570">
        <v>23479.40807353014</v>
      </c>
      <c r="AG1570">
        <v>145800.1717696437</v>
      </c>
    </row>
    <row r="1571" spans="2:33" hidden="1" x14ac:dyDescent="0.25">
      <c r="B1571">
        <v>28</v>
      </c>
      <c r="C1571" t="s">
        <v>61</v>
      </c>
      <c r="D1571" t="s">
        <v>33</v>
      </c>
      <c r="E1571" t="s">
        <v>68</v>
      </c>
      <c r="F1571">
        <v>72247</v>
      </c>
      <c r="G1571">
        <v>180757</v>
      </c>
      <c r="H1571">
        <v>4</v>
      </c>
      <c r="I1571" s="2">
        <v>16214</v>
      </c>
      <c r="J1571">
        <v>2.6974557001941828</v>
      </c>
      <c r="K1571">
        <v>521</v>
      </c>
      <c r="L1571">
        <v>495017</v>
      </c>
      <c r="M1571">
        <v>124544</v>
      </c>
      <c r="N1571">
        <v>195662</v>
      </c>
      <c r="O1571" s="43">
        <v>1811474.12772</v>
      </c>
      <c r="P1571" s="14">
        <f t="shared" si="74"/>
        <v>408724.50959999999</v>
      </c>
      <c r="Q1571" s="14" t="str">
        <f t="shared" si="72"/>
        <v/>
      </c>
      <c r="R1571" s="14" t="str">
        <f t="shared" si="72"/>
        <v/>
      </c>
      <c r="S1571" s="14" t="str">
        <f t="shared" si="73"/>
        <v/>
      </c>
      <c r="T1571" s="14" t="s">
        <v>72</v>
      </c>
      <c r="U1571" s="14">
        <v>25.208123202170963</v>
      </c>
      <c r="V1571">
        <v>3435</v>
      </c>
      <c r="W1571">
        <v>34.471612548828098</v>
      </c>
      <c r="X1571">
        <v>8.4242448500704192</v>
      </c>
      <c r="Y1571">
        <v>5.0014399119677098</v>
      </c>
      <c r="Z1571" s="31">
        <v>5.00383220833913</v>
      </c>
      <c r="AA1571">
        <v>7.7175041727758398</v>
      </c>
      <c r="AB1571">
        <v>0.05</v>
      </c>
      <c r="AC1571">
        <v>315853.870677981</v>
      </c>
      <c r="AD1571">
        <v>356384.89800133562</v>
      </c>
      <c r="AE1571">
        <v>1</v>
      </c>
      <c r="AF1571">
        <v>23479.40807353014</v>
      </c>
      <c r="AG1571">
        <v>145800.1717696437</v>
      </c>
    </row>
    <row r="1572" spans="2:33" hidden="1" x14ac:dyDescent="0.25">
      <c r="B1572">
        <v>28</v>
      </c>
      <c r="C1572" t="s">
        <v>61</v>
      </c>
      <c r="D1572" t="s">
        <v>33</v>
      </c>
      <c r="E1572" t="s">
        <v>68</v>
      </c>
      <c r="F1572">
        <v>80758</v>
      </c>
      <c r="G1572">
        <v>180757</v>
      </c>
      <c r="H1572">
        <v>5</v>
      </c>
      <c r="I1572" s="2">
        <v>18222</v>
      </c>
      <c r="J1572">
        <v>1.5067300298190389</v>
      </c>
      <c r="K1572">
        <v>521</v>
      </c>
      <c r="L1572">
        <v>495017</v>
      </c>
      <c r="M1572">
        <v>124544</v>
      </c>
      <c r="N1572">
        <v>195662</v>
      </c>
      <c r="O1572" s="43">
        <v>5771646.6764399996</v>
      </c>
      <c r="P1572" s="14">
        <f t="shared" si="74"/>
        <v>3960172.5487199994</v>
      </c>
      <c r="Q1572" s="14" t="str">
        <f t="shared" si="72"/>
        <v/>
      </c>
      <c r="R1572" s="14" t="str">
        <f t="shared" si="72"/>
        <v/>
      </c>
      <c r="S1572" s="14" t="str">
        <f t="shared" si="73"/>
        <v/>
      </c>
      <c r="T1572" s="14" t="s">
        <v>72</v>
      </c>
      <c r="U1572" s="14">
        <v>217.32919266381293</v>
      </c>
      <c r="V1572">
        <v>3435</v>
      </c>
      <c r="W1572">
        <v>33.724267578125001</v>
      </c>
      <c r="X1572">
        <v>7.2422640597915198</v>
      </c>
      <c r="Y1572">
        <v>4.8598788312855596</v>
      </c>
      <c r="Z1572" s="31">
        <v>4.8027692555405501</v>
      </c>
      <c r="AA1572">
        <v>8.6403887697132795</v>
      </c>
      <c r="AB1572">
        <v>0.05</v>
      </c>
      <c r="AC1572">
        <v>315853.870677981</v>
      </c>
      <c r="AD1572">
        <v>356384.89800133562</v>
      </c>
      <c r="AE1572">
        <v>1</v>
      </c>
      <c r="AF1572">
        <v>23479.40807353014</v>
      </c>
      <c r="AG1572">
        <v>145800.1717696437</v>
      </c>
    </row>
    <row r="1573" spans="2:33" hidden="1" x14ac:dyDescent="0.25">
      <c r="B1573">
        <v>28</v>
      </c>
      <c r="C1573" t="s">
        <v>61</v>
      </c>
      <c r="D1573" t="s">
        <v>33</v>
      </c>
      <c r="E1573" t="s">
        <v>68</v>
      </c>
      <c r="F1573">
        <v>85267</v>
      </c>
      <c r="G1573">
        <v>180757</v>
      </c>
      <c r="H1573">
        <v>6</v>
      </c>
      <c r="I1573" s="2">
        <v>22574</v>
      </c>
      <c r="J1573">
        <v>0.79824294494819015</v>
      </c>
      <c r="K1573">
        <v>521</v>
      </c>
      <c r="L1573">
        <v>495017</v>
      </c>
      <c r="M1573">
        <v>124544</v>
      </c>
      <c r="N1573">
        <v>195662</v>
      </c>
      <c r="O1573" s="43">
        <v>5771646.6764399996</v>
      </c>
      <c r="P1573" s="14">
        <f t="shared" si="74"/>
        <v>0</v>
      </c>
      <c r="Q1573" s="14" t="str">
        <f t="shared" si="72"/>
        <v/>
      </c>
      <c r="R1573" s="14" t="str">
        <f t="shared" si="72"/>
        <v/>
      </c>
      <c r="S1573" s="14" t="str">
        <f t="shared" si="73"/>
        <v/>
      </c>
      <c r="T1573" s="14" t="s">
        <v>72</v>
      </c>
      <c r="U1573" s="14">
        <v>-255.67673768228934</v>
      </c>
      <c r="V1573">
        <v>3435</v>
      </c>
      <c r="W1573">
        <v>31.812585449218801</v>
      </c>
      <c r="X1573">
        <v>6.2445697553580102</v>
      </c>
      <c r="Y1573">
        <v>4.4121564812942697</v>
      </c>
      <c r="Z1573" s="31">
        <v>4.16192332810318</v>
      </c>
      <c r="AA1573">
        <v>7.5513406010812796</v>
      </c>
      <c r="AB1573">
        <v>0.05</v>
      </c>
      <c r="AC1573">
        <v>315853.870677981</v>
      </c>
      <c r="AD1573">
        <v>356384.89800133562</v>
      </c>
      <c r="AE1573">
        <v>1</v>
      </c>
      <c r="AF1573">
        <v>23479.40807353014</v>
      </c>
      <c r="AG1573">
        <v>145800.1717696437</v>
      </c>
    </row>
    <row r="1574" spans="2:33" hidden="1" x14ac:dyDescent="0.25">
      <c r="B1574">
        <v>28</v>
      </c>
      <c r="C1574" t="s">
        <v>61</v>
      </c>
      <c r="D1574" t="s">
        <v>33</v>
      </c>
      <c r="E1574" t="s">
        <v>68</v>
      </c>
      <c r="F1574">
        <v>86460</v>
      </c>
      <c r="G1574">
        <v>180757</v>
      </c>
      <c r="H1574">
        <v>7</v>
      </c>
      <c r="I1574" s="2">
        <v>15237</v>
      </c>
      <c r="J1574">
        <v>0.21120067272636739</v>
      </c>
      <c r="K1574">
        <v>521</v>
      </c>
      <c r="L1574">
        <v>495017</v>
      </c>
      <c r="M1574">
        <v>124544</v>
      </c>
      <c r="N1574">
        <v>195662</v>
      </c>
      <c r="O1574" s="43">
        <v>12111960.472200001</v>
      </c>
      <c r="P1574" s="14">
        <f t="shared" si="74"/>
        <v>6340313.7957600011</v>
      </c>
      <c r="Q1574" s="14" t="str">
        <f t="shared" si="72"/>
        <v/>
      </c>
      <c r="R1574" s="14" t="str">
        <f t="shared" si="72"/>
        <v/>
      </c>
      <c r="S1574" s="14" t="str">
        <f t="shared" si="73"/>
        <v/>
      </c>
      <c r="T1574" s="14" t="s">
        <v>72</v>
      </c>
      <c r="U1574" s="14">
        <v>794.90453975191974</v>
      </c>
      <c r="V1574">
        <v>3435</v>
      </c>
      <c r="W1574">
        <v>34.183953857421898</v>
      </c>
      <c r="X1574">
        <v>7.6029424467642999</v>
      </c>
      <c r="Y1574">
        <v>4.9664283752644396</v>
      </c>
      <c r="Z1574" s="31">
        <v>4.3199349206535897</v>
      </c>
      <c r="AA1574">
        <v>8.0740250279234598</v>
      </c>
      <c r="AB1574">
        <v>0.05</v>
      </c>
      <c r="AC1574">
        <v>315853.870677981</v>
      </c>
      <c r="AD1574">
        <v>356384.89800133562</v>
      </c>
      <c r="AE1574">
        <v>1</v>
      </c>
      <c r="AF1574">
        <v>23479.40807353014</v>
      </c>
      <c r="AG1574">
        <v>145800.1717696437</v>
      </c>
    </row>
    <row r="1575" spans="2:33" hidden="1" x14ac:dyDescent="0.25">
      <c r="B1575">
        <v>28</v>
      </c>
      <c r="C1575" t="s">
        <v>61</v>
      </c>
      <c r="D1575" t="s">
        <v>33</v>
      </c>
      <c r="E1575" t="s">
        <v>68</v>
      </c>
      <c r="F1575">
        <v>87076</v>
      </c>
      <c r="G1575">
        <v>180757</v>
      </c>
      <c r="H1575">
        <v>8</v>
      </c>
      <c r="I1575" s="2">
        <v>8511</v>
      </c>
      <c r="J1575">
        <v>0.10905248482769681</v>
      </c>
      <c r="K1575">
        <v>521</v>
      </c>
      <c r="L1575">
        <v>495017</v>
      </c>
      <c r="M1575">
        <v>124544</v>
      </c>
      <c r="N1575">
        <v>195662</v>
      </c>
      <c r="O1575" s="43">
        <v>14668557.948000001</v>
      </c>
      <c r="P1575" s="14">
        <f t="shared" si="74"/>
        <v>2556597.4758000001</v>
      </c>
      <c r="Q1575" s="14" t="str">
        <f t="shared" si="72"/>
        <v/>
      </c>
      <c r="R1575" s="14" t="str">
        <f t="shared" si="72"/>
        <v/>
      </c>
      <c r="S1575" s="14" t="str">
        <f t="shared" si="73"/>
        <v/>
      </c>
      <c r="T1575" s="14" t="s">
        <v>72</v>
      </c>
      <c r="U1575" s="14">
        <v>300.38743694042984</v>
      </c>
      <c r="V1575">
        <v>3435</v>
      </c>
      <c r="W1575">
        <v>33.132073974609398</v>
      </c>
      <c r="X1575">
        <v>11.871002215057301</v>
      </c>
      <c r="Y1575">
        <v>4.4666887725293902</v>
      </c>
      <c r="Z1575" s="31">
        <v>3.8512542730461501</v>
      </c>
      <c r="AA1575">
        <v>7.6531511620189097</v>
      </c>
      <c r="AB1575">
        <v>0.05</v>
      </c>
      <c r="AC1575">
        <v>315853.870677981</v>
      </c>
      <c r="AD1575">
        <v>356384.89800133562</v>
      </c>
      <c r="AE1575">
        <v>1</v>
      </c>
      <c r="AF1575">
        <v>23479.40807353014</v>
      </c>
      <c r="AG1575">
        <v>145800.1717696437</v>
      </c>
    </row>
    <row r="1576" spans="2:33" hidden="1" x14ac:dyDescent="0.25">
      <c r="B1576">
        <v>28</v>
      </c>
      <c r="C1576" t="s">
        <v>61</v>
      </c>
      <c r="D1576" t="s">
        <v>33</v>
      </c>
      <c r="E1576" t="s">
        <v>68</v>
      </c>
      <c r="F1576">
        <v>88155</v>
      </c>
      <c r="G1576">
        <v>180757</v>
      </c>
      <c r="H1576">
        <v>9</v>
      </c>
      <c r="I1576" s="2">
        <v>4509</v>
      </c>
      <c r="J1576">
        <v>0.19101888170305989</v>
      </c>
      <c r="K1576">
        <v>521</v>
      </c>
      <c r="L1576">
        <v>495017</v>
      </c>
      <c r="M1576">
        <v>124544</v>
      </c>
      <c r="N1576">
        <v>195662</v>
      </c>
      <c r="O1576" s="43">
        <v>15636995.088479999</v>
      </c>
      <c r="P1576" s="14">
        <f t="shared" si="74"/>
        <v>968437.14047999866</v>
      </c>
      <c r="Q1576" s="14" t="str">
        <f t="shared" si="72"/>
        <v/>
      </c>
      <c r="R1576" s="14" t="str">
        <f t="shared" si="72"/>
        <v/>
      </c>
      <c r="S1576" s="14" t="str">
        <f t="shared" si="73"/>
        <v/>
      </c>
      <c r="T1576" s="14" t="s">
        <v>72</v>
      </c>
      <c r="U1576" s="14">
        <v>214.7786960479043</v>
      </c>
      <c r="V1576">
        <v>3435</v>
      </c>
      <c r="W1576">
        <v>35.524041748046898</v>
      </c>
      <c r="X1576">
        <v>4.2328449995753896</v>
      </c>
      <c r="Y1576">
        <v>5.5437726591838299</v>
      </c>
      <c r="Z1576" s="31">
        <v>3.5733042090236502</v>
      </c>
      <c r="AA1576">
        <v>3.9136715101688702</v>
      </c>
      <c r="AB1576">
        <v>0.05</v>
      </c>
      <c r="AC1576">
        <v>315853.870677981</v>
      </c>
      <c r="AD1576">
        <v>356384.89800133562</v>
      </c>
      <c r="AE1576">
        <v>1</v>
      </c>
      <c r="AF1576">
        <v>23479.40807353014</v>
      </c>
      <c r="AG1576">
        <v>145800.1717696437</v>
      </c>
    </row>
    <row r="1577" spans="2:33" hidden="1" x14ac:dyDescent="0.25">
      <c r="B1577">
        <v>28</v>
      </c>
      <c r="C1577" t="s">
        <v>61</v>
      </c>
      <c r="D1577" t="s">
        <v>33</v>
      </c>
      <c r="E1577" t="s">
        <v>68</v>
      </c>
      <c r="F1577">
        <v>91227</v>
      </c>
      <c r="G1577">
        <v>180757</v>
      </c>
      <c r="H1577">
        <v>10</v>
      </c>
      <c r="I1577" s="2">
        <v>1193</v>
      </c>
      <c r="J1577">
        <v>0.54384615810176096</v>
      </c>
      <c r="K1577">
        <v>521</v>
      </c>
      <c r="L1577">
        <v>495017</v>
      </c>
      <c r="M1577">
        <v>124544</v>
      </c>
      <c r="N1577">
        <v>195662</v>
      </c>
      <c r="O1577" s="43">
        <v>17209182.30804</v>
      </c>
      <c r="P1577" s="14">
        <f t="shared" si="74"/>
        <v>1572187.219560001</v>
      </c>
      <c r="Q1577" s="14" t="str">
        <f t="shared" si="72"/>
        <v/>
      </c>
      <c r="R1577" s="14" t="str">
        <f t="shared" si="72"/>
        <v/>
      </c>
      <c r="S1577" s="14" t="str">
        <f t="shared" si="73"/>
        <v/>
      </c>
      <c r="T1577" s="14" t="s">
        <v>72</v>
      </c>
      <c r="U1577" s="14">
        <v>1317.8434363453487</v>
      </c>
      <c r="V1577">
        <v>3435</v>
      </c>
      <c r="W1577">
        <v>38.735070800781301</v>
      </c>
      <c r="X1577">
        <v>3.4296100288598299</v>
      </c>
      <c r="Y1577">
        <v>6.6572620602460999</v>
      </c>
      <c r="Z1577" s="31">
        <v>4.0530710620802601</v>
      </c>
      <c r="AA1577">
        <v>6.7341792973541503</v>
      </c>
      <c r="AB1577">
        <v>0.05</v>
      </c>
      <c r="AC1577">
        <v>315853.870677981</v>
      </c>
      <c r="AD1577">
        <v>356384.89800133562</v>
      </c>
      <c r="AE1577">
        <v>1</v>
      </c>
      <c r="AF1577">
        <v>23479.40807353014</v>
      </c>
      <c r="AG1577">
        <v>145800.1717696437</v>
      </c>
    </row>
    <row r="1578" spans="2:33" hidden="1" x14ac:dyDescent="0.25">
      <c r="B1578">
        <v>28</v>
      </c>
      <c r="C1578" t="s">
        <v>61</v>
      </c>
      <c r="D1578" t="s">
        <v>33</v>
      </c>
      <c r="E1578" t="s">
        <v>68</v>
      </c>
      <c r="F1578">
        <v>123078</v>
      </c>
      <c r="G1578">
        <v>180757</v>
      </c>
      <c r="H1578">
        <v>11</v>
      </c>
      <c r="I1578" s="2">
        <v>616</v>
      </c>
      <c r="J1578">
        <v>5.6386861919593709</v>
      </c>
      <c r="K1578">
        <v>521</v>
      </c>
      <c r="L1578">
        <v>495017</v>
      </c>
      <c r="M1578">
        <v>124544</v>
      </c>
      <c r="N1578">
        <v>195662</v>
      </c>
      <c r="O1578" s="43">
        <v>18579069.779040001</v>
      </c>
      <c r="P1578" s="14">
        <f t="shared" si="74"/>
        <v>1369887.4710000008</v>
      </c>
      <c r="Q1578" s="14" t="str">
        <f t="shared" si="72"/>
        <v/>
      </c>
      <c r="R1578" s="14" t="str">
        <f t="shared" si="72"/>
        <v/>
      </c>
      <c r="S1578" s="14" t="str">
        <f t="shared" si="73"/>
        <v/>
      </c>
      <c r="T1578" s="14" t="s">
        <v>72</v>
      </c>
      <c r="U1578" s="14">
        <v>2223.8432970779236</v>
      </c>
      <c r="V1578">
        <v>3435</v>
      </c>
      <c r="W1578">
        <v>40.382135009765598</v>
      </c>
      <c r="X1578">
        <v>4.5865404250416599</v>
      </c>
      <c r="Y1578">
        <v>7.1826368713231901</v>
      </c>
      <c r="Z1578" s="31">
        <v>5.1952652127983896</v>
      </c>
      <c r="AA1578">
        <v>3.0117231975391499</v>
      </c>
      <c r="AB1578">
        <v>0.05</v>
      </c>
      <c r="AC1578">
        <v>315853.870677981</v>
      </c>
      <c r="AD1578">
        <v>356384.89800133562</v>
      </c>
      <c r="AE1578">
        <v>1</v>
      </c>
      <c r="AF1578">
        <v>23479.40807353014</v>
      </c>
      <c r="AG1578">
        <v>145800.1717696437</v>
      </c>
    </row>
    <row r="1579" spans="2:33" hidden="1" x14ac:dyDescent="0.25">
      <c r="B1579">
        <v>28</v>
      </c>
      <c r="C1579" t="s">
        <v>61</v>
      </c>
      <c r="D1579" t="s">
        <v>33</v>
      </c>
      <c r="E1579" t="s">
        <v>68</v>
      </c>
      <c r="F1579">
        <v>147160</v>
      </c>
      <c r="G1579">
        <v>180757</v>
      </c>
      <c r="H1579">
        <v>12</v>
      </c>
      <c r="I1579" s="2">
        <v>1079</v>
      </c>
      <c r="J1579">
        <v>4.2632263204191263</v>
      </c>
      <c r="K1579">
        <v>521</v>
      </c>
      <c r="L1579">
        <v>495017</v>
      </c>
      <c r="M1579">
        <v>124544</v>
      </c>
      <c r="N1579">
        <v>195662</v>
      </c>
      <c r="O1579" s="43">
        <v>20059920.990359999</v>
      </c>
      <c r="P1579" s="14">
        <f t="shared" si="74"/>
        <v>1480851.2113199979</v>
      </c>
      <c r="Q1579" s="14" t="str">
        <f t="shared" si="72"/>
        <v/>
      </c>
      <c r="R1579" s="14" t="str">
        <f t="shared" si="72"/>
        <v/>
      </c>
      <c r="S1579" s="14" t="str">
        <f t="shared" si="73"/>
        <v/>
      </c>
      <c r="T1579" s="14" t="s">
        <v>72</v>
      </c>
      <c r="U1579" s="14">
        <v>1372.4292968674679</v>
      </c>
      <c r="V1579">
        <v>3435</v>
      </c>
      <c r="W1579">
        <v>40.524194335937501</v>
      </c>
      <c r="X1579">
        <v>6.8978643541264004</v>
      </c>
      <c r="Y1579">
        <v>7.0612370634972699</v>
      </c>
      <c r="Z1579" s="31">
        <v>5.2259349222142797</v>
      </c>
      <c r="AA1579">
        <v>2.4470055566395099</v>
      </c>
      <c r="AB1579">
        <v>0.05</v>
      </c>
      <c r="AC1579">
        <v>315853.870677981</v>
      </c>
      <c r="AD1579">
        <v>356384.89800133562</v>
      </c>
      <c r="AE1579">
        <v>1</v>
      </c>
      <c r="AF1579">
        <v>23479.40807353014</v>
      </c>
      <c r="AG1579">
        <v>145800.1717696437</v>
      </c>
    </row>
    <row r="1580" spans="2:33" hidden="1" x14ac:dyDescent="0.25">
      <c r="B1580">
        <v>28</v>
      </c>
      <c r="C1580" t="s">
        <v>61</v>
      </c>
      <c r="D1580" t="s">
        <v>33</v>
      </c>
      <c r="E1580" t="s">
        <v>68</v>
      </c>
      <c r="F1580">
        <v>171241</v>
      </c>
      <c r="G1580">
        <v>180757</v>
      </c>
      <c r="H1580">
        <v>13</v>
      </c>
      <c r="I1580" s="2">
        <v>3072</v>
      </c>
      <c r="J1580">
        <v>4.2632263204191263</v>
      </c>
      <c r="K1580">
        <v>521</v>
      </c>
      <c r="L1580">
        <v>495017</v>
      </c>
      <c r="M1580">
        <v>124544</v>
      </c>
      <c r="N1580">
        <v>195662</v>
      </c>
      <c r="O1580" s="43">
        <v>21658972.806000002</v>
      </c>
      <c r="P1580" s="14">
        <f t="shared" si="74"/>
        <v>1599051.8156400025</v>
      </c>
      <c r="Q1580" s="14" t="str">
        <f t="shared" si="72"/>
        <v/>
      </c>
      <c r="R1580" s="14" t="str">
        <f t="shared" si="72"/>
        <v/>
      </c>
      <c r="S1580" s="14" t="str">
        <f t="shared" si="73"/>
        <v/>
      </c>
      <c r="T1580" s="14" t="s">
        <v>72</v>
      </c>
      <c r="U1580" s="14">
        <v>520.52467957031206</v>
      </c>
      <c r="V1580">
        <v>3435</v>
      </c>
      <c r="W1580">
        <v>42.228051757812501</v>
      </c>
      <c r="X1580">
        <v>8.7634056285252697</v>
      </c>
      <c r="Y1580">
        <v>7.5698251207643397</v>
      </c>
      <c r="Z1580" s="31">
        <v>1.4989503943636699</v>
      </c>
      <c r="AA1580">
        <v>5.5876631173770397</v>
      </c>
      <c r="AB1580">
        <v>0.05</v>
      </c>
      <c r="AC1580">
        <v>315853.870677981</v>
      </c>
      <c r="AD1580">
        <v>356384.89800133562</v>
      </c>
      <c r="AE1580">
        <v>1</v>
      </c>
      <c r="AF1580">
        <v>23479.40807353014</v>
      </c>
      <c r="AG1580">
        <v>145800.1717696437</v>
      </c>
    </row>
    <row r="1581" spans="2:33" hidden="1" x14ac:dyDescent="0.25">
      <c r="B1581">
        <v>28</v>
      </c>
      <c r="C1581" t="s">
        <v>61</v>
      </c>
      <c r="D1581" t="s">
        <v>33</v>
      </c>
      <c r="E1581" t="s">
        <v>68</v>
      </c>
      <c r="F1581">
        <v>176122</v>
      </c>
      <c r="G1581">
        <v>180757</v>
      </c>
      <c r="H1581">
        <v>14</v>
      </c>
      <c r="I1581" s="2">
        <v>31851</v>
      </c>
      <c r="J1581">
        <v>0.86409931565582521</v>
      </c>
      <c r="K1581">
        <v>521</v>
      </c>
      <c r="L1581">
        <v>495017</v>
      </c>
      <c r="M1581">
        <v>124544</v>
      </c>
      <c r="N1581">
        <v>195662</v>
      </c>
      <c r="O1581" s="43">
        <v>23208103.829160001</v>
      </c>
      <c r="P1581" s="14">
        <f t="shared" si="74"/>
        <v>1549131.0231599994</v>
      </c>
      <c r="Q1581" s="14" t="str">
        <f t="shared" si="72"/>
        <v/>
      </c>
      <c r="R1581" s="14" t="str">
        <f t="shared" si="72"/>
        <v/>
      </c>
      <c r="S1581" s="14" t="str">
        <f t="shared" si="73"/>
        <v/>
      </c>
      <c r="T1581" s="14" t="s">
        <v>72</v>
      </c>
      <c r="U1581" s="14">
        <v>48.636809618536411</v>
      </c>
      <c r="V1581">
        <v>3435</v>
      </c>
      <c r="W1581">
        <v>40.474420166015598</v>
      </c>
      <c r="X1581">
        <v>11.114630947388299</v>
      </c>
      <c r="Y1581">
        <v>6.7225920440574898</v>
      </c>
      <c r="Z1581" s="31">
        <v>1.9548452475137399</v>
      </c>
      <c r="AA1581">
        <v>3.8536917615816701</v>
      </c>
      <c r="AB1581">
        <v>0.05</v>
      </c>
      <c r="AC1581">
        <v>315853.870677981</v>
      </c>
      <c r="AD1581">
        <v>356384.89800133562</v>
      </c>
      <c r="AE1581">
        <v>1</v>
      </c>
      <c r="AF1581">
        <v>23479.40807353014</v>
      </c>
      <c r="AG1581">
        <v>145800.1717696437</v>
      </c>
    </row>
    <row r="1582" spans="2:33" hidden="1" x14ac:dyDescent="0.25">
      <c r="B1582">
        <v>28</v>
      </c>
      <c r="C1582" t="s">
        <v>61</v>
      </c>
      <c r="D1582" t="s">
        <v>33</v>
      </c>
      <c r="E1582" t="s">
        <v>68</v>
      </c>
      <c r="F1582">
        <v>179678</v>
      </c>
      <c r="G1582">
        <v>180757</v>
      </c>
      <c r="H1582">
        <v>15</v>
      </c>
      <c r="I1582" s="2">
        <v>24081.5</v>
      </c>
      <c r="J1582">
        <v>0.62953025332352275</v>
      </c>
      <c r="K1582">
        <v>521</v>
      </c>
      <c r="L1582">
        <v>495017</v>
      </c>
      <c r="M1582">
        <v>124544</v>
      </c>
      <c r="N1582">
        <v>195662</v>
      </c>
      <c r="O1582" s="43">
        <v>24744643.83972</v>
      </c>
      <c r="P1582" s="14">
        <f t="shared" si="74"/>
        <v>1536540.0105599985</v>
      </c>
      <c r="Q1582" s="14" t="str">
        <f t="shared" si="72"/>
        <v/>
      </c>
      <c r="R1582" s="14" t="str">
        <f t="shared" si="72"/>
        <v/>
      </c>
      <c r="S1582" s="14" t="str">
        <f t="shared" si="73"/>
        <v/>
      </c>
      <c r="T1582" s="14" t="s">
        <v>72</v>
      </c>
      <c r="U1582" s="14">
        <v>63.805826487552622</v>
      </c>
      <c r="V1582">
        <v>3435</v>
      </c>
      <c r="W1582">
        <v>41.727105712890598</v>
      </c>
      <c r="X1582">
        <v>8.3624770117371501</v>
      </c>
      <c r="Y1582">
        <v>7.40582003062294</v>
      </c>
      <c r="Z1582" s="31">
        <v>1.41381416631428</v>
      </c>
      <c r="AA1582">
        <v>2.5328345906609502</v>
      </c>
      <c r="AB1582">
        <v>0.05</v>
      </c>
      <c r="AC1582">
        <v>315853.870677981</v>
      </c>
      <c r="AD1582">
        <v>356384.89800133562</v>
      </c>
      <c r="AE1582">
        <v>1</v>
      </c>
      <c r="AF1582">
        <v>23479.40807353014</v>
      </c>
      <c r="AG1582">
        <v>145800.1717696437</v>
      </c>
    </row>
    <row r="1583" spans="2:33" hidden="1" x14ac:dyDescent="0.25">
      <c r="B1583">
        <v>28</v>
      </c>
      <c r="C1583" t="s">
        <v>61</v>
      </c>
      <c r="D1583" t="s">
        <v>33</v>
      </c>
      <c r="E1583" t="s">
        <v>68</v>
      </c>
      <c r="F1583">
        <v>180566</v>
      </c>
      <c r="G1583">
        <v>180757</v>
      </c>
      <c r="H1583">
        <v>16</v>
      </c>
      <c r="I1583" s="2">
        <v>24081.5</v>
      </c>
      <c r="J1583">
        <v>0.15720553007629029</v>
      </c>
      <c r="K1583">
        <v>521</v>
      </c>
      <c r="L1583">
        <v>495017</v>
      </c>
      <c r="M1583">
        <v>124544</v>
      </c>
      <c r="N1583">
        <v>195662</v>
      </c>
      <c r="O1583" s="43">
        <v>26152750.998720001</v>
      </c>
      <c r="P1583" s="14">
        <f t="shared" si="74"/>
        <v>1408107.1590000018</v>
      </c>
      <c r="Q1583" s="14" t="str">
        <f t="shared" si="72"/>
        <v/>
      </c>
      <c r="R1583" s="14" t="str">
        <f t="shared" si="72"/>
        <v/>
      </c>
      <c r="S1583" s="14" t="str">
        <f t="shared" si="73"/>
        <v/>
      </c>
      <c r="T1583" s="14" t="s">
        <v>72</v>
      </c>
      <c r="U1583" s="14">
        <v>58.47256852770807</v>
      </c>
      <c r="V1583">
        <v>3435</v>
      </c>
      <c r="W1583">
        <v>41.753778076171898</v>
      </c>
      <c r="X1583">
        <v>8.1779813511747701</v>
      </c>
      <c r="Y1583">
        <v>7.4312026557574802</v>
      </c>
      <c r="Z1583" s="31">
        <v>3.20937430840323</v>
      </c>
      <c r="AA1583">
        <v>1.31186966620391</v>
      </c>
      <c r="AB1583">
        <v>0.05</v>
      </c>
      <c r="AC1583">
        <v>315853.870677981</v>
      </c>
      <c r="AD1583">
        <v>356384.89800133562</v>
      </c>
      <c r="AE1583">
        <v>1</v>
      </c>
      <c r="AF1583">
        <v>23479.40807353014</v>
      </c>
      <c r="AG1583">
        <v>145800.1717696437</v>
      </c>
    </row>
    <row r="1584" spans="2:33" hidden="1" x14ac:dyDescent="0.25">
      <c r="B1584">
        <v>28</v>
      </c>
      <c r="C1584" t="s">
        <v>61</v>
      </c>
      <c r="D1584" t="s">
        <v>33</v>
      </c>
      <c r="E1584" t="s">
        <v>68</v>
      </c>
      <c r="F1584">
        <v>180685</v>
      </c>
      <c r="G1584">
        <v>180757</v>
      </c>
      <c r="H1584">
        <v>17</v>
      </c>
      <c r="I1584" s="2">
        <v>4881</v>
      </c>
      <c r="J1584">
        <v>2.1066957296259618E-2</v>
      </c>
      <c r="K1584">
        <v>521</v>
      </c>
      <c r="L1584">
        <v>495017</v>
      </c>
      <c r="M1584">
        <v>124544</v>
      </c>
      <c r="N1584">
        <v>195662</v>
      </c>
      <c r="O1584" s="43">
        <v>27477468</v>
      </c>
      <c r="P1584" s="14">
        <f t="shared" si="74"/>
        <v>1324717.0012799986</v>
      </c>
      <c r="Q1584" s="14" t="str">
        <f t="shared" si="72"/>
        <v/>
      </c>
      <c r="R1584" s="14" t="str">
        <f t="shared" si="72"/>
        <v/>
      </c>
      <c r="S1584" s="14" t="str">
        <f t="shared" si="73"/>
        <v/>
      </c>
      <c r="T1584" s="14" t="s">
        <v>72</v>
      </c>
      <c r="U1584" s="14">
        <v>271.4027865765209</v>
      </c>
      <c r="V1584">
        <v>3435</v>
      </c>
      <c r="W1584">
        <v>40.930627441406301</v>
      </c>
      <c r="X1584">
        <v>9.2852944250440892</v>
      </c>
      <c r="Y1584">
        <v>7.0293278643060697</v>
      </c>
      <c r="Z1584" s="31">
        <v>5.1772575092495599</v>
      </c>
      <c r="AA1584">
        <v>7.1207333563704598</v>
      </c>
      <c r="AB1584">
        <v>0.05</v>
      </c>
      <c r="AC1584">
        <v>315853.870677981</v>
      </c>
      <c r="AD1584">
        <v>356384.89800133562</v>
      </c>
      <c r="AE1584">
        <v>1</v>
      </c>
      <c r="AF1584">
        <v>23479.40807353014</v>
      </c>
      <c r="AG1584">
        <v>145800.1717696437</v>
      </c>
    </row>
    <row r="1585" spans="1:33" hidden="1" x14ac:dyDescent="0.25">
      <c r="B1585">
        <v>28</v>
      </c>
      <c r="C1585" t="s">
        <v>61</v>
      </c>
      <c r="D1585" t="s">
        <v>33</v>
      </c>
      <c r="E1585" t="s">
        <v>68</v>
      </c>
      <c r="F1585">
        <v>180725</v>
      </c>
      <c r="G1585">
        <v>180757</v>
      </c>
      <c r="H1585">
        <v>18</v>
      </c>
      <c r="I1585" s="2">
        <v>3556</v>
      </c>
      <c r="J1585">
        <v>7.0813301836166794E-3</v>
      </c>
      <c r="K1585">
        <v>521</v>
      </c>
      <c r="L1585">
        <v>495017</v>
      </c>
      <c r="M1585">
        <v>124544</v>
      </c>
      <c r="N1585">
        <v>195662</v>
      </c>
      <c r="O1585" s="43">
        <v>28834380</v>
      </c>
      <c r="P1585" s="14">
        <f t="shared" si="74"/>
        <v>1356912</v>
      </c>
      <c r="Q1585" s="14" t="str">
        <f t="shared" si="72"/>
        <v/>
      </c>
      <c r="R1585" s="14" t="str">
        <f t="shared" si="72"/>
        <v/>
      </c>
      <c r="S1585" s="14" t="str">
        <f t="shared" si="73"/>
        <v/>
      </c>
      <c r="T1585" s="14" t="s">
        <v>72</v>
      </c>
      <c r="U1585" s="14">
        <v>381.58380202474689</v>
      </c>
      <c r="V1585">
        <v>3435</v>
      </c>
      <c r="W1585">
        <v>39.475152587890598</v>
      </c>
      <c r="X1585">
        <v>11.3074251447362</v>
      </c>
      <c r="Y1585">
        <v>6.3602597162448999</v>
      </c>
      <c r="Z1585" s="31">
        <v>6.7962200841483202</v>
      </c>
      <c r="AA1585">
        <v>10.9774401248128</v>
      </c>
      <c r="AB1585">
        <v>0.05</v>
      </c>
      <c r="AC1585">
        <v>315853.870677981</v>
      </c>
      <c r="AD1585">
        <v>356384.89800133562</v>
      </c>
      <c r="AE1585">
        <v>1</v>
      </c>
      <c r="AF1585">
        <v>23479.40807353014</v>
      </c>
      <c r="AG1585">
        <v>145800.1717696437</v>
      </c>
    </row>
    <row r="1586" spans="1:33" hidden="1" x14ac:dyDescent="0.25">
      <c r="B1586">
        <v>28</v>
      </c>
      <c r="C1586" t="s">
        <v>61</v>
      </c>
      <c r="D1586" t="s">
        <v>33</v>
      </c>
      <c r="E1586" t="s">
        <v>68</v>
      </c>
      <c r="F1586">
        <v>180734</v>
      </c>
      <c r="G1586">
        <v>180757</v>
      </c>
      <c r="H1586">
        <v>19</v>
      </c>
      <c r="I1586" s="2">
        <v>888</v>
      </c>
      <c r="J1586">
        <v>1.5932992913137529E-3</v>
      </c>
      <c r="K1586">
        <v>521</v>
      </c>
      <c r="L1586">
        <v>495017</v>
      </c>
      <c r="M1586">
        <v>124544</v>
      </c>
      <c r="N1586">
        <v>195662</v>
      </c>
      <c r="O1586" s="43">
        <v>30191292</v>
      </c>
      <c r="P1586" s="14">
        <f t="shared" si="74"/>
        <v>1356912</v>
      </c>
      <c r="Q1586" s="14" t="str">
        <f t="shared" si="72"/>
        <v/>
      </c>
      <c r="R1586" s="14" t="str">
        <f t="shared" si="72"/>
        <v/>
      </c>
      <c r="S1586" s="14" t="str">
        <f t="shared" si="73"/>
        <v/>
      </c>
      <c r="T1586" s="14" t="s">
        <v>72</v>
      </c>
      <c r="U1586" s="14">
        <v>1528.0540540540539</v>
      </c>
      <c r="V1586">
        <v>3435</v>
      </c>
      <c r="W1586">
        <v>36.970361328125001</v>
      </c>
      <c r="X1586">
        <v>12.0944994563996</v>
      </c>
      <c r="Y1586">
        <v>5.5069413239538099</v>
      </c>
      <c r="Z1586" s="31">
        <v>5.4956208276936502</v>
      </c>
      <c r="AA1586">
        <v>9.7207063858537595</v>
      </c>
      <c r="AB1586">
        <v>0.05</v>
      </c>
      <c r="AC1586">
        <v>315853.870677981</v>
      </c>
      <c r="AD1586">
        <v>356384.89800133562</v>
      </c>
      <c r="AE1586">
        <v>1</v>
      </c>
      <c r="AF1586">
        <v>23479.40807353014</v>
      </c>
      <c r="AG1586">
        <v>145800.1717696437</v>
      </c>
    </row>
    <row r="1587" spans="1:33" hidden="1" x14ac:dyDescent="0.25">
      <c r="B1587">
        <v>28</v>
      </c>
      <c r="C1587" t="s">
        <v>61</v>
      </c>
      <c r="D1587" t="s">
        <v>33</v>
      </c>
      <c r="E1587" t="s">
        <v>68</v>
      </c>
      <c r="F1587">
        <v>180744</v>
      </c>
      <c r="G1587">
        <v>180757</v>
      </c>
      <c r="H1587">
        <v>20</v>
      </c>
      <c r="I1587" s="2">
        <v>119</v>
      </c>
      <c r="J1587">
        <v>1.7703325459041701E-3</v>
      </c>
      <c r="K1587">
        <v>521</v>
      </c>
      <c r="L1587">
        <v>495017</v>
      </c>
      <c r="M1587">
        <v>124544</v>
      </c>
      <c r="N1587">
        <v>195662</v>
      </c>
      <c r="O1587" s="43">
        <v>31322052</v>
      </c>
      <c r="P1587" s="14">
        <f t="shared" si="74"/>
        <v>1130760</v>
      </c>
      <c r="Q1587" s="14" t="str">
        <f t="shared" si="72"/>
        <v/>
      </c>
      <c r="R1587" s="14" t="str">
        <f t="shared" si="72"/>
        <v/>
      </c>
      <c r="S1587" s="14" t="str">
        <f t="shared" si="73"/>
        <v/>
      </c>
      <c r="T1587" s="14" t="s">
        <v>72</v>
      </c>
      <c r="U1587" s="14">
        <v>9502.1848739495799</v>
      </c>
      <c r="V1587">
        <v>3435</v>
      </c>
      <c r="W1587">
        <v>35.295190429687501</v>
      </c>
      <c r="X1587">
        <v>14.515275441289401</v>
      </c>
      <c r="Y1587">
        <v>4.8854665554626404</v>
      </c>
      <c r="Z1587" s="31">
        <v>5.4949308989281898</v>
      </c>
      <c r="AA1587">
        <v>3.8491679631154501</v>
      </c>
      <c r="AB1587">
        <v>0.05</v>
      </c>
      <c r="AC1587">
        <v>315853.870677981</v>
      </c>
      <c r="AD1587">
        <v>356384.89800133562</v>
      </c>
      <c r="AE1587">
        <v>1</v>
      </c>
      <c r="AF1587">
        <v>23479.40807353014</v>
      </c>
      <c r="AG1587">
        <v>145800.1717696437</v>
      </c>
    </row>
    <row r="1588" spans="1:33" hidden="1" x14ac:dyDescent="0.25">
      <c r="B1588">
        <v>28</v>
      </c>
      <c r="C1588" t="s">
        <v>61</v>
      </c>
      <c r="D1588" t="s">
        <v>33</v>
      </c>
      <c r="E1588" t="s">
        <v>68</v>
      </c>
      <c r="F1588">
        <v>180753</v>
      </c>
      <c r="G1588">
        <v>180757</v>
      </c>
      <c r="H1588">
        <v>21</v>
      </c>
      <c r="I1588" s="2">
        <v>40</v>
      </c>
      <c r="J1588">
        <v>1.5932992913137529E-3</v>
      </c>
      <c r="K1588">
        <v>521</v>
      </c>
      <c r="L1588">
        <v>495017</v>
      </c>
      <c r="M1588">
        <v>124544</v>
      </c>
      <c r="N1588">
        <v>195662</v>
      </c>
      <c r="O1588" s="43">
        <v>32339736</v>
      </c>
      <c r="P1588" s="14">
        <f t="shared" si="74"/>
        <v>1017684</v>
      </c>
      <c r="Q1588" s="14" t="str">
        <f t="shared" si="72"/>
        <v/>
      </c>
      <c r="R1588" s="14" t="str">
        <f t="shared" si="72"/>
        <v/>
      </c>
      <c r="S1588" s="14" t="str">
        <f t="shared" si="73"/>
        <v/>
      </c>
      <c r="T1588" s="14" t="s">
        <v>72</v>
      </c>
      <c r="U1588" s="14">
        <v>25442.1</v>
      </c>
      <c r="V1588">
        <v>3435</v>
      </c>
      <c r="W1588">
        <v>27.864404296875001</v>
      </c>
      <c r="X1588">
        <v>42.593573729792404</v>
      </c>
      <c r="Y1588">
        <v>2.1524421907582401</v>
      </c>
      <c r="Z1588" s="31">
        <v>3.4206062811360098</v>
      </c>
      <c r="AA1588">
        <v>11.185041267782401</v>
      </c>
      <c r="AB1588">
        <v>0.05</v>
      </c>
      <c r="AC1588">
        <v>315853.870677981</v>
      </c>
      <c r="AD1588">
        <v>356384.89800133562</v>
      </c>
      <c r="AE1588">
        <v>1</v>
      </c>
      <c r="AF1588">
        <v>23479.40807353014</v>
      </c>
      <c r="AG1588">
        <v>145800.1717696437</v>
      </c>
    </row>
    <row r="1589" spans="1:33" hidden="1" x14ac:dyDescent="0.25">
      <c r="B1589">
        <v>28</v>
      </c>
      <c r="C1589" t="s">
        <v>61</v>
      </c>
      <c r="D1589" t="s">
        <v>33</v>
      </c>
      <c r="E1589" t="s">
        <v>68</v>
      </c>
      <c r="F1589">
        <v>180755</v>
      </c>
      <c r="G1589">
        <v>180757</v>
      </c>
      <c r="H1589">
        <v>22</v>
      </c>
      <c r="I1589" s="2">
        <v>9</v>
      </c>
      <c r="J1589">
        <v>3.5406650918083388E-4</v>
      </c>
      <c r="K1589">
        <v>521</v>
      </c>
      <c r="L1589">
        <v>495017</v>
      </c>
      <c r="M1589">
        <v>124544</v>
      </c>
      <c r="N1589">
        <v>195662</v>
      </c>
      <c r="O1589" s="43">
        <v>33470496</v>
      </c>
      <c r="P1589" s="14">
        <f t="shared" si="74"/>
        <v>1130760</v>
      </c>
      <c r="Q1589" s="14" t="str">
        <f t="shared" si="72"/>
        <v/>
      </c>
      <c r="R1589" s="14" t="str">
        <f t="shared" si="72"/>
        <v/>
      </c>
      <c r="S1589" s="14" t="str">
        <f t="shared" si="73"/>
        <v/>
      </c>
      <c r="T1589" s="14" t="s">
        <v>72</v>
      </c>
      <c r="U1589" s="14">
        <v>125640</v>
      </c>
      <c r="V1589">
        <v>3435</v>
      </c>
      <c r="W1589">
        <v>33.375451660156301</v>
      </c>
      <c r="X1589">
        <v>27.061882526803</v>
      </c>
      <c r="Y1589">
        <v>3.7458592169771698</v>
      </c>
      <c r="Z1589" s="31">
        <v>4.1737424148442299</v>
      </c>
      <c r="AA1589">
        <v>3.4367647368491201</v>
      </c>
      <c r="AB1589">
        <v>0.05</v>
      </c>
      <c r="AC1589">
        <v>315853.870677981</v>
      </c>
      <c r="AD1589">
        <v>356384.89800133562</v>
      </c>
      <c r="AE1589">
        <v>1</v>
      </c>
      <c r="AF1589">
        <v>23479.40807353014</v>
      </c>
      <c r="AG1589">
        <v>145800.1717696437</v>
      </c>
    </row>
    <row r="1590" spans="1:33" hidden="1" x14ac:dyDescent="0.25">
      <c r="B1590">
        <v>28</v>
      </c>
      <c r="C1590" t="s">
        <v>61</v>
      </c>
      <c r="D1590" t="s">
        <v>33</v>
      </c>
      <c r="E1590" t="s">
        <v>68</v>
      </c>
      <c r="F1590">
        <v>180756</v>
      </c>
      <c r="G1590">
        <v>180757</v>
      </c>
      <c r="H1590">
        <v>23</v>
      </c>
      <c r="I1590" s="2">
        <v>10</v>
      </c>
      <c r="J1590">
        <v>1.77033254590417E-4</v>
      </c>
      <c r="K1590">
        <v>521</v>
      </c>
      <c r="L1590">
        <v>495017</v>
      </c>
      <c r="M1590">
        <v>124544</v>
      </c>
      <c r="N1590">
        <v>195662</v>
      </c>
      <c r="O1590" s="43">
        <v>34148952</v>
      </c>
      <c r="P1590" s="14">
        <f t="shared" si="74"/>
        <v>678456</v>
      </c>
      <c r="Q1590" s="14" t="str">
        <f t="shared" si="72"/>
        <v/>
      </c>
      <c r="R1590" s="14" t="str">
        <f t="shared" si="72"/>
        <v/>
      </c>
      <c r="S1590" s="14" t="str">
        <f t="shared" si="73"/>
        <v/>
      </c>
      <c r="T1590" s="14" t="s">
        <v>72</v>
      </c>
      <c r="U1590" s="14">
        <v>67845.600000000006</v>
      </c>
      <c r="V1590">
        <v>3435</v>
      </c>
      <c r="W1590">
        <v>35.086785888671898</v>
      </c>
      <c r="X1590">
        <v>15.1018823048777</v>
      </c>
      <c r="Y1590">
        <v>4.7964183324012302</v>
      </c>
      <c r="Z1590" s="31">
        <v>4.89227842454721</v>
      </c>
      <c r="AA1590">
        <v>6.2523838724261998</v>
      </c>
      <c r="AB1590">
        <v>0.05</v>
      </c>
      <c r="AC1590">
        <v>315853.870677981</v>
      </c>
      <c r="AD1590">
        <v>356384.89800133562</v>
      </c>
      <c r="AE1590">
        <v>1</v>
      </c>
      <c r="AF1590">
        <v>23479.40807353014</v>
      </c>
      <c r="AG1590">
        <v>145800.1717696437</v>
      </c>
    </row>
    <row r="1591" spans="1:33" hidden="1" x14ac:dyDescent="0.25">
      <c r="B1591">
        <v>28</v>
      </c>
      <c r="C1591" t="s">
        <v>61</v>
      </c>
      <c r="D1591" t="s">
        <v>33</v>
      </c>
      <c r="E1591" t="s">
        <v>68</v>
      </c>
      <c r="F1591">
        <v>180757</v>
      </c>
      <c r="G1591">
        <v>180757</v>
      </c>
      <c r="H1591">
        <v>24</v>
      </c>
      <c r="I1591" s="2">
        <v>9</v>
      </c>
      <c r="J1591">
        <v>1.77033254590417E-4</v>
      </c>
      <c r="K1591">
        <v>521</v>
      </c>
      <c r="L1591">
        <v>495017</v>
      </c>
      <c r="M1591">
        <v>124544</v>
      </c>
      <c r="N1591">
        <v>195662</v>
      </c>
      <c r="O1591" s="43">
        <v>35732016</v>
      </c>
      <c r="P1591" s="14">
        <f t="shared" si="74"/>
        <v>1583064</v>
      </c>
      <c r="Q1591" s="14" t="str">
        <f t="shared" si="72"/>
        <v/>
      </c>
      <c r="R1591" s="14" t="str">
        <f t="shared" si="72"/>
        <v/>
      </c>
      <c r="S1591" s="14" t="str">
        <f t="shared" si="73"/>
        <v/>
      </c>
      <c r="T1591" s="14" t="s">
        <v>72</v>
      </c>
      <c r="U1591" s="14">
        <v>175896</v>
      </c>
      <c r="V1591">
        <v>3435</v>
      </c>
      <c r="W1591">
        <v>36.020593261718801</v>
      </c>
      <c r="X1591">
        <v>11.261529276158701</v>
      </c>
      <c r="Y1591">
        <v>5.2781919132384401</v>
      </c>
      <c r="Z1591" s="31">
        <v>2.6436272207997402</v>
      </c>
      <c r="AA1591">
        <v>3.28119241757617</v>
      </c>
      <c r="AB1591">
        <v>0.05</v>
      </c>
      <c r="AC1591">
        <v>315853.870677981</v>
      </c>
      <c r="AD1591">
        <v>356384.89800133562</v>
      </c>
      <c r="AE1591">
        <v>1</v>
      </c>
      <c r="AF1591">
        <v>23479.40807353014</v>
      </c>
      <c r="AG1591">
        <v>145800.1717696437</v>
      </c>
    </row>
    <row r="1592" spans="1:33" hidden="1" x14ac:dyDescent="0.25">
      <c r="B1592">
        <v>28</v>
      </c>
      <c r="C1592" t="s">
        <v>61</v>
      </c>
      <c r="D1592" t="s">
        <v>33</v>
      </c>
      <c r="E1592" t="s">
        <v>68</v>
      </c>
      <c r="F1592">
        <v>180757</v>
      </c>
      <c r="G1592">
        <v>180757</v>
      </c>
      <c r="H1592">
        <v>25</v>
      </c>
      <c r="I1592" s="2">
        <v>2</v>
      </c>
      <c r="J1592">
        <v>0</v>
      </c>
      <c r="K1592">
        <v>521</v>
      </c>
      <c r="L1592">
        <v>495017</v>
      </c>
      <c r="M1592">
        <v>124544</v>
      </c>
      <c r="N1592">
        <v>195662</v>
      </c>
      <c r="O1592" s="43">
        <v>36410472</v>
      </c>
      <c r="P1592" s="14">
        <f t="shared" si="74"/>
        <v>678456</v>
      </c>
      <c r="Q1592" s="14" t="str">
        <f t="shared" si="72"/>
        <v/>
      </c>
      <c r="R1592" s="14" t="str">
        <f t="shared" si="72"/>
        <v/>
      </c>
      <c r="S1592" s="14" t="str">
        <f t="shared" si="73"/>
        <v/>
      </c>
      <c r="T1592" s="14" t="s">
        <v>72</v>
      </c>
      <c r="U1592" s="14">
        <v>339228</v>
      </c>
      <c r="V1592">
        <v>3435</v>
      </c>
      <c r="W1592">
        <v>37.527154541015598</v>
      </c>
      <c r="X1592">
        <v>10.860641170430799</v>
      </c>
      <c r="Y1592">
        <v>5.7559624803537801</v>
      </c>
      <c r="Z1592" s="31">
        <v>3.93389991882874</v>
      </c>
      <c r="AA1592">
        <v>6.8495447438168204</v>
      </c>
      <c r="AB1592">
        <v>0.05</v>
      </c>
      <c r="AC1592">
        <v>315853.870677981</v>
      </c>
      <c r="AD1592">
        <v>356384.89800133562</v>
      </c>
      <c r="AE1592">
        <v>1</v>
      </c>
      <c r="AF1592">
        <v>23479.40807353014</v>
      </c>
      <c r="AG1592">
        <v>145800.1717696437</v>
      </c>
    </row>
    <row r="1593" spans="1:33" hidden="1" x14ac:dyDescent="0.25">
      <c r="B1593">
        <v>28</v>
      </c>
      <c r="C1593" t="s">
        <v>61</v>
      </c>
      <c r="D1593" t="s">
        <v>33</v>
      </c>
      <c r="E1593" t="s">
        <v>68</v>
      </c>
      <c r="F1593">
        <v>180757</v>
      </c>
      <c r="G1593">
        <v>180757</v>
      </c>
      <c r="H1593">
        <v>26</v>
      </c>
      <c r="I1593" s="2">
        <v>1</v>
      </c>
      <c r="J1593">
        <v>0</v>
      </c>
      <c r="K1593">
        <v>521</v>
      </c>
      <c r="L1593">
        <v>495017</v>
      </c>
      <c r="M1593">
        <v>124544</v>
      </c>
      <c r="N1593">
        <v>195662</v>
      </c>
      <c r="O1593" s="43">
        <v>36862776</v>
      </c>
      <c r="P1593" s="14">
        <f t="shared" si="74"/>
        <v>452304</v>
      </c>
      <c r="Q1593" s="14" t="str">
        <f t="shared" si="72"/>
        <v/>
      </c>
      <c r="R1593" s="14" t="str">
        <f t="shared" si="72"/>
        <v/>
      </c>
      <c r="S1593" s="14" t="str">
        <f t="shared" si="73"/>
        <v/>
      </c>
      <c r="T1593" s="14" t="s">
        <v>72</v>
      </c>
      <c r="U1593" s="14">
        <v>452304</v>
      </c>
      <c r="V1593">
        <v>3435</v>
      </c>
      <c r="W1593">
        <v>34.984185791015598</v>
      </c>
      <c r="X1593">
        <v>18.926671469507699</v>
      </c>
      <c r="Y1593">
        <v>4.5539299103918403</v>
      </c>
      <c r="Z1593" s="31">
        <v>2.0406720617194201</v>
      </c>
      <c r="AA1593">
        <v>1.56470106134536</v>
      </c>
      <c r="AB1593">
        <v>0.05</v>
      </c>
      <c r="AC1593">
        <v>315853.870677981</v>
      </c>
      <c r="AD1593">
        <v>356384.89800133562</v>
      </c>
      <c r="AE1593">
        <v>1</v>
      </c>
      <c r="AF1593">
        <v>23479.40807353014</v>
      </c>
      <c r="AG1593">
        <v>145800.1717696437</v>
      </c>
    </row>
    <row r="1594" spans="1:33" hidden="1" x14ac:dyDescent="0.25">
      <c r="B1594">
        <v>28</v>
      </c>
      <c r="C1594" t="s">
        <v>61</v>
      </c>
      <c r="D1594" t="s">
        <v>33</v>
      </c>
      <c r="E1594" t="s">
        <v>68</v>
      </c>
      <c r="F1594">
        <v>180757</v>
      </c>
      <c r="G1594">
        <v>180757</v>
      </c>
      <c r="H1594">
        <v>27</v>
      </c>
      <c r="I1594" s="2">
        <v>1</v>
      </c>
      <c r="J1594">
        <v>0</v>
      </c>
      <c r="K1594">
        <v>521</v>
      </c>
      <c r="L1594">
        <v>495017</v>
      </c>
      <c r="M1594">
        <v>124544</v>
      </c>
      <c r="N1594">
        <v>195662</v>
      </c>
      <c r="O1594" s="43">
        <v>36862776</v>
      </c>
      <c r="P1594" s="14">
        <f t="shared" si="74"/>
        <v>0</v>
      </c>
      <c r="Q1594" s="14" t="str">
        <f t="shared" si="72"/>
        <v/>
      </c>
      <c r="R1594" s="14" t="str">
        <f t="shared" si="72"/>
        <v/>
      </c>
      <c r="S1594" s="14" t="str">
        <f t="shared" si="73"/>
        <v/>
      </c>
      <c r="T1594" s="14" t="s">
        <v>72</v>
      </c>
      <c r="U1594" s="14">
        <v>0</v>
      </c>
      <c r="V1594">
        <v>3435</v>
      </c>
      <c r="W1594">
        <v>34.492395019531301</v>
      </c>
      <c r="X1594">
        <v>18.810248126345499</v>
      </c>
      <c r="Y1594">
        <v>4.4380905256771701</v>
      </c>
      <c r="Z1594" s="31">
        <v>4.0018992411365897</v>
      </c>
      <c r="AA1594">
        <v>3.4565673263603398</v>
      </c>
      <c r="AB1594">
        <v>0.05</v>
      </c>
      <c r="AC1594">
        <v>315853.870677981</v>
      </c>
      <c r="AD1594">
        <v>356384.89800133562</v>
      </c>
      <c r="AE1594">
        <v>1</v>
      </c>
      <c r="AF1594">
        <v>23479.40807353014</v>
      </c>
      <c r="AG1594">
        <v>145800.1717696437</v>
      </c>
    </row>
    <row r="1595" spans="1:33" hidden="1" x14ac:dyDescent="0.25">
      <c r="B1595">
        <v>28</v>
      </c>
      <c r="C1595" t="s">
        <v>61</v>
      </c>
      <c r="D1595" t="s">
        <v>33</v>
      </c>
      <c r="E1595" t="s">
        <v>68</v>
      </c>
      <c r="F1595">
        <v>180757</v>
      </c>
      <c r="G1595">
        <v>180757</v>
      </c>
      <c r="H1595">
        <v>28</v>
      </c>
      <c r="I1595" s="2">
        <v>0</v>
      </c>
      <c r="J1595">
        <v>0</v>
      </c>
      <c r="K1595">
        <v>521</v>
      </c>
      <c r="L1595">
        <v>495017</v>
      </c>
      <c r="M1595">
        <v>124544</v>
      </c>
      <c r="N1595">
        <v>195662</v>
      </c>
      <c r="O1595" s="43">
        <v>39350448</v>
      </c>
      <c r="P1595" s="14">
        <f t="shared" si="74"/>
        <v>2487672</v>
      </c>
      <c r="Q1595" s="14" t="str">
        <f t="shared" si="72"/>
        <v/>
      </c>
      <c r="R1595" s="14" t="str">
        <f t="shared" si="72"/>
        <v/>
      </c>
      <c r="S1595" s="14" t="str">
        <f t="shared" si="73"/>
        <v/>
      </c>
      <c r="T1595" s="14" t="s">
        <v>72</v>
      </c>
      <c r="U1595" s="14">
        <v>0</v>
      </c>
      <c r="V1595">
        <v>3435</v>
      </c>
      <c r="W1595">
        <v>31.007165527343702</v>
      </c>
      <c r="X1595">
        <v>34.981276710784201</v>
      </c>
      <c r="Y1595">
        <v>2.9213392227362598</v>
      </c>
      <c r="Z1595" s="31">
        <v>3.0523068391939798</v>
      </c>
      <c r="AA1595">
        <v>3.3482795166639399</v>
      </c>
      <c r="AB1595">
        <v>0.05</v>
      </c>
      <c r="AC1595">
        <v>315853.870677981</v>
      </c>
      <c r="AD1595">
        <v>356384.89800133562</v>
      </c>
      <c r="AE1595">
        <v>1</v>
      </c>
      <c r="AF1595">
        <v>23479.40807353014</v>
      </c>
      <c r="AG1595">
        <v>145800.1717696437</v>
      </c>
    </row>
    <row r="1596" spans="1:33" hidden="1" x14ac:dyDescent="0.25">
      <c r="B1596">
        <v>28</v>
      </c>
      <c r="C1596" t="s">
        <v>61</v>
      </c>
      <c r="D1596" t="s">
        <v>33</v>
      </c>
      <c r="E1596" t="s">
        <v>68</v>
      </c>
      <c r="F1596">
        <v>180757</v>
      </c>
      <c r="G1596">
        <v>180757</v>
      </c>
      <c r="H1596">
        <v>29</v>
      </c>
      <c r="I1596" s="2">
        <v>0</v>
      </c>
      <c r="J1596">
        <v>0</v>
      </c>
      <c r="K1596">
        <v>521</v>
      </c>
      <c r="L1596">
        <v>495017</v>
      </c>
      <c r="M1596">
        <v>124544</v>
      </c>
      <c r="N1596">
        <v>195662</v>
      </c>
      <c r="O1596" s="43">
        <v>41159664</v>
      </c>
      <c r="P1596" s="14">
        <f t="shared" si="74"/>
        <v>1809216</v>
      </c>
      <c r="Q1596" s="14" t="str">
        <f t="shared" si="72"/>
        <v/>
      </c>
      <c r="R1596" s="14" t="str">
        <f t="shared" si="72"/>
        <v/>
      </c>
      <c r="S1596" s="14" t="str">
        <f t="shared" si="73"/>
        <v/>
      </c>
      <c r="T1596" s="14" t="s">
        <v>72</v>
      </c>
      <c r="U1596" s="14">
        <v>0</v>
      </c>
      <c r="V1596">
        <v>3435</v>
      </c>
      <c r="W1596">
        <v>33.604974365234398</v>
      </c>
      <c r="X1596">
        <v>27.7088646603559</v>
      </c>
      <c r="Y1596">
        <v>3.7604258290692401</v>
      </c>
      <c r="Z1596" s="31">
        <v>1.21852742749086</v>
      </c>
      <c r="AA1596">
        <v>3.1975385507023502</v>
      </c>
      <c r="AB1596">
        <v>0.05</v>
      </c>
      <c r="AC1596">
        <v>315853.870677981</v>
      </c>
      <c r="AD1596">
        <v>356384.89800133562</v>
      </c>
      <c r="AE1596">
        <v>1</v>
      </c>
      <c r="AF1596">
        <v>23479.40807353014</v>
      </c>
      <c r="AG1596">
        <v>145800.1717696437</v>
      </c>
    </row>
    <row r="1597" spans="1:33" hidden="1" x14ac:dyDescent="0.25">
      <c r="B1597">
        <v>28</v>
      </c>
      <c r="C1597" t="s">
        <v>61</v>
      </c>
      <c r="D1597" t="s">
        <v>33</v>
      </c>
      <c r="E1597" t="s">
        <v>68</v>
      </c>
      <c r="F1597">
        <v>180757</v>
      </c>
      <c r="G1597">
        <v>180757</v>
      </c>
      <c r="H1597">
        <v>30</v>
      </c>
      <c r="I1597" s="2">
        <v>0</v>
      </c>
      <c r="J1597">
        <v>0</v>
      </c>
      <c r="K1597">
        <v>521</v>
      </c>
      <c r="L1597">
        <v>495017</v>
      </c>
      <c r="M1597">
        <v>124544</v>
      </c>
      <c r="N1597">
        <v>195662</v>
      </c>
      <c r="O1597" s="43">
        <v>41159664</v>
      </c>
      <c r="P1597" s="14">
        <f t="shared" si="74"/>
        <v>0</v>
      </c>
      <c r="Q1597" s="14" t="str">
        <f t="shared" si="72"/>
        <v/>
      </c>
      <c r="R1597" s="14" t="str">
        <f t="shared" si="72"/>
        <v/>
      </c>
      <c r="S1597" s="14" t="str">
        <f t="shared" si="73"/>
        <v/>
      </c>
      <c r="T1597" s="14" t="s">
        <v>72</v>
      </c>
      <c r="U1597" s="14">
        <v>0</v>
      </c>
      <c r="V1597">
        <v>3435</v>
      </c>
      <c r="W1597">
        <v>26.928369140625001</v>
      </c>
      <c r="X1597">
        <v>63.689034574973697</v>
      </c>
      <c r="Y1597">
        <v>1.2884754094781801</v>
      </c>
      <c r="Z1597" s="31">
        <v>1.4261339780919</v>
      </c>
      <c r="AA1597">
        <v>5.2119872843429098</v>
      </c>
      <c r="AB1597">
        <v>0.05</v>
      </c>
      <c r="AC1597">
        <v>315853.870677981</v>
      </c>
      <c r="AD1597">
        <v>356384.89800133562</v>
      </c>
      <c r="AE1597">
        <v>1</v>
      </c>
      <c r="AF1597">
        <v>23479.40807353014</v>
      </c>
      <c r="AG1597">
        <v>145800.1717696437</v>
      </c>
    </row>
    <row r="1598" spans="1:33" hidden="1" x14ac:dyDescent="0.25">
      <c r="A1598" t="s">
        <v>100</v>
      </c>
      <c r="B1598">
        <v>29</v>
      </c>
      <c r="C1598" t="s">
        <v>62</v>
      </c>
      <c r="D1598" t="s">
        <v>59</v>
      </c>
      <c r="E1598" t="s">
        <v>68</v>
      </c>
      <c r="F1598">
        <v>102925</v>
      </c>
      <c r="G1598">
        <v>127430</v>
      </c>
      <c r="H1598">
        <v>1</v>
      </c>
      <c r="I1598" s="2">
        <v>0</v>
      </c>
      <c r="J1598">
        <v>6.4615867539999998</v>
      </c>
      <c r="K1598">
        <v>2205</v>
      </c>
      <c r="L1598">
        <v>7652</v>
      </c>
      <c r="M1598">
        <v>116316</v>
      </c>
      <c r="N1598">
        <v>178280</v>
      </c>
      <c r="O1598" s="43">
        <v>0</v>
      </c>
      <c r="P1598" s="14">
        <v>0</v>
      </c>
      <c r="Q1598" s="14" t="str">
        <f t="shared" si="72"/>
        <v/>
      </c>
      <c r="R1598" s="14" t="str">
        <f t="shared" si="72"/>
        <v/>
      </c>
      <c r="S1598" s="14" t="str">
        <f t="shared" si="73"/>
        <v/>
      </c>
      <c r="T1598" s="14" t="s">
        <v>72</v>
      </c>
      <c r="U1598" s="14">
        <v>0</v>
      </c>
      <c r="V1598">
        <v>2224</v>
      </c>
      <c r="W1598">
        <v>20.615197753906301</v>
      </c>
      <c r="X1598">
        <v>18.0981320945255</v>
      </c>
      <c r="Y1598">
        <v>1.99077896435607</v>
      </c>
      <c r="Z1598" s="31">
        <v>10.510041848157901</v>
      </c>
      <c r="AA1598">
        <v>19.568140566208399</v>
      </c>
      <c r="AB1598">
        <v>0.09</v>
      </c>
      <c r="AC1598">
        <v>341221.44035119697</v>
      </c>
      <c r="AD1598">
        <v>390459.69419387472</v>
      </c>
      <c r="AE1598">
        <v>1</v>
      </c>
      <c r="AF1598">
        <v>2565.0601128138919</v>
      </c>
      <c r="AG1598">
        <v>12406.08185403292</v>
      </c>
    </row>
    <row r="1599" spans="1:33" hidden="1" x14ac:dyDescent="0.25">
      <c r="B1599">
        <v>29</v>
      </c>
      <c r="C1599" t="s">
        <v>62</v>
      </c>
      <c r="D1599" t="s">
        <v>59</v>
      </c>
      <c r="E1599" t="s">
        <v>68</v>
      </c>
      <c r="F1599">
        <v>121818</v>
      </c>
      <c r="G1599">
        <v>127430</v>
      </c>
      <c r="H1599">
        <v>2</v>
      </c>
      <c r="I1599" s="2">
        <v>0</v>
      </c>
      <c r="J1599">
        <v>1.1860943260000001</v>
      </c>
      <c r="K1599">
        <v>2205</v>
      </c>
      <c r="L1599">
        <v>7652</v>
      </c>
      <c r="M1599">
        <v>116316</v>
      </c>
      <c r="N1599">
        <v>178280</v>
      </c>
      <c r="O1599" s="43">
        <v>686597.47200000007</v>
      </c>
      <c r="P1599" s="14">
        <f t="shared" si="74"/>
        <v>686597.47200000007</v>
      </c>
      <c r="Q1599" s="14" t="str">
        <f t="shared" si="72"/>
        <v/>
      </c>
      <c r="R1599" s="14" t="str">
        <f t="shared" si="72"/>
        <v/>
      </c>
      <c r="S1599" s="14" t="str">
        <f t="shared" si="73"/>
        <v/>
      </c>
      <c r="T1599" s="14" t="s">
        <v>72</v>
      </c>
      <c r="U1599" s="14">
        <v>0</v>
      </c>
      <c r="V1599">
        <v>2224</v>
      </c>
      <c r="W1599">
        <v>21.424615478515602</v>
      </c>
      <c r="X1599">
        <v>15.120984650222599</v>
      </c>
      <c r="Y1599">
        <v>2.1681871078147399</v>
      </c>
      <c r="Z1599" s="31">
        <v>2.8789128820402401</v>
      </c>
      <c r="AA1599">
        <v>11.5344848773002</v>
      </c>
      <c r="AB1599">
        <v>0.09</v>
      </c>
      <c r="AC1599">
        <v>341221.44035119697</v>
      </c>
      <c r="AD1599">
        <v>390459.69419387472</v>
      </c>
      <c r="AE1599">
        <v>1</v>
      </c>
      <c r="AF1599">
        <v>2565.0601128138919</v>
      </c>
      <c r="AG1599">
        <v>12406.08185403292</v>
      </c>
    </row>
    <row r="1600" spans="1:33" hidden="1" x14ac:dyDescent="0.25">
      <c r="B1600">
        <v>29</v>
      </c>
      <c r="C1600" t="s">
        <v>62</v>
      </c>
      <c r="D1600" t="s">
        <v>59</v>
      </c>
      <c r="E1600" t="s">
        <v>68</v>
      </c>
      <c r="F1600">
        <v>123706</v>
      </c>
      <c r="G1600">
        <v>127430</v>
      </c>
      <c r="H1600">
        <v>3</v>
      </c>
      <c r="I1600" s="2">
        <v>0</v>
      </c>
      <c r="J1600">
        <v>0.1185278192</v>
      </c>
      <c r="K1600">
        <v>2205</v>
      </c>
      <c r="L1600">
        <v>7652</v>
      </c>
      <c r="M1600">
        <v>116316</v>
      </c>
      <c r="N1600">
        <v>178280</v>
      </c>
      <c r="O1600" s="43">
        <v>915463.29600000009</v>
      </c>
      <c r="P1600" s="14">
        <f t="shared" si="74"/>
        <v>228865.82400000002</v>
      </c>
      <c r="Q1600" s="14" t="str">
        <f t="shared" si="72"/>
        <v/>
      </c>
      <c r="R1600" s="14" t="str">
        <f t="shared" si="72"/>
        <v/>
      </c>
      <c r="S1600" s="14" t="str">
        <f t="shared" si="73"/>
        <v/>
      </c>
      <c r="T1600" s="14" t="s">
        <v>72</v>
      </c>
      <c r="U1600" s="14">
        <v>0</v>
      </c>
      <c r="V1600">
        <v>2224</v>
      </c>
      <c r="W1600">
        <v>27.848779296875001</v>
      </c>
      <c r="X1600">
        <v>19.050412449440199</v>
      </c>
      <c r="Y1600">
        <v>3.0339159140958398</v>
      </c>
      <c r="Z1600" s="31">
        <v>2.6591038838897001</v>
      </c>
      <c r="AA1600">
        <v>2.6881325062423902</v>
      </c>
      <c r="AB1600">
        <v>0.09</v>
      </c>
      <c r="AC1600">
        <v>341221.44035119697</v>
      </c>
      <c r="AD1600">
        <v>390459.69419387472</v>
      </c>
      <c r="AE1600">
        <v>1</v>
      </c>
      <c r="AF1600">
        <v>2565.0601128138919</v>
      </c>
      <c r="AG1600">
        <v>12406.08185403292</v>
      </c>
    </row>
    <row r="1601" spans="2:33" hidden="1" x14ac:dyDescent="0.25">
      <c r="B1601">
        <v>29</v>
      </c>
      <c r="C1601" t="s">
        <v>62</v>
      </c>
      <c r="D1601" t="s">
        <v>59</v>
      </c>
      <c r="E1601" t="s">
        <v>68</v>
      </c>
      <c r="F1601">
        <v>123893</v>
      </c>
      <c r="G1601">
        <v>127430</v>
      </c>
      <c r="H1601">
        <v>4</v>
      </c>
      <c r="I1601">
        <v>102925</v>
      </c>
      <c r="J1601">
        <v>1.17397787E-2</v>
      </c>
      <c r="K1601">
        <v>2205</v>
      </c>
      <c r="L1601">
        <v>7652</v>
      </c>
      <c r="M1601">
        <v>116316</v>
      </c>
      <c r="N1601">
        <v>178280</v>
      </c>
      <c r="O1601" s="43">
        <v>1047061.1448</v>
      </c>
      <c r="P1601" s="14">
        <f t="shared" si="74"/>
        <v>131597.84879999992</v>
      </c>
      <c r="Q1601" s="14" t="str">
        <f t="shared" si="72"/>
        <v/>
      </c>
      <c r="R1601" s="14" t="str">
        <f t="shared" si="72"/>
        <v/>
      </c>
      <c r="S1601" s="14" t="str">
        <f t="shared" si="73"/>
        <v/>
      </c>
      <c r="T1601" s="14" t="s">
        <v>72</v>
      </c>
      <c r="U1601" s="14">
        <v>1.278580022346369</v>
      </c>
      <c r="V1601">
        <v>2224</v>
      </c>
      <c r="W1601">
        <v>30.410180664062501</v>
      </c>
      <c r="X1601">
        <v>14.196408904022601</v>
      </c>
      <c r="Y1601">
        <v>3.72814659482296</v>
      </c>
      <c r="Z1601" s="31">
        <v>1.2834392397330101</v>
      </c>
      <c r="AA1601">
        <v>4.0907501556236499</v>
      </c>
      <c r="AB1601">
        <v>0.09</v>
      </c>
      <c r="AC1601">
        <v>341221.44035119697</v>
      </c>
      <c r="AD1601">
        <v>390459.69419387472</v>
      </c>
      <c r="AE1601">
        <v>1</v>
      </c>
      <c r="AF1601">
        <v>2565.0601128138919</v>
      </c>
      <c r="AG1601">
        <v>12406.08185403292</v>
      </c>
    </row>
    <row r="1602" spans="2:33" hidden="1" x14ac:dyDescent="0.25">
      <c r="B1602">
        <v>29</v>
      </c>
      <c r="C1602" t="s">
        <v>62</v>
      </c>
      <c r="D1602" t="s">
        <v>59</v>
      </c>
      <c r="E1602" t="s">
        <v>68</v>
      </c>
      <c r="F1602">
        <v>123893</v>
      </c>
      <c r="G1602">
        <v>127430</v>
      </c>
      <c r="H1602">
        <v>5</v>
      </c>
      <c r="I1602">
        <v>18893</v>
      </c>
      <c r="J1602">
        <v>0</v>
      </c>
      <c r="K1602">
        <v>2205</v>
      </c>
      <c r="L1602">
        <v>7652</v>
      </c>
      <c r="M1602">
        <v>116316</v>
      </c>
      <c r="N1602">
        <v>178280</v>
      </c>
      <c r="O1602" s="43">
        <v>1876699.7568000001</v>
      </c>
      <c r="P1602" s="14">
        <f t="shared" si="74"/>
        <v>829638.61200000008</v>
      </c>
      <c r="Q1602" s="14" t="str">
        <f t="shared" si="72"/>
        <v/>
      </c>
      <c r="R1602" s="14" t="str">
        <f t="shared" si="72"/>
        <v/>
      </c>
      <c r="S1602" s="14" t="str">
        <f t="shared" si="73"/>
        <v/>
      </c>
      <c r="T1602" s="14" t="s">
        <v>72</v>
      </c>
      <c r="U1602" s="14">
        <v>43.91248674112105</v>
      </c>
      <c r="V1602">
        <v>2224</v>
      </c>
      <c r="W1602">
        <v>29.634912109375001</v>
      </c>
      <c r="X1602">
        <v>15.764833155341201</v>
      </c>
      <c r="Y1602">
        <v>3.5008807087387801</v>
      </c>
      <c r="Z1602" s="31">
        <v>4.3779424723120002</v>
      </c>
      <c r="AA1602">
        <v>4.7645142910277398</v>
      </c>
      <c r="AB1602">
        <v>0.09</v>
      </c>
      <c r="AC1602">
        <v>341221.44035119697</v>
      </c>
      <c r="AD1602">
        <v>390459.69419387472</v>
      </c>
      <c r="AE1602">
        <v>1</v>
      </c>
      <c r="AF1602">
        <v>2565.0601128138919</v>
      </c>
      <c r="AG1602">
        <v>12406.08185403292</v>
      </c>
    </row>
    <row r="1603" spans="2:33" hidden="1" x14ac:dyDescent="0.25">
      <c r="B1603">
        <v>29</v>
      </c>
      <c r="C1603" t="s">
        <v>62</v>
      </c>
      <c r="D1603" t="s">
        <v>59</v>
      </c>
      <c r="E1603" t="s">
        <v>68</v>
      </c>
      <c r="F1603">
        <v>125215</v>
      </c>
      <c r="G1603">
        <v>127430</v>
      </c>
      <c r="H1603">
        <v>6</v>
      </c>
      <c r="I1603">
        <v>1888</v>
      </c>
      <c r="J1603">
        <v>8.2994585260000003E-2</v>
      </c>
      <c r="K1603">
        <v>2205</v>
      </c>
      <c r="L1603">
        <v>7652</v>
      </c>
      <c r="M1603">
        <v>116316</v>
      </c>
      <c r="N1603">
        <v>178280</v>
      </c>
      <c r="O1603" s="43">
        <v>2363039.6327999998</v>
      </c>
      <c r="P1603" s="14">
        <f t="shared" si="74"/>
        <v>486339.8759999997</v>
      </c>
      <c r="Q1603" s="14" t="str">
        <f t="shared" ref="Q1603:R1645" si="75">IF(P1603&gt;=0,"",P1603)</f>
        <v/>
      </c>
      <c r="R1603" s="14" t="str">
        <f t="shared" si="75"/>
        <v/>
      </c>
      <c r="S1603" s="14" t="str">
        <f t="shared" ref="S1603:S1645" si="76">IFERROR(IF(ISNA(Q1603),NA(),Q1603^2),"")</f>
        <v/>
      </c>
      <c r="T1603" s="14" t="s">
        <v>72</v>
      </c>
      <c r="U1603" s="14">
        <v>257.59527330508485</v>
      </c>
      <c r="V1603">
        <v>2224</v>
      </c>
      <c r="W1603">
        <v>25.021508789062501</v>
      </c>
      <c r="X1603">
        <v>26.7740941104922</v>
      </c>
      <c r="Y1603">
        <v>2.32348117370337</v>
      </c>
      <c r="Z1603" s="31">
        <v>2.89140447057936</v>
      </c>
      <c r="AA1603">
        <v>6.98917636568041</v>
      </c>
      <c r="AB1603">
        <v>0.09</v>
      </c>
      <c r="AC1603">
        <v>341221.44035119697</v>
      </c>
      <c r="AD1603">
        <v>390459.69419387472</v>
      </c>
      <c r="AE1603">
        <v>1</v>
      </c>
      <c r="AF1603">
        <v>2565.0601128138919</v>
      </c>
      <c r="AG1603">
        <v>12406.08185403292</v>
      </c>
    </row>
    <row r="1604" spans="2:33" hidden="1" x14ac:dyDescent="0.25">
      <c r="B1604">
        <v>29</v>
      </c>
      <c r="C1604" t="s">
        <v>62</v>
      </c>
      <c r="D1604" t="s">
        <v>59</v>
      </c>
      <c r="E1604" t="s">
        <v>68</v>
      </c>
      <c r="F1604">
        <v>127430</v>
      </c>
      <c r="G1604">
        <v>127430</v>
      </c>
      <c r="H1604">
        <v>7</v>
      </c>
      <c r="I1604">
        <v>187</v>
      </c>
      <c r="J1604">
        <v>0.13905673700000001</v>
      </c>
      <c r="K1604">
        <v>2205</v>
      </c>
      <c r="L1604">
        <v>7652</v>
      </c>
      <c r="M1604">
        <v>116316</v>
      </c>
      <c r="N1604">
        <v>178280</v>
      </c>
      <c r="O1604" s="43">
        <v>2363039.6327999998</v>
      </c>
      <c r="P1604" s="14">
        <f t="shared" ref="P1604:P1645" si="77">O1604-O1603</f>
        <v>0</v>
      </c>
      <c r="Q1604" s="14" t="str">
        <f t="shared" si="75"/>
        <v/>
      </c>
      <c r="R1604" s="14" t="str">
        <f t="shared" si="75"/>
        <v/>
      </c>
      <c r="S1604" s="14" t="str">
        <f t="shared" si="76"/>
        <v/>
      </c>
      <c r="T1604" s="14" t="s">
        <v>72</v>
      </c>
      <c r="U1604" s="14">
        <v>-12636.57557647059</v>
      </c>
      <c r="V1604">
        <v>2224</v>
      </c>
      <c r="W1604">
        <v>23.703485107421901</v>
      </c>
      <c r="X1604">
        <v>31.5654189581448</v>
      </c>
      <c r="Y1604">
        <v>2.0067992901973</v>
      </c>
      <c r="Z1604" s="31">
        <v>3.0399003596912202</v>
      </c>
      <c r="AA1604">
        <v>16.700909171048899</v>
      </c>
      <c r="AB1604">
        <v>0.09</v>
      </c>
      <c r="AC1604">
        <v>341221.44035119697</v>
      </c>
      <c r="AD1604">
        <v>390459.69419387472</v>
      </c>
      <c r="AE1604">
        <v>1</v>
      </c>
      <c r="AF1604">
        <v>2565.0601128138919</v>
      </c>
      <c r="AG1604">
        <v>12406.08185403292</v>
      </c>
    </row>
    <row r="1605" spans="2:33" hidden="1" x14ac:dyDescent="0.25">
      <c r="B1605">
        <v>29</v>
      </c>
      <c r="C1605" t="s">
        <v>62</v>
      </c>
      <c r="D1605" t="s">
        <v>59</v>
      </c>
      <c r="E1605" t="s">
        <v>68</v>
      </c>
      <c r="F1605">
        <v>127430</v>
      </c>
      <c r="G1605">
        <v>127430</v>
      </c>
      <c r="H1605">
        <v>8</v>
      </c>
      <c r="I1605">
        <v>0</v>
      </c>
      <c r="J1605">
        <v>0</v>
      </c>
      <c r="K1605">
        <v>2205</v>
      </c>
      <c r="L1605">
        <v>7652</v>
      </c>
      <c r="M1605">
        <v>116316</v>
      </c>
      <c r="N1605">
        <v>178280</v>
      </c>
      <c r="O1605" s="43">
        <v>3444430.6512000002</v>
      </c>
      <c r="P1605" s="14">
        <f t="shared" si="77"/>
        <v>1081391.0184000004</v>
      </c>
      <c r="Q1605" s="14" t="str">
        <f t="shared" si="75"/>
        <v/>
      </c>
      <c r="R1605" s="14" t="str">
        <f t="shared" si="75"/>
        <v/>
      </c>
      <c r="S1605" s="14" t="str">
        <f t="shared" si="76"/>
        <v/>
      </c>
      <c r="T1605" s="14" t="s">
        <v>72</v>
      </c>
      <c r="U1605" s="14">
        <v>0</v>
      </c>
      <c r="V1605">
        <v>2224</v>
      </c>
      <c r="W1605">
        <v>23.014001464843702</v>
      </c>
      <c r="X1605">
        <v>32.384111090173199</v>
      </c>
      <c r="Y1605">
        <v>1.9021161460152001</v>
      </c>
      <c r="Z1605" s="31">
        <v>2.7244120270431398</v>
      </c>
      <c r="AA1605">
        <v>15.1465651436899</v>
      </c>
      <c r="AB1605">
        <v>0.09</v>
      </c>
      <c r="AC1605">
        <v>341221.44035119697</v>
      </c>
      <c r="AD1605">
        <v>390459.69419387472</v>
      </c>
      <c r="AE1605">
        <v>1</v>
      </c>
      <c r="AF1605">
        <v>2565.0601128138919</v>
      </c>
      <c r="AG1605">
        <v>12406.08185403292</v>
      </c>
    </row>
    <row r="1606" spans="2:33" hidden="1" x14ac:dyDescent="0.25">
      <c r="B1606">
        <v>29</v>
      </c>
      <c r="C1606" t="s">
        <v>62</v>
      </c>
      <c r="D1606" t="s">
        <v>59</v>
      </c>
      <c r="E1606" t="s">
        <v>68</v>
      </c>
      <c r="F1606">
        <v>127430</v>
      </c>
      <c r="G1606">
        <v>127430</v>
      </c>
      <c r="H1606">
        <v>9</v>
      </c>
      <c r="I1606">
        <v>1322</v>
      </c>
      <c r="J1606">
        <v>0</v>
      </c>
      <c r="K1606">
        <v>2205</v>
      </c>
      <c r="L1606">
        <v>7652</v>
      </c>
      <c r="M1606">
        <v>116316</v>
      </c>
      <c r="N1606">
        <v>178280</v>
      </c>
      <c r="O1606" s="43">
        <v>3776286.0959999999</v>
      </c>
      <c r="P1606" s="14">
        <f t="shared" si="77"/>
        <v>331855.44479999971</v>
      </c>
      <c r="Q1606" s="14" t="str">
        <f t="shared" si="75"/>
        <v/>
      </c>
      <c r="R1606" s="14" t="str">
        <f t="shared" si="75"/>
        <v/>
      </c>
      <c r="S1606" s="14" t="str">
        <f t="shared" si="76"/>
        <v/>
      </c>
      <c r="T1606" s="14" t="s">
        <v>72</v>
      </c>
      <c r="U1606" s="14">
        <v>251.02529863842676</v>
      </c>
      <c r="V1606">
        <v>2224</v>
      </c>
      <c r="W1606">
        <v>24.810754394531301</v>
      </c>
      <c r="X1606">
        <v>28.332582059061998</v>
      </c>
      <c r="Y1606">
        <v>2.2456265623131699</v>
      </c>
      <c r="Z1606" s="31">
        <v>0.68256777508123501</v>
      </c>
      <c r="AA1606">
        <v>7.7429733948091801</v>
      </c>
      <c r="AB1606">
        <v>0.09</v>
      </c>
      <c r="AC1606">
        <v>341221.44035119697</v>
      </c>
      <c r="AD1606">
        <v>390459.69419387472</v>
      </c>
      <c r="AE1606">
        <v>1</v>
      </c>
      <c r="AF1606">
        <v>2565.0601128138919</v>
      </c>
      <c r="AG1606">
        <v>12406.08185403292</v>
      </c>
    </row>
    <row r="1607" spans="2:33" hidden="1" x14ac:dyDescent="0.25">
      <c r="B1607">
        <v>30</v>
      </c>
      <c r="C1607" t="s">
        <v>63</v>
      </c>
      <c r="D1607" t="s">
        <v>30</v>
      </c>
      <c r="E1607" t="s">
        <v>69</v>
      </c>
      <c r="F1607">
        <v>1500</v>
      </c>
      <c r="G1607">
        <v>96614</v>
      </c>
      <c r="H1607">
        <v>1</v>
      </c>
      <c r="I1607">
        <v>0</v>
      </c>
      <c r="J1607">
        <v>0</v>
      </c>
      <c r="K1607">
        <v>218447</v>
      </c>
      <c r="L1607">
        <v>28642</v>
      </c>
      <c r="M1607">
        <v>3057</v>
      </c>
      <c r="N1607">
        <v>114857</v>
      </c>
      <c r="O1607" s="43">
        <v>0</v>
      </c>
      <c r="P1607" s="14">
        <v>0</v>
      </c>
      <c r="Q1607" s="14" t="str">
        <f t="shared" si="75"/>
        <v/>
      </c>
      <c r="R1607" s="14" t="str">
        <f t="shared" si="75"/>
        <v/>
      </c>
      <c r="S1607" s="14" t="str">
        <f t="shared" si="76"/>
        <v/>
      </c>
      <c r="T1607" s="14" t="s">
        <v>72</v>
      </c>
      <c r="U1607" s="14">
        <v>0</v>
      </c>
      <c r="V1607">
        <v>6883</v>
      </c>
      <c r="W1607">
        <v>30.800561523437501</v>
      </c>
      <c r="X1607">
        <v>13.7819829626977</v>
      </c>
      <c r="Y1607">
        <v>3.8305485595612101</v>
      </c>
      <c r="Z1607" s="31">
        <v>2.4701798991811699</v>
      </c>
      <c r="AA1607">
        <v>7.51258086892833</v>
      </c>
      <c r="AB1607">
        <v>0.05</v>
      </c>
      <c r="AC1607">
        <v>211602.74736967401</v>
      </c>
      <c r="AD1607">
        <v>242137.02381511801</v>
      </c>
      <c r="AE1607">
        <v>1</v>
      </c>
      <c r="AF1607">
        <v>1124.7451263856531</v>
      </c>
      <c r="AG1607">
        <v>7175.5629605369113</v>
      </c>
    </row>
    <row r="1608" spans="2:33" hidden="1" x14ac:dyDescent="0.25">
      <c r="B1608">
        <v>30</v>
      </c>
      <c r="C1608" t="s">
        <v>63</v>
      </c>
      <c r="D1608" t="s">
        <v>30</v>
      </c>
      <c r="E1608" t="s">
        <v>69</v>
      </c>
      <c r="F1608">
        <v>12000</v>
      </c>
      <c r="G1608">
        <v>96614</v>
      </c>
      <c r="H1608">
        <v>2</v>
      </c>
      <c r="I1608">
        <v>0</v>
      </c>
      <c r="J1608">
        <v>10.133282961061539</v>
      </c>
      <c r="K1608">
        <v>218447</v>
      </c>
      <c r="L1608">
        <v>28642</v>
      </c>
      <c r="M1608">
        <v>3057</v>
      </c>
      <c r="N1608">
        <v>114857</v>
      </c>
      <c r="O1608" s="43">
        <v>343298.73599999998</v>
      </c>
      <c r="P1608" s="14">
        <f t="shared" si="77"/>
        <v>343298.73599999998</v>
      </c>
      <c r="Q1608" s="14" t="str">
        <f t="shared" si="75"/>
        <v/>
      </c>
      <c r="R1608" s="14" t="str">
        <f t="shared" si="75"/>
        <v/>
      </c>
      <c r="S1608" s="14" t="str">
        <f t="shared" si="76"/>
        <v/>
      </c>
      <c r="T1608" s="14" t="s">
        <v>72</v>
      </c>
      <c r="U1608" s="14">
        <v>0</v>
      </c>
      <c r="V1608">
        <v>6883</v>
      </c>
      <c r="W1608">
        <v>18.236291503906301</v>
      </c>
      <c r="X1608">
        <v>36.655134126825402</v>
      </c>
      <c r="Y1608">
        <v>1.3281380990426199</v>
      </c>
      <c r="Z1608" s="31">
        <v>7.0625647700561798</v>
      </c>
      <c r="AA1608">
        <v>18.158169590454701</v>
      </c>
      <c r="AB1608">
        <v>0.05</v>
      </c>
      <c r="AC1608">
        <v>211602.74736967401</v>
      </c>
      <c r="AD1608">
        <v>242137.02381511801</v>
      </c>
      <c r="AE1608">
        <v>1</v>
      </c>
      <c r="AF1608">
        <v>1124.7451263856531</v>
      </c>
      <c r="AG1608">
        <v>7175.5629605369113</v>
      </c>
    </row>
    <row r="1609" spans="2:33" hidden="1" x14ac:dyDescent="0.25">
      <c r="B1609">
        <v>30</v>
      </c>
      <c r="C1609" t="s">
        <v>63</v>
      </c>
      <c r="D1609" t="s">
        <v>30</v>
      </c>
      <c r="E1609" t="s">
        <v>69</v>
      </c>
      <c r="F1609">
        <v>27000</v>
      </c>
      <c r="G1609">
        <v>96614</v>
      </c>
      <c r="H1609">
        <v>3</v>
      </c>
      <c r="I1609" s="4">
        <v>0</v>
      </c>
      <c r="J1609">
        <v>0.68906162667936321</v>
      </c>
      <c r="K1609">
        <v>218447</v>
      </c>
      <c r="L1609">
        <v>28642</v>
      </c>
      <c r="M1609">
        <v>3057</v>
      </c>
      <c r="N1609">
        <v>114857</v>
      </c>
      <c r="O1609" s="43">
        <v>343298.73599999998</v>
      </c>
      <c r="P1609" s="14">
        <f t="shared" si="77"/>
        <v>0</v>
      </c>
      <c r="Q1609" s="14" t="str">
        <f t="shared" si="75"/>
        <v/>
      </c>
      <c r="R1609" s="14" t="str">
        <f t="shared" si="75"/>
        <v/>
      </c>
      <c r="S1609" s="14" t="str">
        <f t="shared" si="76"/>
        <v/>
      </c>
      <c r="T1609" s="14" t="s">
        <v>72</v>
      </c>
      <c r="U1609" s="14">
        <v>0</v>
      </c>
      <c r="V1609">
        <v>6883</v>
      </c>
      <c r="W1609">
        <v>20.885552978515602</v>
      </c>
      <c r="X1609">
        <v>15.5597944307435</v>
      </c>
      <c r="Y1609">
        <v>2.0868752369066801</v>
      </c>
      <c r="Z1609" s="31">
        <v>3.1202085923371099</v>
      </c>
      <c r="AA1609">
        <v>11.608756979459001</v>
      </c>
      <c r="AB1609">
        <v>0.05</v>
      </c>
      <c r="AC1609">
        <v>211602.74736967401</v>
      </c>
      <c r="AD1609">
        <v>242137.02381511801</v>
      </c>
      <c r="AE1609">
        <v>1</v>
      </c>
      <c r="AF1609">
        <v>1124.7451263856531</v>
      </c>
      <c r="AG1609">
        <v>7175.5629605369113</v>
      </c>
    </row>
    <row r="1610" spans="2:33" hidden="1" x14ac:dyDescent="0.25">
      <c r="B1610">
        <v>30</v>
      </c>
      <c r="C1610" t="s">
        <v>63</v>
      </c>
      <c r="D1610" t="s">
        <v>30</v>
      </c>
      <c r="E1610" t="s">
        <v>69</v>
      </c>
      <c r="F1610">
        <v>28454</v>
      </c>
      <c r="G1610">
        <v>96614</v>
      </c>
      <c r="H1610">
        <v>4</v>
      </c>
      <c r="I1610">
        <v>0</v>
      </c>
      <c r="J1610">
        <v>5.4289336949096407</v>
      </c>
      <c r="K1610">
        <v>218447</v>
      </c>
      <c r="L1610">
        <v>28642</v>
      </c>
      <c r="M1610">
        <v>3057</v>
      </c>
      <c r="N1610">
        <v>114857</v>
      </c>
      <c r="O1610" s="43">
        <v>343298.73599999998</v>
      </c>
      <c r="P1610" s="14">
        <f t="shared" si="77"/>
        <v>0</v>
      </c>
      <c r="Q1610" s="14" t="str">
        <f t="shared" si="75"/>
        <v/>
      </c>
      <c r="R1610" s="14" t="str">
        <f t="shared" si="75"/>
        <v/>
      </c>
      <c r="S1610" s="14" t="str">
        <f t="shared" si="76"/>
        <v/>
      </c>
      <c r="T1610" s="14" t="s">
        <v>72</v>
      </c>
      <c r="U1610" s="14">
        <v>0</v>
      </c>
      <c r="V1610">
        <v>6883</v>
      </c>
      <c r="W1610">
        <v>21.922998046875001</v>
      </c>
      <c r="X1610">
        <v>17.420333586749301</v>
      </c>
      <c r="Y1610">
        <v>2.1746139086709602</v>
      </c>
      <c r="Z1610" s="31">
        <v>0.93120015438680903</v>
      </c>
      <c r="AA1610">
        <v>4.4909373364333796</v>
      </c>
      <c r="AB1610">
        <v>0.05</v>
      </c>
      <c r="AC1610">
        <v>211602.74736967401</v>
      </c>
      <c r="AD1610">
        <v>242137.02381511801</v>
      </c>
      <c r="AE1610">
        <v>1</v>
      </c>
      <c r="AF1610">
        <v>1124.7451263856531</v>
      </c>
      <c r="AG1610">
        <v>7175.5629605369113</v>
      </c>
    </row>
    <row r="1611" spans="2:33" hidden="1" x14ac:dyDescent="0.25">
      <c r="B1611">
        <v>30</v>
      </c>
      <c r="C1611" t="s">
        <v>63</v>
      </c>
      <c r="D1611" t="s">
        <v>30</v>
      </c>
      <c r="E1611" t="s">
        <v>69</v>
      </c>
      <c r="F1611">
        <v>40259</v>
      </c>
      <c r="G1611">
        <v>96614</v>
      </c>
      <c r="H1611">
        <v>5</v>
      </c>
      <c r="I1611">
        <v>25103</v>
      </c>
      <c r="J1611">
        <v>0</v>
      </c>
      <c r="K1611">
        <v>218447</v>
      </c>
      <c r="L1611">
        <v>28642</v>
      </c>
      <c r="M1611">
        <v>3057</v>
      </c>
      <c r="N1611">
        <v>114857</v>
      </c>
      <c r="O1611" s="43">
        <v>986411.70144000009</v>
      </c>
      <c r="P1611" s="14">
        <f t="shared" si="77"/>
        <v>643112.96544000017</v>
      </c>
      <c r="Q1611" s="14" t="str">
        <f t="shared" si="75"/>
        <v/>
      </c>
      <c r="R1611" s="14" t="str">
        <f t="shared" si="75"/>
        <v/>
      </c>
      <c r="S1611" s="14" t="str">
        <f t="shared" si="76"/>
        <v/>
      </c>
      <c r="T1611" s="14" t="s">
        <v>72</v>
      </c>
      <c r="U1611" s="14">
        <v>39.294574411026574</v>
      </c>
      <c r="V1611">
        <v>6883</v>
      </c>
      <c r="W1611">
        <v>25.560571289062501</v>
      </c>
      <c r="X1611">
        <v>16.779517547561301</v>
      </c>
      <c r="Y1611">
        <v>2.7268429549842401</v>
      </c>
      <c r="Z1611" s="31">
        <v>1.3909890387008901</v>
      </c>
      <c r="AA1611">
        <v>3.7596567429530698</v>
      </c>
      <c r="AB1611">
        <v>0.05</v>
      </c>
      <c r="AC1611">
        <v>211602.74736967401</v>
      </c>
      <c r="AD1611">
        <v>242137.02381511801</v>
      </c>
      <c r="AE1611">
        <v>1</v>
      </c>
      <c r="AF1611">
        <v>1124.7451263856531</v>
      </c>
      <c r="AG1611">
        <v>7175.5629605369113</v>
      </c>
    </row>
    <row r="1612" spans="2:33" hidden="1" x14ac:dyDescent="0.25">
      <c r="B1612">
        <v>30</v>
      </c>
      <c r="C1612" t="s">
        <v>63</v>
      </c>
      <c r="D1612" t="s">
        <v>30</v>
      </c>
      <c r="E1612" t="s">
        <v>69</v>
      </c>
      <c r="F1612">
        <v>42074</v>
      </c>
      <c r="G1612">
        <v>96614</v>
      </c>
      <c r="H1612">
        <v>6</v>
      </c>
      <c r="I1612">
        <v>1707</v>
      </c>
      <c r="J1612">
        <v>0.71449272362183536</v>
      </c>
      <c r="K1612">
        <v>218447</v>
      </c>
      <c r="L1612">
        <v>28642</v>
      </c>
      <c r="M1612">
        <v>3057</v>
      </c>
      <c r="N1612">
        <v>114857</v>
      </c>
      <c r="O1612" s="43">
        <v>1373194.9439999999</v>
      </c>
      <c r="P1612" s="14">
        <f t="shared" si="77"/>
        <v>386783.24255999981</v>
      </c>
      <c r="Q1612" s="14" t="str">
        <f t="shared" si="75"/>
        <v/>
      </c>
      <c r="R1612" s="14" t="str">
        <f t="shared" si="75"/>
        <v/>
      </c>
      <c r="S1612" s="14" t="str">
        <f t="shared" si="76"/>
        <v/>
      </c>
      <c r="T1612" s="14" t="s">
        <v>72</v>
      </c>
      <c r="U1612" s="14">
        <v>226.5865510017575</v>
      </c>
      <c r="V1612">
        <v>6883</v>
      </c>
      <c r="W1612">
        <v>27.011865234375001</v>
      </c>
      <c r="X1612">
        <v>17.5564423044863</v>
      </c>
      <c r="Y1612">
        <v>2.94254739173779</v>
      </c>
      <c r="Z1612" s="31">
        <v>1.60997098383695</v>
      </c>
      <c r="AA1612">
        <v>6.9913227489581899</v>
      </c>
      <c r="AB1612">
        <v>0.05</v>
      </c>
      <c r="AC1612">
        <v>211602.74736967401</v>
      </c>
      <c r="AD1612">
        <v>242137.02381511801</v>
      </c>
      <c r="AE1612">
        <v>1</v>
      </c>
      <c r="AF1612">
        <v>1124.7451263856531</v>
      </c>
      <c r="AG1612">
        <v>7175.5629605369113</v>
      </c>
    </row>
    <row r="1613" spans="2:33" hidden="1" x14ac:dyDescent="0.25">
      <c r="B1613">
        <v>30</v>
      </c>
      <c r="C1613" t="s">
        <v>63</v>
      </c>
      <c r="D1613" t="s">
        <v>30</v>
      </c>
      <c r="E1613" t="s">
        <v>69</v>
      </c>
      <c r="F1613">
        <v>41850</v>
      </c>
      <c r="G1613">
        <v>96614</v>
      </c>
      <c r="H1613">
        <v>7</v>
      </c>
      <c r="I1613">
        <v>13449</v>
      </c>
      <c r="J1613">
        <v>2.6989256215455319</v>
      </c>
      <c r="K1613">
        <v>218447</v>
      </c>
      <c r="L1613">
        <v>28642</v>
      </c>
      <c r="M1613">
        <v>3057</v>
      </c>
      <c r="N1613">
        <v>114857</v>
      </c>
      <c r="O1613" s="43">
        <v>2174225.3280000002</v>
      </c>
      <c r="P1613" s="14">
        <f t="shared" si="77"/>
        <v>801030.38400000031</v>
      </c>
      <c r="Q1613" s="14" t="str">
        <f t="shared" si="75"/>
        <v/>
      </c>
      <c r="R1613" s="14" t="str">
        <f t="shared" si="75"/>
        <v/>
      </c>
      <c r="S1613" s="14" t="str">
        <f t="shared" si="76"/>
        <v/>
      </c>
      <c r="T1613" s="14" t="s">
        <v>72</v>
      </c>
      <c r="U1613" s="14">
        <v>59.560590675886687</v>
      </c>
      <c r="V1613">
        <v>6883</v>
      </c>
      <c r="W1613">
        <v>23.683648681640602</v>
      </c>
      <c r="X1613">
        <v>23.044292831192902</v>
      </c>
      <c r="Y1613">
        <v>2.2542398852457799</v>
      </c>
      <c r="Z1613" s="31">
        <v>1.3587404304973401</v>
      </c>
      <c r="AA1613">
        <v>5.5362636406365597</v>
      </c>
      <c r="AB1613">
        <v>0.05</v>
      </c>
      <c r="AC1613">
        <v>211602.74736967401</v>
      </c>
      <c r="AD1613">
        <v>242137.02381511801</v>
      </c>
      <c r="AE1613">
        <v>1</v>
      </c>
      <c r="AF1613">
        <v>1124.7451263856531</v>
      </c>
      <c r="AG1613">
        <v>7175.5629605369113</v>
      </c>
    </row>
    <row r="1614" spans="2:33" hidden="1" x14ac:dyDescent="0.25">
      <c r="B1614">
        <v>30</v>
      </c>
      <c r="C1614" t="s">
        <v>63</v>
      </c>
      <c r="D1614" t="s">
        <v>30</v>
      </c>
      <c r="E1614" t="s">
        <v>69</v>
      </c>
      <c r="F1614">
        <v>68365</v>
      </c>
      <c r="G1614">
        <v>96614</v>
      </c>
      <c r="H1614">
        <v>8</v>
      </c>
      <c r="I1614">
        <v>-199</v>
      </c>
      <c r="J1614">
        <v>10.531703479826939</v>
      </c>
      <c r="K1614">
        <v>218447</v>
      </c>
      <c r="L1614">
        <v>28642</v>
      </c>
      <c r="M1614">
        <v>3057</v>
      </c>
      <c r="N1614">
        <v>114857</v>
      </c>
      <c r="O1614" s="43">
        <v>2574740.52</v>
      </c>
      <c r="P1614" s="14">
        <f t="shared" si="77"/>
        <v>400515.19199999981</v>
      </c>
      <c r="Q1614" s="14" t="str">
        <f t="shared" si="75"/>
        <v/>
      </c>
      <c r="R1614" s="14" t="str">
        <f t="shared" si="75"/>
        <v/>
      </c>
      <c r="S1614" s="14" t="str">
        <f t="shared" si="76"/>
        <v/>
      </c>
      <c r="T1614" s="14" t="s">
        <v>72</v>
      </c>
      <c r="U1614" s="14">
        <v>-2012.6391557788936</v>
      </c>
      <c r="V1614">
        <v>6883</v>
      </c>
      <c r="W1614">
        <v>23.984765625000001</v>
      </c>
      <c r="X1614">
        <v>24.642962014817101</v>
      </c>
      <c r="Y1614">
        <v>2.24762827179222</v>
      </c>
      <c r="Z1614" s="31">
        <v>1.40274778820844</v>
      </c>
      <c r="AA1614">
        <v>8.0354514999214199</v>
      </c>
      <c r="AB1614">
        <v>0.05</v>
      </c>
      <c r="AC1614">
        <v>211602.74736967401</v>
      </c>
      <c r="AD1614">
        <v>242137.02381511801</v>
      </c>
      <c r="AE1614">
        <v>1</v>
      </c>
      <c r="AF1614">
        <v>1124.7451263856531</v>
      </c>
      <c r="AG1614">
        <v>7175.5629605369113</v>
      </c>
    </row>
    <row r="1615" spans="2:33" hidden="1" x14ac:dyDescent="0.25">
      <c r="B1615">
        <v>30</v>
      </c>
      <c r="C1615" t="s">
        <v>63</v>
      </c>
      <c r="D1615" t="s">
        <v>30</v>
      </c>
      <c r="E1615" t="s">
        <v>69</v>
      </c>
      <c r="F1615">
        <v>79334</v>
      </c>
      <c r="G1615">
        <v>96614</v>
      </c>
      <c r="H1615">
        <v>9</v>
      </c>
      <c r="I1615">
        <v>1770</v>
      </c>
      <c r="J1615">
        <v>3.7654170203076158</v>
      </c>
      <c r="K1615">
        <v>218447</v>
      </c>
      <c r="L1615">
        <v>28642</v>
      </c>
      <c r="M1615">
        <v>3057</v>
      </c>
      <c r="N1615">
        <v>114857</v>
      </c>
      <c r="O1615" s="43">
        <v>3089688.6239999998</v>
      </c>
      <c r="P1615" s="14">
        <f t="shared" si="77"/>
        <v>514948.10399999982</v>
      </c>
      <c r="Q1615" s="14" t="str">
        <f t="shared" si="75"/>
        <v/>
      </c>
      <c r="R1615" s="14" t="str">
        <f t="shared" si="75"/>
        <v/>
      </c>
      <c r="S1615" s="14" t="str">
        <f t="shared" si="76"/>
        <v/>
      </c>
      <c r="T1615" s="14" t="s">
        <v>72</v>
      </c>
      <c r="U1615" s="14">
        <v>290.93113220339001</v>
      </c>
      <c r="V1615">
        <v>6883</v>
      </c>
      <c r="W1615">
        <v>24.566735839843702</v>
      </c>
      <c r="X1615">
        <v>23.218743962755301</v>
      </c>
      <c r="Y1615">
        <v>2.37128374699539</v>
      </c>
      <c r="Z1615" s="31">
        <v>1.3935446589302201</v>
      </c>
      <c r="AA1615">
        <v>13.686107582781</v>
      </c>
      <c r="AB1615">
        <v>0.05</v>
      </c>
      <c r="AC1615">
        <v>211602.74736967401</v>
      </c>
      <c r="AD1615">
        <v>242137.02381511801</v>
      </c>
      <c r="AE1615">
        <v>1</v>
      </c>
      <c r="AF1615">
        <v>1124.7451263856531</v>
      </c>
      <c r="AG1615">
        <v>7175.5629605369113</v>
      </c>
    </row>
    <row r="1616" spans="2:33" hidden="1" x14ac:dyDescent="0.25">
      <c r="B1616">
        <v>30</v>
      </c>
      <c r="C1616" t="s">
        <v>63</v>
      </c>
      <c r="D1616" t="s">
        <v>30</v>
      </c>
      <c r="E1616" t="s">
        <v>69</v>
      </c>
      <c r="F1616">
        <v>84059</v>
      </c>
      <c r="G1616">
        <v>96614</v>
      </c>
      <c r="H1616">
        <v>10</v>
      </c>
      <c r="I1616">
        <v>6686</v>
      </c>
      <c r="J1616">
        <v>1.564214296064752</v>
      </c>
      <c r="K1616">
        <v>218447</v>
      </c>
      <c r="L1616">
        <v>28642</v>
      </c>
      <c r="M1616">
        <v>3057</v>
      </c>
      <c r="N1616">
        <v>114857</v>
      </c>
      <c r="O1616" s="43">
        <v>3604636.7280000001</v>
      </c>
      <c r="P1616" s="14">
        <f t="shared" si="77"/>
        <v>514948.10400000028</v>
      </c>
      <c r="Q1616" s="14" t="str">
        <f t="shared" si="75"/>
        <v/>
      </c>
      <c r="R1616" s="14" t="str">
        <f t="shared" si="75"/>
        <v/>
      </c>
      <c r="S1616" s="14" t="str">
        <f t="shared" si="76"/>
        <v/>
      </c>
      <c r="T1616" s="14" t="s">
        <v>72</v>
      </c>
      <c r="U1616" s="14">
        <v>77.018860903380173</v>
      </c>
      <c r="V1616">
        <v>6883</v>
      </c>
      <c r="W1616">
        <v>24.146691894531301</v>
      </c>
      <c r="X1616">
        <v>21.443079731606701</v>
      </c>
      <c r="Y1616">
        <v>2.3660032426534201</v>
      </c>
      <c r="Z1616" s="31">
        <v>1.26582095331277</v>
      </c>
      <c r="AA1616">
        <v>10.306151215443901</v>
      </c>
      <c r="AB1616">
        <v>0.05</v>
      </c>
      <c r="AC1616">
        <v>211602.74736967401</v>
      </c>
      <c r="AD1616">
        <v>242137.02381511801</v>
      </c>
      <c r="AE1616">
        <v>1</v>
      </c>
      <c r="AF1616">
        <v>1124.7451263856531</v>
      </c>
      <c r="AG1616">
        <v>7175.5629605369113</v>
      </c>
    </row>
    <row r="1617" spans="2:33" hidden="1" x14ac:dyDescent="0.25">
      <c r="B1617">
        <v>30</v>
      </c>
      <c r="C1617" t="s">
        <v>63</v>
      </c>
      <c r="D1617" t="s">
        <v>30</v>
      </c>
      <c r="E1617" t="s">
        <v>69</v>
      </c>
      <c r="F1617">
        <v>92778</v>
      </c>
      <c r="G1617">
        <v>96614</v>
      </c>
      <c r="H1617">
        <v>11</v>
      </c>
      <c r="I1617">
        <v>26090</v>
      </c>
      <c r="J1617">
        <v>0.65474982921729774</v>
      </c>
      <c r="K1617">
        <v>218447</v>
      </c>
      <c r="L1617">
        <v>28642</v>
      </c>
      <c r="M1617">
        <v>3057</v>
      </c>
      <c r="N1617">
        <v>114857</v>
      </c>
      <c r="O1617" s="43">
        <v>3776286.0959999999</v>
      </c>
      <c r="P1617" s="14">
        <f t="shared" si="77"/>
        <v>171649.36799999978</v>
      </c>
      <c r="Q1617" s="14" t="str">
        <f t="shared" si="75"/>
        <v/>
      </c>
      <c r="R1617" s="14" t="str">
        <f t="shared" si="75"/>
        <v/>
      </c>
      <c r="S1617" s="14" t="str">
        <f t="shared" si="76"/>
        <v/>
      </c>
      <c r="T1617" s="14" t="s">
        <v>72</v>
      </c>
      <c r="U1617" s="14">
        <v>6.5791248754312095</v>
      </c>
      <c r="V1617">
        <v>6883</v>
      </c>
      <c r="W1617">
        <v>24.086083984375001</v>
      </c>
      <c r="X1617">
        <v>25.176158620975698</v>
      </c>
      <c r="Y1617">
        <v>2.24530190559571</v>
      </c>
      <c r="Z1617" s="31">
        <v>1.14473364256209</v>
      </c>
      <c r="AA1617">
        <v>6.1231101679990996</v>
      </c>
      <c r="AB1617">
        <v>0.05</v>
      </c>
      <c r="AC1617">
        <v>211602.74736967401</v>
      </c>
      <c r="AD1617">
        <v>242137.02381511801</v>
      </c>
      <c r="AE1617">
        <v>1</v>
      </c>
      <c r="AF1617">
        <v>1124.7451263856531</v>
      </c>
      <c r="AG1617">
        <v>7175.5629605369113</v>
      </c>
    </row>
    <row r="1618" spans="2:33" hidden="1" x14ac:dyDescent="0.25">
      <c r="B1618">
        <v>30</v>
      </c>
      <c r="C1618" t="s">
        <v>63</v>
      </c>
      <c r="D1618" t="s">
        <v>30</v>
      </c>
      <c r="E1618" t="s">
        <v>69</v>
      </c>
      <c r="F1618">
        <v>89685</v>
      </c>
      <c r="G1618">
        <v>96614</v>
      </c>
      <c r="H1618">
        <v>12</v>
      </c>
      <c r="I1618">
        <v>9328</v>
      </c>
      <c r="J1618">
        <v>0.76818059494483204</v>
      </c>
      <c r="K1618">
        <v>218447</v>
      </c>
      <c r="L1618">
        <v>28642</v>
      </c>
      <c r="M1618">
        <v>3057</v>
      </c>
      <c r="N1618">
        <v>114857</v>
      </c>
      <c r="O1618" s="43">
        <v>4234017.7439999999</v>
      </c>
      <c r="P1618" s="14">
        <f t="shared" si="77"/>
        <v>457731.64800000004</v>
      </c>
      <c r="Q1618" s="14" t="str">
        <f t="shared" si="75"/>
        <v/>
      </c>
      <c r="R1618" s="14" t="str">
        <f t="shared" si="75"/>
        <v/>
      </c>
      <c r="S1618" s="14" t="str">
        <f t="shared" si="76"/>
        <v/>
      </c>
      <c r="T1618" s="14" t="s">
        <v>72</v>
      </c>
      <c r="U1618" s="14">
        <v>49.07071698113203</v>
      </c>
      <c r="V1618">
        <v>6883</v>
      </c>
      <c r="W1618">
        <v>24.829858398437501</v>
      </c>
      <c r="X1618">
        <v>22.787408976483501</v>
      </c>
      <c r="Y1618">
        <v>2.4223285658592002</v>
      </c>
      <c r="Z1618" s="31">
        <v>0.65418569025804996</v>
      </c>
      <c r="AA1618">
        <v>9.3468337684777403</v>
      </c>
      <c r="AB1618">
        <v>0.05</v>
      </c>
      <c r="AC1618">
        <v>211602.74736967401</v>
      </c>
      <c r="AD1618">
        <v>242137.02381511801</v>
      </c>
      <c r="AE1618">
        <v>1</v>
      </c>
      <c r="AF1618">
        <v>1124.7451263856531</v>
      </c>
      <c r="AG1618">
        <v>7175.5629605369113</v>
      </c>
    </row>
    <row r="1619" spans="2:33" hidden="1" x14ac:dyDescent="0.25">
      <c r="B1619">
        <v>30</v>
      </c>
      <c r="C1619" t="s">
        <v>63</v>
      </c>
      <c r="D1619" t="s">
        <v>30</v>
      </c>
      <c r="E1619" t="s">
        <v>69</v>
      </c>
      <c r="F1619">
        <v>91126</v>
      </c>
      <c r="G1619">
        <v>96614</v>
      </c>
      <c r="H1619">
        <v>13</v>
      </c>
      <c r="I1619">
        <v>3875</v>
      </c>
      <c r="J1619">
        <v>0</v>
      </c>
      <c r="K1619">
        <v>218447</v>
      </c>
      <c r="L1619">
        <v>28642</v>
      </c>
      <c r="M1619">
        <v>3057</v>
      </c>
      <c r="N1619">
        <v>114857</v>
      </c>
      <c r="O1619" s="43">
        <v>4806182.3039999995</v>
      </c>
      <c r="P1619" s="14">
        <f t="shared" si="77"/>
        <v>572164.55999999959</v>
      </c>
      <c r="Q1619" s="14" t="str">
        <f t="shared" si="75"/>
        <v/>
      </c>
      <c r="R1619" s="14" t="str">
        <f t="shared" si="75"/>
        <v/>
      </c>
      <c r="S1619" s="14" t="str">
        <f t="shared" si="76"/>
        <v/>
      </c>
      <c r="T1619" s="14" t="s">
        <v>72</v>
      </c>
      <c r="U1619" s="14">
        <v>147.65537032258078</v>
      </c>
      <c r="V1619">
        <v>6883</v>
      </c>
      <c r="W1619">
        <v>20.272363281250001</v>
      </c>
      <c r="X1619">
        <v>41.601061195824897</v>
      </c>
      <c r="Y1619">
        <v>1.38957689402685</v>
      </c>
      <c r="Z1619" s="31">
        <v>0.79766598531141697</v>
      </c>
      <c r="AA1619">
        <v>13.8907029881761</v>
      </c>
      <c r="AB1619">
        <v>0.05</v>
      </c>
      <c r="AC1619">
        <v>211602.74736967401</v>
      </c>
      <c r="AD1619">
        <v>242137.02381511801</v>
      </c>
      <c r="AE1619">
        <v>1</v>
      </c>
      <c r="AF1619">
        <v>1124.7451263856531</v>
      </c>
      <c r="AG1619">
        <v>7175.5629605369113</v>
      </c>
    </row>
    <row r="1620" spans="2:33" hidden="1" x14ac:dyDescent="0.25">
      <c r="B1620">
        <v>30</v>
      </c>
      <c r="C1620" t="s">
        <v>63</v>
      </c>
      <c r="D1620" t="s">
        <v>30</v>
      </c>
      <c r="E1620" t="s">
        <v>69</v>
      </c>
      <c r="F1620">
        <v>91126</v>
      </c>
      <c r="G1620">
        <v>96614</v>
      </c>
      <c r="H1620">
        <v>14</v>
      </c>
      <c r="I1620">
        <v>1622</v>
      </c>
      <c r="J1620">
        <v>0</v>
      </c>
      <c r="K1620">
        <v>218447</v>
      </c>
      <c r="L1620">
        <v>28642</v>
      </c>
      <c r="M1620">
        <v>3057</v>
      </c>
      <c r="N1620">
        <v>114857</v>
      </c>
      <c r="O1620" s="43">
        <v>5321130.4080000008</v>
      </c>
      <c r="P1620" s="14">
        <f t="shared" si="77"/>
        <v>514948.10400000121</v>
      </c>
      <c r="Q1620" s="14" t="str">
        <f t="shared" si="75"/>
        <v/>
      </c>
      <c r="R1620" s="14" t="str">
        <f t="shared" si="75"/>
        <v/>
      </c>
      <c r="S1620" s="14" t="str">
        <f t="shared" si="76"/>
        <v/>
      </c>
      <c r="T1620" s="14" t="s">
        <v>72</v>
      </c>
      <c r="U1620" s="14">
        <v>317.47725277435285</v>
      </c>
      <c r="V1620">
        <v>6883</v>
      </c>
      <c r="W1620">
        <v>17.813134765625001</v>
      </c>
      <c r="X1620">
        <v>42.699307908719497</v>
      </c>
      <c r="Y1620">
        <v>1.1698692677457601</v>
      </c>
      <c r="Z1620" s="31">
        <v>1.86945950874455</v>
      </c>
      <c r="AA1620">
        <v>7.2028984717815199</v>
      </c>
      <c r="AB1620">
        <v>0.05</v>
      </c>
      <c r="AC1620">
        <v>211602.74736967401</v>
      </c>
      <c r="AD1620">
        <v>242137.02381511801</v>
      </c>
      <c r="AE1620">
        <v>1</v>
      </c>
      <c r="AF1620">
        <v>1124.7451263856531</v>
      </c>
      <c r="AG1620">
        <v>7175.5629605369113</v>
      </c>
    </row>
    <row r="1621" spans="2:33" hidden="1" x14ac:dyDescent="0.25">
      <c r="B1621">
        <v>30</v>
      </c>
      <c r="C1621" t="s">
        <v>63</v>
      </c>
      <c r="D1621" t="s">
        <v>30</v>
      </c>
      <c r="E1621" t="s">
        <v>69</v>
      </c>
      <c r="F1621">
        <v>91126</v>
      </c>
      <c r="G1621">
        <v>96614</v>
      </c>
      <c r="H1621">
        <v>15</v>
      </c>
      <c r="I1621">
        <v>1903</v>
      </c>
      <c r="J1621">
        <v>0.9542716376508581</v>
      </c>
      <c r="K1621">
        <v>218447</v>
      </c>
      <c r="L1621">
        <v>28642</v>
      </c>
      <c r="M1621">
        <v>3057</v>
      </c>
      <c r="N1621">
        <v>114857</v>
      </c>
      <c r="O1621" s="43">
        <v>5721645.6000000006</v>
      </c>
      <c r="P1621" s="14">
        <f t="shared" si="77"/>
        <v>400515.19199999981</v>
      </c>
      <c r="Q1621" s="14" t="str">
        <f t="shared" si="75"/>
        <v/>
      </c>
      <c r="R1621" s="14" t="str">
        <f t="shared" si="75"/>
        <v/>
      </c>
      <c r="S1621" s="14" t="str">
        <f t="shared" si="76"/>
        <v/>
      </c>
      <c r="T1621" s="14" t="s">
        <v>72</v>
      </c>
      <c r="U1621" s="14">
        <v>210.46515606936407</v>
      </c>
      <c r="V1621">
        <v>6883</v>
      </c>
      <c r="W1621">
        <v>20.181909179687501</v>
      </c>
      <c r="X1621">
        <v>36.904185634359003</v>
      </c>
      <c r="Y1621">
        <v>1.4930604846147499</v>
      </c>
      <c r="Z1621" s="31">
        <v>1.2493193942557399</v>
      </c>
      <c r="AA1621">
        <v>8.4617410359244598</v>
      </c>
      <c r="AB1621">
        <v>0.05</v>
      </c>
      <c r="AC1621">
        <v>211602.74736967401</v>
      </c>
      <c r="AD1621">
        <v>242137.02381511801</v>
      </c>
      <c r="AE1621">
        <v>1</v>
      </c>
      <c r="AF1621">
        <v>1124.7451263856531</v>
      </c>
      <c r="AG1621">
        <v>7175.5629605369113</v>
      </c>
    </row>
    <row r="1622" spans="2:33" hidden="1" x14ac:dyDescent="0.25">
      <c r="B1622">
        <v>30</v>
      </c>
      <c r="C1622" t="s">
        <v>63</v>
      </c>
      <c r="D1622" t="s">
        <v>30</v>
      </c>
      <c r="E1622" t="s">
        <v>69</v>
      </c>
      <c r="F1622">
        <v>93307</v>
      </c>
      <c r="G1622">
        <v>96614</v>
      </c>
      <c r="H1622">
        <v>16</v>
      </c>
      <c r="I1622">
        <v>-336</v>
      </c>
      <c r="J1622">
        <v>0</v>
      </c>
      <c r="K1622">
        <v>218447</v>
      </c>
      <c r="L1622">
        <v>28642</v>
      </c>
      <c r="M1622">
        <v>3057</v>
      </c>
      <c r="N1622">
        <v>114857</v>
      </c>
      <c r="O1622" s="43">
        <v>6637108.8960000006</v>
      </c>
      <c r="P1622" s="14">
        <f t="shared" si="77"/>
        <v>915463.29600000009</v>
      </c>
      <c r="Q1622" s="14" t="str">
        <f t="shared" si="75"/>
        <v/>
      </c>
      <c r="R1622" s="14" t="str">
        <f t="shared" si="75"/>
        <v/>
      </c>
      <c r="S1622" s="14" t="str">
        <f t="shared" si="76"/>
        <v/>
      </c>
      <c r="T1622" s="14" t="s">
        <v>72</v>
      </c>
      <c r="U1622" s="14">
        <v>-2724.593142857143</v>
      </c>
      <c r="V1622">
        <v>6883</v>
      </c>
      <c r="W1622">
        <v>24.838830566406301</v>
      </c>
      <c r="X1622">
        <v>24.956164870275899</v>
      </c>
      <c r="Y1622">
        <v>2.3554781472339701</v>
      </c>
      <c r="Z1622" s="31">
        <v>1.8558438622737301</v>
      </c>
      <c r="AA1622">
        <v>10.352063586010001</v>
      </c>
      <c r="AB1622">
        <v>0.05</v>
      </c>
      <c r="AC1622">
        <v>211602.74736967401</v>
      </c>
      <c r="AD1622">
        <v>242137.02381511801</v>
      </c>
      <c r="AE1622">
        <v>1</v>
      </c>
      <c r="AF1622">
        <v>1124.7451263856531</v>
      </c>
      <c r="AG1622">
        <v>7175.5629605369113</v>
      </c>
    </row>
    <row r="1623" spans="2:33" hidden="1" x14ac:dyDescent="0.25">
      <c r="B1623">
        <v>30</v>
      </c>
      <c r="C1623" t="s">
        <v>63</v>
      </c>
      <c r="D1623" t="s">
        <v>30</v>
      </c>
      <c r="E1623" t="s">
        <v>69</v>
      </c>
      <c r="F1623">
        <v>93307</v>
      </c>
      <c r="G1623">
        <v>96614</v>
      </c>
      <c r="H1623">
        <v>17</v>
      </c>
      <c r="I1623">
        <v>0</v>
      </c>
      <c r="J1623">
        <v>0.68986896309023538</v>
      </c>
      <c r="K1623">
        <v>218447</v>
      </c>
      <c r="L1623">
        <v>28642</v>
      </c>
      <c r="M1623">
        <v>3057</v>
      </c>
      <c r="N1623">
        <v>114857</v>
      </c>
      <c r="O1623" s="43">
        <v>7209273.4560000002</v>
      </c>
      <c r="P1623" s="14">
        <f t="shared" si="77"/>
        <v>572164.55999999959</v>
      </c>
      <c r="Q1623" s="14" t="str">
        <f t="shared" si="75"/>
        <v/>
      </c>
      <c r="R1623" s="14" t="str">
        <f t="shared" si="75"/>
        <v/>
      </c>
      <c r="S1623" s="14" t="str">
        <f t="shared" si="76"/>
        <v/>
      </c>
      <c r="T1623" s="14" t="s">
        <v>72</v>
      </c>
      <c r="U1623" s="14">
        <v>0</v>
      </c>
      <c r="V1623">
        <v>6883</v>
      </c>
      <c r="W1623">
        <v>22.329370117187501</v>
      </c>
      <c r="X1623">
        <v>32.508445853616898</v>
      </c>
      <c r="Y1623">
        <v>1.8215217512964901</v>
      </c>
      <c r="Z1623" s="31">
        <v>1.9284909043771401</v>
      </c>
      <c r="AA1623">
        <v>10.457462266250101</v>
      </c>
      <c r="AB1623">
        <v>0.05</v>
      </c>
      <c r="AC1623">
        <v>211602.74736967401</v>
      </c>
      <c r="AD1623">
        <v>242137.02381511801</v>
      </c>
      <c r="AE1623">
        <v>1</v>
      </c>
      <c r="AF1623">
        <v>1124.7451263856531</v>
      </c>
      <c r="AG1623">
        <v>7175.5629605369113</v>
      </c>
    </row>
    <row r="1624" spans="2:33" hidden="1" x14ac:dyDescent="0.25">
      <c r="B1624">
        <v>30</v>
      </c>
      <c r="C1624" t="s">
        <v>63</v>
      </c>
      <c r="D1624" t="s">
        <v>30</v>
      </c>
      <c r="E1624" t="s">
        <v>69</v>
      </c>
      <c r="F1624">
        <v>95093</v>
      </c>
      <c r="G1624">
        <v>96614</v>
      </c>
      <c r="H1624">
        <v>18</v>
      </c>
      <c r="I1624">
        <v>2364</v>
      </c>
      <c r="J1624">
        <v>0.36451238950876691</v>
      </c>
      <c r="K1624">
        <v>218447</v>
      </c>
      <c r="L1624">
        <v>28642</v>
      </c>
      <c r="M1624">
        <v>3057</v>
      </c>
      <c r="N1624">
        <v>114857</v>
      </c>
      <c r="O1624" s="43">
        <v>7724221.5600000015</v>
      </c>
      <c r="P1624" s="14">
        <f t="shared" si="77"/>
        <v>514948.10400000121</v>
      </c>
      <c r="Q1624" s="14" t="str">
        <f t="shared" si="75"/>
        <v/>
      </c>
      <c r="R1624" s="14" t="str">
        <f t="shared" si="75"/>
        <v/>
      </c>
      <c r="S1624" s="14" t="str">
        <f t="shared" si="76"/>
        <v/>
      </c>
      <c r="T1624" s="14" t="s">
        <v>72</v>
      </c>
      <c r="U1624" s="14">
        <v>217.82914720812195</v>
      </c>
      <c r="V1624">
        <v>6883</v>
      </c>
      <c r="W1624">
        <v>22.114953613281301</v>
      </c>
      <c r="X1624">
        <v>25.706810337022901</v>
      </c>
      <c r="Y1624">
        <v>1.97928829050139</v>
      </c>
      <c r="Z1624" s="31">
        <v>2.2455569957441801</v>
      </c>
      <c r="AA1624">
        <v>18.7217342350507</v>
      </c>
      <c r="AB1624">
        <v>0.05</v>
      </c>
      <c r="AC1624">
        <v>211602.74736967401</v>
      </c>
      <c r="AD1624">
        <v>242137.02381511801</v>
      </c>
      <c r="AE1624">
        <v>1</v>
      </c>
      <c r="AF1624">
        <v>1124.7451263856531</v>
      </c>
      <c r="AG1624">
        <v>7175.5629605369113</v>
      </c>
    </row>
    <row r="1625" spans="2:33" hidden="1" x14ac:dyDescent="0.25">
      <c r="B1625">
        <v>30</v>
      </c>
      <c r="C1625" t="s">
        <v>63</v>
      </c>
      <c r="D1625" t="s">
        <v>30</v>
      </c>
      <c r="E1625" t="s">
        <v>69</v>
      </c>
      <c r="F1625">
        <v>95985</v>
      </c>
      <c r="G1625">
        <v>96614</v>
      </c>
      <c r="H1625">
        <v>19</v>
      </c>
      <c r="I1625">
        <v>0</v>
      </c>
      <c r="J1625">
        <v>0.1005133831535802</v>
      </c>
      <c r="K1625">
        <v>218447</v>
      </c>
      <c r="L1625">
        <v>28642</v>
      </c>
      <c r="M1625">
        <v>3057</v>
      </c>
      <c r="N1625">
        <v>114857</v>
      </c>
      <c r="O1625" s="43">
        <v>8353602.5760000004</v>
      </c>
      <c r="P1625" s="14">
        <f t="shared" si="77"/>
        <v>629381.0159999989</v>
      </c>
      <c r="Q1625" s="14" t="str">
        <f t="shared" si="75"/>
        <v/>
      </c>
      <c r="R1625" s="14" t="str">
        <f t="shared" si="75"/>
        <v/>
      </c>
      <c r="S1625" s="14" t="str">
        <f t="shared" si="76"/>
        <v/>
      </c>
      <c r="T1625" s="14" t="s">
        <v>72</v>
      </c>
      <c r="U1625" s="14">
        <v>0</v>
      </c>
      <c r="V1625">
        <v>6883</v>
      </c>
      <c r="W1625">
        <v>15.921044921875</v>
      </c>
      <c r="X1625">
        <v>46.502516721485399</v>
      </c>
      <c r="Y1625">
        <v>0.96886198029627102</v>
      </c>
      <c r="Z1625" s="31">
        <v>0.50902119446272598</v>
      </c>
      <c r="AA1625">
        <v>8.6852083340981405</v>
      </c>
      <c r="AB1625">
        <v>0.05</v>
      </c>
      <c r="AC1625">
        <v>211602.74736967401</v>
      </c>
      <c r="AD1625">
        <v>242137.02381511801</v>
      </c>
      <c r="AE1625">
        <v>1</v>
      </c>
      <c r="AF1625">
        <v>1124.7451263856531</v>
      </c>
      <c r="AG1625">
        <v>7175.5629605369113</v>
      </c>
    </row>
    <row r="1626" spans="2:33" hidden="1" x14ac:dyDescent="0.25">
      <c r="B1626">
        <v>30</v>
      </c>
      <c r="C1626" t="s">
        <v>63</v>
      </c>
      <c r="D1626" t="s">
        <v>30</v>
      </c>
      <c r="E1626" t="s">
        <v>69</v>
      </c>
      <c r="F1626">
        <v>95985</v>
      </c>
      <c r="G1626">
        <v>96614</v>
      </c>
      <c r="H1626">
        <v>20</v>
      </c>
      <c r="I1626">
        <v>1709</v>
      </c>
      <c r="J1626">
        <v>0</v>
      </c>
      <c r="K1626">
        <v>218447</v>
      </c>
      <c r="L1626">
        <v>28642</v>
      </c>
      <c r="M1626">
        <v>3057</v>
      </c>
      <c r="N1626">
        <v>114857</v>
      </c>
      <c r="O1626" s="43">
        <v>9383498.784</v>
      </c>
      <c r="P1626" s="14">
        <f t="shared" si="77"/>
        <v>1029896.2079999996</v>
      </c>
      <c r="Q1626" s="14" t="str">
        <f t="shared" si="75"/>
        <v/>
      </c>
      <c r="R1626" s="14" t="str">
        <f t="shared" si="75"/>
        <v/>
      </c>
      <c r="S1626" s="14" t="str">
        <f t="shared" si="76"/>
        <v/>
      </c>
      <c r="T1626" s="14" t="s">
        <v>72</v>
      </c>
      <c r="U1626" s="14">
        <v>602.63089994148606</v>
      </c>
      <c r="V1626">
        <v>6883</v>
      </c>
      <c r="W1626">
        <v>14.7497802734375</v>
      </c>
      <c r="X1626">
        <v>56.373687367455403</v>
      </c>
      <c r="Y1626">
        <v>0.73290827232300304</v>
      </c>
      <c r="Z1626" s="31">
        <v>0.87267140287393496</v>
      </c>
      <c r="AA1626">
        <v>17.709079491648701</v>
      </c>
      <c r="AB1626">
        <v>0.05</v>
      </c>
      <c r="AC1626">
        <v>211602.74736967401</v>
      </c>
      <c r="AD1626">
        <v>242137.02381511801</v>
      </c>
      <c r="AE1626">
        <v>1</v>
      </c>
      <c r="AF1626">
        <v>1124.7451263856531</v>
      </c>
      <c r="AG1626">
        <v>7175.5629605369113</v>
      </c>
    </row>
    <row r="1627" spans="2:33" hidden="1" x14ac:dyDescent="0.25">
      <c r="B1627">
        <v>30</v>
      </c>
      <c r="C1627" t="s">
        <v>63</v>
      </c>
      <c r="D1627" t="s">
        <v>30</v>
      </c>
      <c r="E1627" t="s">
        <v>69</v>
      </c>
      <c r="F1627">
        <v>95985</v>
      </c>
      <c r="G1627">
        <v>96614</v>
      </c>
      <c r="H1627">
        <v>21</v>
      </c>
      <c r="I1627">
        <v>903</v>
      </c>
      <c r="J1627">
        <v>0</v>
      </c>
      <c r="K1627">
        <v>218447</v>
      </c>
      <c r="L1627">
        <v>28642</v>
      </c>
      <c r="M1627">
        <v>3057</v>
      </c>
      <c r="N1627">
        <v>114857</v>
      </c>
      <c r="O1627" s="43">
        <v>9383498.784</v>
      </c>
      <c r="P1627" s="14">
        <f t="shared" si="77"/>
        <v>0</v>
      </c>
      <c r="Q1627" s="14" t="str">
        <f t="shared" si="75"/>
        <v/>
      </c>
      <c r="R1627" s="14" t="str">
        <f t="shared" si="75"/>
        <v/>
      </c>
      <c r="S1627" s="14" t="str">
        <f t="shared" si="76"/>
        <v/>
      </c>
      <c r="T1627" s="14" t="s">
        <v>72</v>
      </c>
      <c r="U1627" s="14">
        <v>0</v>
      </c>
      <c r="V1627">
        <v>6883</v>
      </c>
      <c r="W1627">
        <v>15.9900756835937</v>
      </c>
      <c r="X1627">
        <v>38.485792504170398</v>
      </c>
      <c r="Y1627">
        <v>1.11901377403904</v>
      </c>
      <c r="Z1627" s="31">
        <v>3.0446191548005501</v>
      </c>
      <c r="AA1627">
        <v>9.6215906368198691</v>
      </c>
      <c r="AB1627">
        <v>0.05</v>
      </c>
      <c r="AC1627">
        <v>211602.74736967401</v>
      </c>
      <c r="AD1627">
        <v>242137.02381511801</v>
      </c>
      <c r="AE1627">
        <v>1</v>
      </c>
      <c r="AF1627">
        <v>1124.7451263856531</v>
      </c>
      <c r="AG1627">
        <v>7175.5629605369113</v>
      </c>
    </row>
    <row r="1628" spans="2:33" hidden="1" x14ac:dyDescent="0.25">
      <c r="B1628">
        <v>30</v>
      </c>
      <c r="C1628" t="s">
        <v>63</v>
      </c>
      <c r="D1628" t="s">
        <v>30</v>
      </c>
      <c r="E1628" t="s">
        <v>69</v>
      </c>
      <c r="F1628">
        <v>96223</v>
      </c>
      <c r="G1628">
        <v>96614</v>
      </c>
      <c r="H1628">
        <v>22</v>
      </c>
      <c r="I1628">
        <v>249</v>
      </c>
      <c r="J1628">
        <v>0</v>
      </c>
      <c r="K1628">
        <v>218447</v>
      </c>
      <c r="L1628">
        <v>28642</v>
      </c>
      <c r="M1628">
        <v>3057</v>
      </c>
      <c r="N1628">
        <v>114857</v>
      </c>
      <c r="O1628" s="43">
        <v>9612364.6080000009</v>
      </c>
      <c r="P1628" s="14">
        <f t="shared" si="77"/>
        <v>228865.82400000095</v>
      </c>
      <c r="Q1628" s="14" t="str">
        <f t="shared" si="75"/>
        <v/>
      </c>
      <c r="R1628" s="14" t="str">
        <f t="shared" si="75"/>
        <v/>
      </c>
      <c r="S1628" s="14" t="str">
        <f t="shared" si="76"/>
        <v/>
      </c>
      <c r="T1628" s="14" t="s">
        <v>72</v>
      </c>
      <c r="U1628" s="14">
        <v>919.13985542169053</v>
      </c>
      <c r="V1628">
        <v>6883</v>
      </c>
      <c r="W1628">
        <v>17.030603027343702</v>
      </c>
      <c r="X1628">
        <v>35.180076411376</v>
      </c>
      <c r="Y1628">
        <v>1.25973033930846</v>
      </c>
      <c r="Z1628" s="31">
        <v>2.6488002605407801</v>
      </c>
      <c r="AA1628">
        <v>13.9368470031317</v>
      </c>
      <c r="AB1628">
        <v>0.05</v>
      </c>
      <c r="AC1628">
        <v>211602.74736967401</v>
      </c>
      <c r="AD1628">
        <v>242137.02381511801</v>
      </c>
      <c r="AE1628">
        <v>1</v>
      </c>
      <c r="AF1628">
        <v>1124.7451263856531</v>
      </c>
      <c r="AG1628">
        <v>7175.5629605369113</v>
      </c>
    </row>
    <row r="1629" spans="2:33" hidden="1" x14ac:dyDescent="0.25">
      <c r="B1629">
        <v>30</v>
      </c>
      <c r="C1629" t="s">
        <v>63</v>
      </c>
      <c r="D1629" t="s">
        <v>30</v>
      </c>
      <c r="E1629" t="s">
        <v>69</v>
      </c>
      <c r="F1629">
        <v>96298</v>
      </c>
      <c r="G1629">
        <v>96614</v>
      </c>
      <c r="H1629">
        <v>23</v>
      </c>
      <c r="I1629">
        <v>0</v>
      </c>
      <c r="J1629">
        <v>3.0275115407704889E-2</v>
      </c>
      <c r="K1629">
        <v>218447</v>
      </c>
      <c r="L1629">
        <v>28642</v>
      </c>
      <c r="M1629">
        <v>3057</v>
      </c>
      <c r="N1629">
        <v>114857</v>
      </c>
      <c r="O1629" s="43">
        <v>9955663.3440000005</v>
      </c>
      <c r="P1629" s="14">
        <f t="shared" si="77"/>
        <v>343298.73599999957</v>
      </c>
      <c r="Q1629" s="14" t="str">
        <f t="shared" si="75"/>
        <v/>
      </c>
      <c r="R1629" s="14" t="str">
        <f t="shared" si="75"/>
        <v/>
      </c>
      <c r="S1629" s="14" t="str">
        <f t="shared" si="76"/>
        <v/>
      </c>
      <c r="T1629" s="14" t="s">
        <v>72</v>
      </c>
      <c r="U1629" s="14">
        <v>0</v>
      </c>
      <c r="V1629">
        <v>6883</v>
      </c>
      <c r="W1629">
        <v>20.250115966796901</v>
      </c>
      <c r="X1629">
        <v>33.647776496353401</v>
      </c>
      <c r="Y1629">
        <v>1.5767917861458201</v>
      </c>
      <c r="Z1629" s="31">
        <v>0.89762133580436299</v>
      </c>
      <c r="AA1629">
        <v>3.7017946701280899</v>
      </c>
      <c r="AB1629">
        <v>0.05</v>
      </c>
      <c r="AC1629">
        <v>211602.74736967401</v>
      </c>
      <c r="AD1629">
        <v>242137.02381511801</v>
      </c>
      <c r="AE1629">
        <v>1</v>
      </c>
      <c r="AF1629">
        <v>1124.7451263856531</v>
      </c>
      <c r="AG1629">
        <v>7175.5629605369113</v>
      </c>
    </row>
    <row r="1630" spans="2:33" hidden="1" x14ac:dyDescent="0.25">
      <c r="B1630">
        <v>30</v>
      </c>
      <c r="C1630" t="s">
        <v>63</v>
      </c>
      <c r="D1630" t="s">
        <v>30</v>
      </c>
      <c r="E1630" t="s">
        <v>69</v>
      </c>
      <c r="F1630">
        <v>96298</v>
      </c>
      <c r="G1630">
        <v>96614</v>
      </c>
      <c r="H1630">
        <v>24</v>
      </c>
      <c r="I1630">
        <v>0</v>
      </c>
      <c r="J1630">
        <v>0</v>
      </c>
      <c r="K1630">
        <v>218447</v>
      </c>
      <c r="L1630">
        <v>28642</v>
      </c>
      <c r="M1630">
        <v>3057</v>
      </c>
      <c r="N1630">
        <v>114857</v>
      </c>
      <c r="O1630" s="43">
        <v>10311545.12300352</v>
      </c>
      <c r="P1630" s="14">
        <f t="shared" si="77"/>
        <v>355881.77900351956</v>
      </c>
      <c r="Q1630" s="14" t="str">
        <f t="shared" si="75"/>
        <v/>
      </c>
      <c r="R1630" s="14" t="str">
        <f t="shared" si="75"/>
        <v/>
      </c>
      <c r="S1630" s="14" t="str">
        <f t="shared" si="76"/>
        <v/>
      </c>
      <c r="T1630" s="14" t="s">
        <v>72</v>
      </c>
      <c r="U1630" s="14">
        <v>0</v>
      </c>
      <c r="V1630">
        <v>6883</v>
      </c>
      <c r="W1630">
        <v>22.848168945312501</v>
      </c>
      <c r="X1630">
        <v>31.238566045687701</v>
      </c>
      <c r="Y1630">
        <v>1.91508432196082</v>
      </c>
      <c r="Z1630" s="31">
        <v>0.47774367298067399</v>
      </c>
      <c r="AA1630">
        <v>4.5890079680105504</v>
      </c>
      <c r="AB1630">
        <v>0.05</v>
      </c>
      <c r="AC1630">
        <v>211602.74736967401</v>
      </c>
      <c r="AD1630">
        <v>242137.02381511801</v>
      </c>
      <c r="AE1630">
        <v>1</v>
      </c>
      <c r="AF1630">
        <v>1124.7451263856531</v>
      </c>
      <c r="AG1630">
        <v>7175.5629605369113</v>
      </c>
    </row>
    <row r="1631" spans="2:33" hidden="1" x14ac:dyDescent="0.25">
      <c r="B1631">
        <v>30</v>
      </c>
      <c r="C1631" t="s">
        <v>63</v>
      </c>
      <c r="D1631" t="s">
        <v>30</v>
      </c>
      <c r="E1631" t="s">
        <v>69</v>
      </c>
      <c r="F1631">
        <v>96478</v>
      </c>
      <c r="G1631">
        <v>96614</v>
      </c>
      <c r="H1631">
        <v>25</v>
      </c>
      <c r="I1631">
        <v>0</v>
      </c>
      <c r="J1631">
        <v>7.2660276978491728E-2</v>
      </c>
      <c r="K1631">
        <v>218447</v>
      </c>
      <c r="L1631">
        <v>28642</v>
      </c>
      <c r="M1631">
        <v>3057</v>
      </c>
      <c r="N1631">
        <v>114857</v>
      </c>
      <c r="O1631" s="43">
        <v>10792077.52871952</v>
      </c>
      <c r="P1631" s="14">
        <f t="shared" si="77"/>
        <v>480532.40571600012</v>
      </c>
      <c r="Q1631" s="14" t="str">
        <f t="shared" si="75"/>
        <v/>
      </c>
      <c r="R1631" s="14" t="str">
        <f t="shared" si="75"/>
        <v/>
      </c>
      <c r="S1631" s="14" t="str">
        <f t="shared" si="76"/>
        <v/>
      </c>
      <c r="T1631" s="14" t="s">
        <v>72</v>
      </c>
      <c r="U1631" s="14">
        <v>0</v>
      </c>
      <c r="V1631">
        <v>6883</v>
      </c>
      <c r="W1631">
        <v>25.064202880859401</v>
      </c>
      <c r="X1631">
        <v>34.4678253795229</v>
      </c>
      <c r="Y1631">
        <v>2.0843758619742201</v>
      </c>
      <c r="Z1631" s="31">
        <v>0.75538985013946702</v>
      </c>
      <c r="AA1631">
        <v>7.0123111056245397</v>
      </c>
      <c r="AB1631">
        <v>0.05</v>
      </c>
      <c r="AC1631">
        <v>211602.74736967401</v>
      </c>
      <c r="AD1631">
        <v>242137.02381511801</v>
      </c>
      <c r="AE1631">
        <v>1</v>
      </c>
      <c r="AF1631">
        <v>1124.7451263856531</v>
      </c>
      <c r="AG1631">
        <v>7175.5629605369113</v>
      </c>
    </row>
    <row r="1632" spans="2:33" hidden="1" x14ac:dyDescent="0.25">
      <c r="B1632">
        <v>30</v>
      </c>
      <c r="C1632" t="s">
        <v>63</v>
      </c>
      <c r="D1632" t="s">
        <v>30</v>
      </c>
      <c r="E1632" t="s">
        <v>69</v>
      </c>
      <c r="F1632">
        <v>96478</v>
      </c>
      <c r="G1632">
        <v>96614</v>
      </c>
      <c r="H1632">
        <v>26</v>
      </c>
      <c r="I1632">
        <v>75</v>
      </c>
      <c r="J1632">
        <v>0</v>
      </c>
      <c r="K1632">
        <v>218447</v>
      </c>
      <c r="L1632">
        <v>28642</v>
      </c>
      <c r="M1632">
        <v>3057</v>
      </c>
      <c r="N1632">
        <v>114857</v>
      </c>
      <c r="O1632" s="43">
        <v>11141389.71424512</v>
      </c>
      <c r="P1632" s="14">
        <f t="shared" si="77"/>
        <v>349312.18552559987</v>
      </c>
      <c r="Q1632" s="14" t="str">
        <f t="shared" si="75"/>
        <v/>
      </c>
      <c r="R1632" s="14" t="str">
        <f t="shared" si="75"/>
        <v/>
      </c>
      <c r="S1632" s="14" t="str">
        <f t="shared" si="76"/>
        <v/>
      </c>
      <c r="T1632" s="14" t="s">
        <v>72</v>
      </c>
      <c r="U1632" s="14">
        <v>4657.4958070079983</v>
      </c>
      <c r="V1632">
        <v>6883</v>
      </c>
      <c r="W1632">
        <v>22.607568359375001</v>
      </c>
      <c r="X1632">
        <v>36.515861838345103</v>
      </c>
      <c r="Y1632">
        <v>1.74242098305485</v>
      </c>
      <c r="Z1632" s="31">
        <v>0.30306392467933502</v>
      </c>
      <c r="AA1632">
        <v>7.3007048696286398</v>
      </c>
      <c r="AB1632">
        <v>0.05</v>
      </c>
      <c r="AC1632">
        <v>211602.74736967401</v>
      </c>
      <c r="AD1632">
        <v>242137.02381511801</v>
      </c>
      <c r="AE1632">
        <v>1</v>
      </c>
      <c r="AF1632">
        <v>1124.7451263856531</v>
      </c>
      <c r="AG1632">
        <v>7175.5629605369113</v>
      </c>
    </row>
    <row r="1633" spans="2:33" hidden="1" x14ac:dyDescent="0.25">
      <c r="B1633">
        <v>30</v>
      </c>
      <c r="C1633" t="s">
        <v>63</v>
      </c>
      <c r="D1633" t="s">
        <v>30</v>
      </c>
      <c r="E1633" t="s">
        <v>69</v>
      </c>
      <c r="F1633">
        <v>96478</v>
      </c>
      <c r="G1633">
        <v>96614</v>
      </c>
      <c r="H1633">
        <v>27</v>
      </c>
      <c r="I1633">
        <v>0</v>
      </c>
      <c r="J1633">
        <v>0</v>
      </c>
      <c r="K1633">
        <v>218447</v>
      </c>
      <c r="L1633">
        <v>28642</v>
      </c>
      <c r="M1633">
        <v>3057</v>
      </c>
      <c r="N1633">
        <v>114857</v>
      </c>
      <c r="O1633" s="43">
        <v>11409810.418607039</v>
      </c>
      <c r="P1633" s="14">
        <f t="shared" si="77"/>
        <v>268420.70436191931</v>
      </c>
      <c r="Q1633" s="14" t="str">
        <f t="shared" si="75"/>
        <v/>
      </c>
      <c r="R1633" s="14" t="str">
        <f t="shared" si="75"/>
        <v/>
      </c>
      <c r="S1633" s="14" t="str">
        <f t="shared" si="76"/>
        <v/>
      </c>
      <c r="T1633" s="14" t="s">
        <v>72</v>
      </c>
      <c r="U1633" s="14">
        <v>0</v>
      </c>
      <c r="V1633">
        <v>6883</v>
      </c>
      <c r="W1633">
        <v>25.366052246093702</v>
      </c>
      <c r="X1633">
        <v>37.594711508518699</v>
      </c>
      <c r="Y1633">
        <v>2.0206996490093299</v>
      </c>
      <c r="Z1633" s="31">
        <v>0.73748562657869099</v>
      </c>
      <c r="AA1633">
        <v>8.9542632108137195</v>
      </c>
      <c r="AB1633">
        <v>0.05</v>
      </c>
      <c r="AC1633">
        <v>211602.74736967401</v>
      </c>
      <c r="AD1633">
        <v>242137.02381511801</v>
      </c>
      <c r="AE1633">
        <v>1</v>
      </c>
      <c r="AF1633">
        <v>1124.7451263856531</v>
      </c>
      <c r="AG1633">
        <v>7175.5629605369113</v>
      </c>
    </row>
    <row r="1634" spans="2:33" hidden="1" x14ac:dyDescent="0.25">
      <c r="B1634">
        <v>30</v>
      </c>
      <c r="C1634" t="s">
        <v>63</v>
      </c>
      <c r="D1634" t="s">
        <v>30</v>
      </c>
      <c r="E1634" t="s">
        <v>69</v>
      </c>
      <c r="F1634">
        <v>96478</v>
      </c>
      <c r="G1634">
        <v>96614</v>
      </c>
      <c r="H1634">
        <v>28</v>
      </c>
      <c r="I1634">
        <v>180</v>
      </c>
      <c r="J1634">
        <v>0</v>
      </c>
      <c r="K1634">
        <v>218447</v>
      </c>
      <c r="L1634">
        <v>28642</v>
      </c>
      <c r="M1634">
        <v>3057</v>
      </c>
      <c r="N1634">
        <v>114857</v>
      </c>
      <c r="O1634" s="43">
        <v>11684972.36581488</v>
      </c>
      <c r="P1634" s="14">
        <f t="shared" si="77"/>
        <v>275161.94720784016</v>
      </c>
      <c r="Q1634" s="14" t="str">
        <f t="shared" si="75"/>
        <v/>
      </c>
      <c r="R1634" s="14" t="str">
        <f t="shared" si="75"/>
        <v/>
      </c>
      <c r="S1634" s="14" t="str">
        <f t="shared" si="76"/>
        <v/>
      </c>
      <c r="T1634" s="14" t="s">
        <v>72</v>
      </c>
      <c r="U1634" s="14">
        <v>1528.6774844880008</v>
      </c>
      <c r="V1634">
        <v>6883</v>
      </c>
      <c r="W1634">
        <v>24.222863769531301</v>
      </c>
      <c r="X1634">
        <v>31.2274236526113</v>
      </c>
      <c r="Y1634">
        <v>2.0805049935834501</v>
      </c>
      <c r="Z1634" s="31">
        <v>1.0897527822519499</v>
      </c>
      <c r="AA1634">
        <v>5.8199218999164097</v>
      </c>
      <c r="AB1634">
        <v>0.05</v>
      </c>
      <c r="AC1634">
        <v>211602.74736967401</v>
      </c>
      <c r="AD1634">
        <v>242137.02381511801</v>
      </c>
      <c r="AE1634">
        <v>1</v>
      </c>
      <c r="AF1634">
        <v>1124.7451263856531</v>
      </c>
      <c r="AG1634">
        <v>7175.5629605369113</v>
      </c>
    </row>
    <row r="1635" spans="2:33" hidden="1" x14ac:dyDescent="0.25">
      <c r="B1635">
        <v>30</v>
      </c>
      <c r="C1635" t="s">
        <v>63</v>
      </c>
      <c r="D1635" t="s">
        <v>30</v>
      </c>
      <c r="E1635" t="s">
        <v>69</v>
      </c>
      <c r="F1635">
        <v>96478</v>
      </c>
      <c r="G1635">
        <v>96614</v>
      </c>
      <c r="H1635">
        <v>29</v>
      </c>
      <c r="I1635">
        <v>0</v>
      </c>
      <c r="J1635">
        <v>0</v>
      </c>
      <c r="K1635">
        <v>218447</v>
      </c>
      <c r="L1635">
        <v>28642</v>
      </c>
      <c r="M1635">
        <v>3057</v>
      </c>
      <c r="N1635">
        <v>114857</v>
      </c>
      <c r="O1635" s="43">
        <v>12002889.881933279</v>
      </c>
      <c r="P1635" s="14">
        <f t="shared" si="77"/>
        <v>317917.5161183998</v>
      </c>
      <c r="Q1635" s="14" t="str">
        <f t="shared" si="75"/>
        <v/>
      </c>
      <c r="R1635" s="14" t="str">
        <f t="shared" si="75"/>
        <v/>
      </c>
      <c r="S1635" s="14" t="str">
        <f t="shared" si="76"/>
        <v/>
      </c>
      <c r="T1635" s="14" t="s">
        <v>72</v>
      </c>
      <c r="U1635" s="14">
        <v>0</v>
      </c>
      <c r="V1635">
        <v>6883</v>
      </c>
      <c r="W1635">
        <v>24.063745117187501</v>
      </c>
      <c r="X1635">
        <v>30.9164045705446</v>
      </c>
      <c r="Y1635">
        <v>2.0701089692554899</v>
      </c>
      <c r="Z1635" s="31">
        <v>1.15186335240375</v>
      </c>
      <c r="AA1635">
        <v>11.8097100018252</v>
      </c>
      <c r="AB1635">
        <v>0.05</v>
      </c>
      <c r="AC1635">
        <v>211602.74736967401</v>
      </c>
      <c r="AD1635">
        <v>242137.02381511801</v>
      </c>
      <c r="AE1635">
        <v>1</v>
      </c>
      <c r="AF1635">
        <v>1124.7451263856531</v>
      </c>
      <c r="AG1635">
        <v>7175.5629605369113</v>
      </c>
    </row>
    <row r="1636" spans="2:33" hidden="1" x14ac:dyDescent="0.25">
      <c r="B1636">
        <v>30</v>
      </c>
      <c r="C1636" t="s">
        <v>63</v>
      </c>
      <c r="D1636" t="s">
        <v>30</v>
      </c>
      <c r="E1636" t="s">
        <v>69</v>
      </c>
      <c r="F1636">
        <v>96478</v>
      </c>
      <c r="G1636">
        <v>96614</v>
      </c>
      <c r="H1636">
        <v>30</v>
      </c>
      <c r="I1636">
        <v>0</v>
      </c>
      <c r="J1636">
        <v>0</v>
      </c>
      <c r="K1636">
        <v>218447</v>
      </c>
      <c r="L1636">
        <v>28642</v>
      </c>
      <c r="M1636">
        <v>3057</v>
      </c>
      <c r="N1636">
        <v>114857</v>
      </c>
      <c r="O1636" s="43">
        <v>12252074.413788</v>
      </c>
      <c r="P1636" s="14">
        <f t="shared" si="77"/>
        <v>249184.53185472079</v>
      </c>
      <c r="Q1636" s="14" t="str">
        <f t="shared" si="75"/>
        <v/>
      </c>
      <c r="R1636" s="14" t="str">
        <f t="shared" si="75"/>
        <v/>
      </c>
      <c r="S1636" s="14" t="str">
        <f t="shared" si="76"/>
        <v/>
      </c>
      <c r="T1636" s="14" t="s">
        <v>72</v>
      </c>
      <c r="U1636" s="14">
        <v>0</v>
      </c>
      <c r="V1636">
        <v>6883</v>
      </c>
      <c r="W1636">
        <v>23.201013183593702</v>
      </c>
      <c r="X1636">
        <v>30.265790449783701</v>
      </c>
      <c r="Y1636">
        <v>1.9840285971960701</v>
      </c>
      <c r="Z1636" s="31">
        <v>0.69242439394002797</v>
      </c>
      <c r="AA1636">
        <v>4.5585653180871804</v>
      </c>
      <c r="AB1636">
        <v>0.05</v>
      </c>
      <c r="AC1636">
        <v>211602.74736967401</v>
      </c>
      <c r="AD1636">
        <v>242137.02381511801</v>
      </c>
      <c r="AE1636">
        <v>1</v>
      </c>
      <c r="AF1636">
        <v>1124.7451263856531</v>
      </c>
      <c r="AG1636">
        <v>7175.5629605369113</v>
      </c>
    </row>
    <row r="1637" spans="2:33" hidden="1" x14ac:dyDescent="0.25">
      <c r="B1637">
        <v>30</v>
      </c>
      <c r="C1637" t="s">
        <v>63</v>
      </c>
      <c r="D1637" t="s">
        <v>30</v>
      </c>
      <c r="E1637" t="s">
        <v>69</v>
      </c>
      <c r="F1637">
        <v>96478</v>
      </c>
      <c r="G1637">
        <v>96614</v>
      </c>
      <c r="H1637">
        <v>31</v>
      </c>
      <c r="I1637">
        <v>0</v>
      </c>
      <c r="J1637">
        <v>0</v>
      </c>
      <c r="K1637">
        <v>218447</v>
      </c>
      <c r="L1637">
        <v>28642</v>
      </c>
      <c r="M1637">
        <v>3057</v>
      </c>
      <c r="N1637">
        <v>114857</v>
      </c>
      <c r="O1637" s="43">
        <v>12435501.217091041</v>
      </c>
      <c r="P1637" s="14">
        <f t="shared" si="77"/>
        <v>183426.80330304056</v>
      </c>
      <c r="Q1637" s="14" t="str">
        <f t="shared" si="75"/>
        <v/>
      </c>
      <c r="R1637" s="14" t="str">
        <f t="shared" si="75"/>
        <v/>
      </c>
      <c r="S1637" s="14" t="str">
        <f t="shared" si="76"/>
        <v/>
      </c>
      <c r="T1637" s="14" t="s">
        <v>72</v>
      </c>
      <c r="U1637" s="14">
        <v>0</v>
      </c>
      <c r="V1637">
        <v>6883</v>
      </c>
      <c r="W1637">
        <v>23.290216064453102</v>
      </c>
      <c r="X1637">
        <v>32.3708874277239</v>
      </c>
      <c r="Y1637">
        <v>1.9344541085250899</v>
      </c>
      <c r="Z1637" s="31">
        <v>0.91875983060330402</v>
      </c>
      <c r="AA1637">
        <v>3.5918873217866998</v>
      </c>
      <c r="AB1637">
        <v>0.05</v>
      </c>
      <c r="AC1637">
        <v>211602.74736967401</v>
      </c>
      <c r="AD1637">
        <v>242137.02381511801</v>
      </c>
      <c r="AE1637">
        <v>1</v>
      </c>
      <c r="AF1637">
        <v>1124.7451263856531</v>
      </c>
      <c r="AG1637">
        <v>7175.5629605369113</v>
      </c>
    </row>
    <row r="1638" spans="2:33" hidden="1" x14ac:dyDescent="0.25">
      <c r="B1638">
        <v>30</v>
      </c>
      <c r="C1638" t="s">
        <v>63</v>
      </c>
      <c r="D1638" t="s">
        <v>30</v>
      </c>
      <c r="E1638" t="s">
        <v>69</v>
      </c>
      <c r="F1638">
        <v>96478</v>
      </c>
      <c r="G1638">
        <v>96614</v>
      </c>
      <c r="H1638">
        <v>32</v>
      </c>
      <c r="I1638">
        <v>0</v>
      </c>
      <c r="J1638">
        <v>0</v>
      </c>
      <c r="K1638">
        <v>218447</v>
      </c>
      <c r="L1638">
        <v>28642</v>
      </c>
      <c r="M1638">
        <v>3057</v>
      </c>
      <c r="N1638">
        <v>114857</v>
      </c>
      <c r="O1638" s="43">
        <v>12419893.71222336</v>
      </c>
      <c r="P1638" s="14">
        <f t="shared" si="77"/>
        <v>-15607.504867680371</v>
      </c>
      <c r="Q1638" s="14">
        <f t="shared" si="75"/>
        <v>-15607.504867680371</v>
      </c>
      <c r="R1638" s="14">
        <f t="shared" si="75"/>
        <v>-15607.504867680371</v>
      </c>
      <c r="S1638" s="14">
        <f t="shared" si="76"/>
        <v>243594208.19466648</v>
      </c>
      <c r="T1638" s="14">
        <v>243594208.19466648</v>
      </c>
      <c r="U1638" s="14">
        <v>0</v>
      </c>
      <c r="V1638">
        <v>6883</v>
      </c>
      <c r="W1638">
        <v>20.943566894531301</v>
      </c>
      <c r="X1638">
        <v>50.669970082909899</v>
      </c>
      <c r="Y1638">
        <v>1.2231097475398101</v>
      </c>
      <c r="Z1638" s="31">
        <v>1.3748824454714901</v>
      </c>
      <c r="AA1638">
        <v>7.5980242236328897</v>
      </c>
      <c r="AB1638">
        <v>0.05</v>
      </c>
      <c r="AC1638">
        <v>211602.74736967401</v>
      </c>
      <c r="AD1638">
        <v>242137.02381511801</v>
      </c>
      <c r="AE1638">
        <v>1</v>
      </c>
      <c r="AF1638">
        <v>1124.7451263856531</v>
      </c>
      <c r="AG1638">
        <v>7175.5629605369113</v>
      </c>
    </row>
    <row r="1639" spans="2:33" hidden="1" x14ac:dyDescent="0.25">
      <c r="B1639">
        <v>30</v>
      </c>
      <c r="C1639" t="s">
        <v>63</v>
      </c>
      <c r="D1639" t="s">
        <v>30</v>
      </c>
      <c r="E1639" t="s">
        <v>69</v>
      </c>
      <c r="F1639">
        <v>96614</v>
      </c>
      <c r="G1639">
        <v>96614</v>
      </c>
      <c r="H1639">
        <v>33</v>
      </c>
      <c r="I1639">
        <v>0</v>
      </c>
      <c r="J1639">
        <v>5.4898875939304863E-2</v>
      </c>
      <c r="K1639">
        <v>218447</v>
      </c>
      <c r="L1639">
        <v>28642</v>
      </c>
      <c r="M1639">
        <v>3057</v>
      </c>
      <c r="N1639">
        <v>114857</v>
      </c>
      <c r="O1639" s="43">
        <v>12563746.18156944</v>
      </c>
      <c r="P1639" s="14">
        <f t="shared" si="77"/>
        <v>143852.46934607998</v>
      </c>
      <c r="Q1639" s="14" t="str">
        <f t="shared" si="75"/>
        <v/>
      </c>
      <c r="R1639" s="14" t="str">
        <f t="shared" si="75"/>
        <v/>
      </c>
      <c r="S1639" s="14" t="str">
        <f t="shared" si="76"/>
        <v/>
      </c>
      <c r="T1639" s="14" t="s">
        <v>72</v>
      </c>
      <c r="U1639" s="14">
        <v>0</v>
      </c>
      <c r="V1639">
        <v>6883</v>
      </c>
      <c r="W1639">
        <v>21.691125488281301</v>
      </c>
      <c r="X1639">
        <v>25.495554037029699</v>
      </c>
      <c r="Y1639">
        <v>1.9343273511227199</v>
      </c>
      <c r="Z1639" s="31">
        <v>1.16121497477136</v>
      </c>
      <c r="AA1639">
        <v>8.7244970903484393</v>
      </c>
      <c r="AB1639">
        <v>0.05</v>
      </c>
      <c r="AC1639">
        <v>211602.74736967401</v>
      </c>
      <c r="AD1639">
        <v>242137.02381511801</v>
      </c>
      <c r="AE1639">
        <v>1</v>
      </c>
      <c r="AF1639">
        <v>1124.7451263856531</v>
      </c>
      <c r="AG1639">
        <v>7175.5629605369113</v>
      </c>
    </row>
    <row r="1640" spans="2:33" hidden="1" x14ac:dyDescent="0.25">
      <c r="B1640">
        <v>30</v>
      </c>
      <c r="C1640" t="s">
        <v>63</v>
      </c>
      <c r="D1640" t="s">
        <v>30</v>
      </c>
      <c r="E1640" t="s">
        <v>69</v>
      </c>
      <c r="F1640">
        <v>96614</v>
      </c>
      <c r="G1640">
        <v>96614</v>
      </c>
      <c r="H1640">
        <v>34</v>
      </c>
      <c r="I1640">
        <v>0</v>
      </c>
      <c r="J1640">
        <v>0</v>
      </c>
      <c r="K1640">
        <v>218447</v>
      </c>
      <c r="L1640">
        <v>28642</v>
      </c>
      <c r="M1640">
        <v>3057</v>
      </c>
      <c r="N1640">
        <v>114857</v>
      </c>
      <c r="O1640" s="43">
        <v>12620962.637569441</v>
      </c>
      <c r="P1640" s="14">
        <f t="shared" si="77"/>
        <v>57216.456000000238</v>
      </c>
      <c r="Q1640" s="14" t="str">
        <f t="shared" si="75"/>
        <v/>
      </c>
      <c r="R1640" s="14" t="str">
        <f t="shared" si="75"/>
        <v/>
      </c>
      <c r="S1640" s="14" t="str">
        <f t="shared" si="76"/>
        <v/>
      </c>
      <c r="T1640" s="14" t="s">
        <v>72</v>
      </c>
      <c r="U1640" s="14">
        <v>0</v>
      </c>
      <c r="V1640">
        <v>6883</v>
      </c>
      <c r="W1640">
        <v>20.547753906250001</v>
      </c>
      <c r="X1640">
        <v>25.296500469886201</v>
      </c>
      <c r="Y1640">
        <v>1.8082374025413499</v>
      </c>
      <c r="Z1640" s="31">
        <v>1.43406957019241</v>
      </c>
      <c r="AA1640">
        <v>9.3974978116742207</v>
      </c>
      <c r="AB1640">
        <v>0.05</v>
      </c>
      <c r="AC1640">
        <v>211602.74736967401</v>
      </c>
      <c r="AD1640">
        <v>242137.02381511801</v>
      </c>
      <c r="AE1640">
        <v>1</v>
      </c>
      <c r="AF1640">
        <v>1124.7451263856531</v>
      </c>
      <c r="AG1640">
        <v>7175.5629605369113</v>
      </c>
    </row>
    <row r="1641" spans="2:33" hidden="1" x14ac:dyDescent="0.25">
      <c r="B1641">
        <v>30</v>
      </c>
      <c r="C1641" t="s">
        <v>63</v>
      </c>
      <c r="D1641" t="s">
        <v>30</v>
      </c>
      <c r="E1641" t="s">
        <v>69</v>
      </c>
      <c r="F1641">
        <v>96614</v>
      </c>
      <c r="G1641">
        <v>96614</v>
      </c>
      <c r="H1641">
        <v>35</v>
      </c>
      <c r="I1641">
        <v>0</v>
      </c>
      <c r="J1641">
        <v>0</v>
      </c>
      <c r="K1641">
        <v>218447</v>
      </c>
      <c r="L1641">
        <v>28642</v>
      </c>
      <c r="M1641">
        <v>3057</v>
      </c>
      <c r="N1641">
        <v>114857</v>
      </c>
      <c r="O1641" s="43">
        <v>12735395.549569439</v>
      </c>
      <c r="P1641" s="14">
        <f t="shared" si="77"/>
        <v>114432.91199999861</v>
      </c>
      <c r="Q1641" s="14" t="str">
        <f t="shared" si="75"/>
        <v/>
      </c>
      <c r="R1641" s="14" t="str">
        <f t="shared" si="75"/>
        <v/>
      </c>
      <c r="S1641" s="14" t="str">
        <f t="shared" si="76"/>
        <v/>
      </c>
      <c r="T1641" s="14" t="s">
        <v>72</v>
      </c>
      <c r="U1641" s="14">
        <v>0</v>
      </c>
      <c r="V1641">
        <v>6883</v>
      </c>
      <c r="W1641">
        <v>8.4572998046875192</v>
      </c>
      <c r="X1641">
        <v>97.101517539991505</v>
      </c>
      <c r="Y1641">
        <v>3.21370319395766E-2</v>
      </c>
      <c r="Z1641" s="31">
        <v>1.29186331844406</v>
      </c>
      <c r="AA1641">
        <v>12.5739536460395</v>
      </c>
      <c r="AB1641">
        <v>0.05</v>
      </c>
      <c r="AC1641">
        <v>211602.74736967401</v>
      </c>
      <c r="AD1641">
        <v>242137.02381511801</v>
      </c>
      <c r="AE1641">
        <v>1</v>
      </c>
      <c r="AF1641">
        <v>1124.7451263856531</v>
      </c>
      <c r="AG1641">
        <v>7175.5629605369113</v>
      </c>
    </row>
    <row r="1642" spans="2:33" hidden="1" x14ac:dyDescent="0.25">
      <c r="B1642">
        <v>30</v>
      </c>
      <c r="C1642" t="s">
        <v>63</v>
      </c>
      <c r="D1642" t="s">
        <v>30</v>
      </c>
      <c r="E1642" t="s">
        <v>69</v>
      </c>
      <c r="F1642">
        <v>96614</v>
      </c>
      <c r="G1642">
        <v>96614</v>
      </c>
      <c r="H1642">
        <v>36</v>
      </c>
      <c r="I1642">
        <v>136</v>
      </c>
      <c r="J1642">
        <v>0</v>
      </c>
      <c r="K1642">
        <v>218447</v>
      </c>
      <c r="L1642">
        <v>28642</v>
      </c>
      <c r="M1642">
        <v>3057</v>
      </c>
      <c r="N1642">
        <v>114857</v>
      </c>
      <c r="O1642" s="43">
        <v>12769568.650079999</v>
      </c>
      <c r="P1642" s="14">
        <f t="shared" si="77"/>
        <v>34173.100510559976</v>
      </c>
      <c r="Q1642" s="14" t="str">
        <f t="shared" si="75"/>
        <v/>
      </c>
      <c r="R1642" s="14" t="str">
        <f t="shared" si="75"/>
        <v/>
      </c>
      <c r="S1642" s="14" t="str">
        <f t="shared" si="76"/>
        <v/>
      </c>
      <c r="T1642" s="14" t="s">
        <v>72</v>
      </c>
      <c r="U1642" s="14">
        <v>251.27279787176454</v>
      </c>
      <c r="V1642">
        <v>6883</v>
      </c>
      <c r="W1642">
        <v>11.128015136718799</v>
      </c>
      <c r="X1642">
        <v>44.269857040033401</v>
      </c>
      <c r="Y1642">
        <v>0.73902204092699797</v>
      </c>
      <c r="Z1642" s="31">
        <v>3.3334474605101501</v>
      </c>
      <c r="AA1642">
        <v>13.363049425759099</v>
      </c>
      <c r="AB1642">
        <v>0.05</v>
      </c>
      <c r="AC1642">
        <v>211602.74736967401</v>
      </c>
      <c r="AD1642">
        <v>242137.02381511801</v>
      </c>
      <c r="AE1642">
        <v>1</v>
      </c>
      <c r="AF1642">
        <v>1124.7451263856531</v>
      </c>
      <c r="AG1642">
        <v>7175.5629605369113</v>
      </c>
    </row>
    <row r="1643" spans="2:33" hidden="1" x14ac:dyDescent="0.25">
      <c r="B1643">
        <v>30</v>
      </c>
      <c r="C1643" t="s">
        <v>63</v>
      </c>
      <c r="D1643" t="s">
        <v>30</v>
      </c>
      <c r="E1643" t="s">
        <v>69</v>
      </c>
      <c r="F1643">
        <v>96614</v>
      </c>
      <c r="G1643">
        <v>96614</v>
      </c>
      <c r="H1643">
        <v>37</v>
      </c>
      <c r="I1643">
        <v>0</v>
      </c>
      <c r="J1643">
        <v>0</v>
      </c>
      <c r="K1643">
        <v>218447</v>
      </c>
      <c r="L1643">
        <v>28642</v>
      </c>
      <c r="M1643">
        <v>3057</v>
      </c>
      <c r="N1643">
        <v>114857</v>
      </c>
      <c r="O1643" s="43">
        <v>12787877.915999999</v>
      </c>
      <c r="P1643" s="14">
        <f t="shared" si="77"/>
        <v>18309.265920000151</v>
      </c>
      <c r="Q1643" s="14" t="str">
        <f t="shared" si="75"/>
        <v/>
      </c>
      <c r="R1643" s="14" t="str">
        <f t="shared" si="75"/>
        <v/>
      </c>
      <c r="S1643" s="14" t="str">
        <f t="shared" si="76"/>
        <v/>
      </c>
      <c r="T1643" s="14" t="s">
        <v>72</v>
      </c>
      <c r="U1643" s="14">
        <v>0</v>
      </c>
      <c r="V1643">
        <v>6883</v>
      </c>
      <c r="W1643">
        <v>14.759973144531299</v>
      </c>
      <c r="X1643">
        <v>50.838243610140204</v>
      </c>
      <c r="Y1643">
        <v>0.82647265888973998</v>
      </c>
      <c r="Z1643" s="31">
        <v>1.0155581650613299</v>
      </c>
      <c r="AA1643">
        <v>11.2443583837451</v>
      </c>
      <c r="AB1643">
        <v>0.05</v>
      </c>
      <c r="AC1643">
        <v>211602.74736967401</v>
      </c>
      <c r="AD1643">
        <v>242137.02381511801</v>
      </c>
      <c r="AE1643">
        <v>1</v>
      </c>
      <c r="AF1643">
        <v>1124.7451263856531</v>
      </c>
      <c r="AG1643">
        <v>7175.5629605369113</v>
      </c>
    </row>
    <row r="1644" spans="2:33" hidden="1" x14ac:dyDescent="0.25">
      <c r="B1644">
        <v>30</v>
      </c>
      <c r="C1644" t="s">
        <v>63</v>
      </c>
      <c r="D1644" t="s">
        <v>30</v>
      </c>
      <c r="E1644" t="s">
        <v>69</v>
      </c>
      <c r="F1644">
        <v>96614</v>
      </c>
      <c r="G1644">
        <v>96614</v>
      </c>
      <c r="H1644">
        <v>38</v>
      </c>
      <c r="I1644">
        <v>0</v>
      </c>
      <c r="J1644">
        <v>0</v>
      </c>
      <c r="K1644">
        <v>218447</v>
      </c>
      <c r="L1644">
        <v>28642</v>
      </c>
      <c r="M1644">
        <v>3057</v>
      </c>
      <c r="N1644">
        <v>114857</v>
      </c>
      <c r="O1644" s="43">
        <v>12816486.143999999</v>
      </c>
      <c r="P1644" s="14">
        <f t="shared" si="77"/>
        <v>28608.228000000119</v>
      </c>
      <c r="Q1644" s="14" t="str">
        <f t="shared" si="75"/>
        <v/>
      </c>
      <c r="R1644" s="14" t="str">
        <f t="shared" si="75"/>
        <v/>
      </c>
      <c r="S1644" s="14" t="str">
        <f t="shared" si="76"/>
        <v/>
      </c>
      <c r="T1644" s="14" t="s">
        <v>72</v>
      </c>
      <c r="U1644" s="14">
        <v>0</v>
      </c>
      <c r="V1644">
        <v>6883</v>
      </c>
      <c r="W1644">
        <v>12.298547363281299</v>
      </c>
      <c r="X1644">
        <v>83.035656012759404</v>
      </c>
      <c r="Y1644">
        <v>0.242979392702171</v>
      </c>
      <c r="Z1644" s="31">
        <v>0.90275853834286202</v>
      </c>
      <c r="AA1644">
        <v>24.142699045176698</v>
      </c>
      <c r="AB1644">
        <v>0.05</v>
      </c>
      <c r="AC1644">
        <v>211602.74736967401</v>
      </c>
      <c r="AD1644">
        <v>242137.02381511801</v>
      </c>
      <c r="AE1644">
        <v>1</v>
      </c>
      <c r="AF1644">
        <v>1124.7451263856531</v>
      </c>
      <c r="AG1644">
        <v>7175.5629605369113</v>
      </c>
    </row>
    <row r="1645" spans="2:33" hidden="1" x14ac:dyDescent="0.25">
      <c r="B1645">
        <v>30</v>
      </c>
      <c r="C1645" t="s">
        <v>63</v>
      </c>
      <c r="D1645" t="s">
        <v>30</v>
      </c>
      <c r="E1645" t="s">
        <v>69</v>
      </c>
      <c r="F1645">
        <v>96614</v>
      </c>
      <c r="G1645">
        <v>96614</v>
      </c>
      <c r="H1645">
        <v>39</v>
      </c>
      <c r="I1645">
        <v>0</v>
      </c>
      <c r="J1645">
        <v>0</v>
      </c>
      <c r="K1645">
        <v>218447</v>
      </c>
      <c r="L1645">
        <v>28642</v>
      </c>
      <c r="M1645">
        <v>3057</v>
      </c>
      <c r="N1645">
        <v>114857</v>
      </c>
      <c r="O1645" s="43">
        <v>12845094.372</v>
      </c>
      <c r="P1645" s="14">
        <f t="shared" si="77"/>
        <v>28608.228000000119</v>
      </c>
      <c r="Q1645" s="14" t="str">
        <f t="shared" si="75"/>
        <v/>
      </c>
      <c r="R1645" s="14" t="str">
        <f t="shared" si="75"/>
        <v/>
      </c>
      <c r="S1645" s="14" t="str">
        <f t="shared" si="76"/>
        <v/>
      </c>
      <c r="T1645" s="14" t="s">
        <v>72</v>
      </c>
      <c r="U1645" s="14">
        <v>0</v>
      </c>
      <c r="V1645">
        <v>6883</v>
      </c>
      <c r="W1645">
        <v>10.4759155273437</v>
      </c>
      <c r="X1645">
        <v>42.591087190506201</v>
      </c>
      <c r="Y1645">
        <v>0.72899252590329999</v>
      </c>
      <c r="Z1645" s="31">
        <v>2.3226202669625899</v>
      </c>
      <c r="AA1645">
        <v>10.0587822306668</v>
      </c>
      <c r="AB1645">
        <v>0.05</v>
      </c>
      <c r="AC1645">
        <v>211602.74736967401</v>
      </c>
      <c r="AD1645">
        <v>242137.02381511801</v>
      </c>
      <c r="AE1645">
        <v>1</v>
      </c>
      <c r="AF1645">
        <v>1124.7451263856531</v>
      </c>
      <c r="AG1645">
        <v>7175.5629605369113</v>
      </c>
    </row>
    <row r="1647" spans="2:33" x14ac:dyDescent="0.25">
      <c r="Y1647" t="s">
        <v>110</v>
      </c>
      <c r="Z1647">
        <f>MIN(Z1616:Z1645)</f>
        <v>0.30306392467933502</v>
      </c>
      <c r="AA1647" s="31">
        <f>MIN(AA1616:AA1645)</f>
        <v>3.5918873217866998</v>
      </c>
    </row>
    <row r="1648" spans="2:33" x14ac:dyDescent="0.25">
      <c r="Y1648" t="s">
        <v>111</v>
      </c>
      <c r="Z1648">
        <f>MAX(Z1616:Z1645)</f>
        <v>3.3334474605101501</v>
      </c>
      <c r="AA1648" s="31">
        <f>MAX(AA1616:AA1645)</f>
        <v>24.142699045176698</v>
      </c>
    </row>
    <row r="1649" spans="25:27" x14ac:dyDescent="0.25">
      <c r="Y1649" t="s">
        <v>112</v>
      </c>
      <c r="Z1649">
        <f>AVERAGE(Z1616:Z1645)</f>
        <v>1.3315569486218488</v>
      </c>
      <c r="AA1649" s="31">
        <f>AVERAGE(AA1616:AA1645)</f>
        <v>9.9752150474558601</v>
      </c>
    </row>
    <row r="1650" spans="25:27" x14ac:dyDescent="0.25">
      <c r="Y1650" t="s">
        <v>113</v>
      </c>
      <c r="Z1650" s="14">
        <f>MEDIAN(Z1616:Z1645)</f>
        <v>1.14829849748292</v>
      </c>
      <c r="AA1650" s="32">
        <f>MEDIAN(AA1616:AA1645)</f>
        <v>9.3721657900759805</v>
      </c>
    </row>
  </sheetData>
  <autoFilter ref="A1:AG1645" xr:uid="{00000000-0001-0000-0000-000000000000}">
    <filterColumn colId="1">
      <filters>
        <filter val="14"/>
      </filters>
    </filterColumn>
  </autoFilter>
  <phoneticPr fontId="6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1FBBC-56B4-4B84-9BC2-BB0CFF2B1451}">
  <dimension ref="B1:N26"/>
  <sheetViews>
    <sheetView showGridLines="0" tabSelected="1" zoomScale="113" workbookViewId="0">
      <selection activeCell="P23" sqref="P23"/>
    </sheetView>
  </sheetViews>
  <sheetFormatPr defaultRowHeight="15" x14ac:dyDescent="0.25"/>
  <cols>
    <col min="2" max="2" width="8.85546875" style="20" customWidth="1"/>
    <col min="3" max="3" width="14.5703125" customWidth="1"/>
    <col min="4" max="4" width="7.5703125" style="20" customWidth="1"/>
    <col min="5" max="8" width="0" hidden="1" customWidth="1"/>
    <col min="9" max="9" width="15.28515625" style="41" customWidth="1"/>
    <col min="10" max="10" width="18.42578125" style="33" customWidth="1"/>
    <col min="11" max="11" width="13.5703125" style="20" customWidth="1"/>
    <col min="12" max="12" width="15.85546875" style="18" bestFit="1" customWidth="1"/>
  </cols>
  <sheetData>
    <row r="1" spans="2:14" ht="15.75" x14ac:dyDescent="0.25">
      <c r="B1" s="27"/>
      <c r="C1" s="28" t="s">
        <v>130</v>
      </c>
      <c r="D1" s="27"/>
      <c r="E1" s="28"/>
      <c r="F1" s="28"/>
      <c r="G1" s="28"/>
      <c r="H1" s="28"/>
      <c r="I1" s="44"/>
      <c r="J1" s="45"/>
      <c r="K1" s="27"/>
      <c r="L1" s="30"/>
    </row>
    <row r="2" spans="2:14" ht="15.75" x14ac:dyDescent="0.25">
      <c r="B2" s="46" t="s">
        <v>74</v>
      </c>
      <c r="C2" s="46" t="s">
        <v>75</v>
      </c>
      <c r="D2" s="46" t="s">
        <v>76</v>
      </c>
      <c r="E2" s="46" t="s">
        <v>3</v>
      </c>
      <c r="F2" s="46" t="s">
        <v>4</v>
      </c>
      <c r="G2" s="46" t="s">
        <v>5</v>
      </c>
      <c r="H2" s="46" t="s">
        <v>6</v>
      </c>
      <c r="I2" s="47" t="s">
        <v>117</v>
      </c>
      <c r="J2" s="48" t="s">
        <v>118</v>
      </c>
      <c r="K2" s="46" t="s">
        <v>129</v>
      </c>
      <c r="L2" s="49" t="s">
        <v>78</v>
      </c>
    </row>
    <row r="3" spans="2:14" ht="15.75" x14ac:dyDescent="0.25">
      <c r="B3" s="50">
        <v>14</v>
      </c>
      <c r="C3" s="52" t="s">
        <v>84</v>
      </c>
      <c r="D3" s="50" t="s">
        <v>26</v>
      </c>
      <c r="E3" s="52" t="s">
        <v>68</v>
      </c>
      <c r="F3" s="52">
        <v>950591</v>
      </c>
      <c r="G3" s="52">
        <v>963309</v>
      </c>
      <c r="H3" s="52">
        <v>60</v>
      </c>
      <c r="I3" s="53">
        <v>16704</v>
      </c>
      <c r="J3" s="54">
        <v>10.099859335009899</v>
      </c>
      <c r="K3" s="50">
        <v>1</v>
      </c>
      <c r="L3" s="55">
        <v>720778329.52416003</v>
      </c>
      <c r="N3" s="33"/>
    </row>
    <row r="4" spans="2:14" ht="15.75" x14ac:dyDescent="0.25">
      <c r="B4" s="50">
        <v>11</v>
      </c>
      <c r="C4" s="52" t="s">
        <v>122</v>
      </c>
      <c r="D4" s="50" t="s">
        <v>41</v>
      </c>
      <c r="E4" s="52" t="s">
        <v>69</v>
      </c>
      <c r="F4" s="52">
        <v>203277</v>
      </c>
      <c r="G4" s="52">
        <v>208663</v>
      </c>
      <c r="H4" s="52">
        <v>67</v>
      </c>
      <c r="I4" s="53">
        <v>31318</v>
      </c>
      <c r="J4" s="54">
        <v>9.9974928139999992</v>
      </c>
      <c r="K4" s="50">
        <v>1</v>
      </c>
      <c r="L4" s="55">
        <v>152539071.69600001</v>
      </c>
    </row>
    <row r="5" spans="2:14" ht="15.75" x14ac:dyDescent="0.25">
      <c r="B5" s="50">
        <v>18</v>
      </c>
      <c r="C5" s="52" t="s">
        <v>123</v>
      </c>
      <c r="D5" s="50" t="s">
        <v>28</v>
      </c>
      <c r="E5" s="52" t="s">
        <v>67</v>
      </c>
      <c r="F5" s="52">
        <v>187947</v>
      </c>
      <c r="G5" s="52">
        <v>204427</v>
      </c>
      <c r="H5" s="52">
        <v>29</v>
      </c>
      <c r="I5" s="53">
        <v>8941</v>
      </c>
      <c r="J5" s="54">
        <v>14.727783812852101</v>
      </c>
      <c r="K5" s="50">
        <v>1</v>
      </c>
      <c r="L5" s="55">
        <v>71223662.366524801</v>
      </c>
    </row>
    <row r="6" spans="2:14" ht="15.75" x14ac:dyDescent="0.25">
      <c r="B6" s="50">
        <v>27</v>
      </c>
      <c r="C6" s="52" t="s">
        <v>124</v>
      </c>
      <c r="D6" s="50" t="s">
        <v>26</v>
      </c>
      <c r="E6" s="52" t="s">
        <v>69</v>
      </c>
      <c r="F6" s="52">
        <v>131601</v>
      </c>
      <c r="G6" s="52">
        <v>157270</v>
      </c>
      <c r="H6" s="52">
        <v>6</v>
      </c>
      <c r="I6" s="53">
        <v>23558</v>
      </c>
      <c r="J6" s="54">
        <v>11.749999343477</v>
      </c>
      <c r="K6" s="50">
        <v>1</v>
      </c>
      <c r="L6" s="55">
        <v>62988337.648368008</v>
      </c>
    </row>
    <row r="7" spans="2:14" ht="15.75" x14ac:dyDescent="0.25">
      <c r="B7" s="50">
        <v>6</v>
      </c>
      <c r="C7" s="52" t="s">
        <v>120</v>
      </c>
      <c r="D7" s="50" t="s">
        <v>35</v>
      </c>
      <c r="E7" s="52" t="s">
        <v>68</v>
      </c>
      <c r="F7" s="52">
        <v>120785</v>
      </c>
      <c r="G7" s="52">
        <v>325136</v>
      </c>
      <c r="H7" s="52">
        <v>8</v>
      </c>
      <c r="I7" s="53">
        <v>21228</v>
      </c>
      <c r="J7" s="54">
        <v>13.074999999999999</v>
      </c>
      <c r="K7" s="50">
        <v>10</v>
      </c>
      <c r="L7" s="55">
        <v>59598801</v>
      </c>
    </row>
    <row r="8" spans="2:14" ht="15.75" hidden="1" x14ac:dyDescent="0.25">
      <c r="B8" s="50">
        <v>6</v>
      </c>
      <c r="C8" s="52" t="s">
        <v>120</v>
      </c>
      <c r="D8" s="50" t="s">
        <v>35</v>
      </c>
      <c r="E8" s="52" t="s">
        <v>68</v>
      </c>
      <c r="F8" s="52">
        <v>130224</v>
      </c>
      <c r="G8" s="52">
        <v>325136</v>
      </c>
      <c r="H8" s="52">
        <v>9</v>
      </c>
      <c r="I8" s="53">
        <v>15630</v>
      </c>
      <c r="J8" s="54">
        <v>14.854382030819201</v>
      </c>
      <c r="K8" s="50"/>
      <c r="L8" s="55">
        <v>59598801</v>
      </c>
    </row>
    <row r="9" spans="2:14" ht="15.75" hidden="1" x14ac:dyDescent="0.25">
      <c r="B9" s="50">
        <v>6</v>
      </c>
      <c r="C9" s="52" t="s">
        <v>120</v>
      </c>
      <c r="D9" s="50" t="s">
        <v>35</v>
      </c>
      <c r="E9" s="52" t="s">
        <v>68</v>
      </c>
      <c r="F9" s="52">
        <v>146343</v>
      </c>
      <c r="G9" s="52">
        <v>325136</v>
      </c>
      <c r="H9" s="52">
        <v>10</v>
      </c>
      <c r="I9" s="53">
        <v>12298</v>
      </c>
      <c r="J9" s="54">
        <v>10.8056224473996</v>
      </c>
      <c r="K9" s="50"/>
      <c r="L9" s="55">
        <v>59598801</v>
      </c>
    </row>
    <row r="10" spans="2:14" ht="15.75" hidden="1" x14ac:dyDescent="0.25">
      <c r="B10" s="50">
        <v>6</v>
      </c>
      <c r="C10" s="52" t="s">
        <v>120</v>
      </c>
      <c r="D10" s="50" t="s">
        <v>35</v>
      </c>
      <c r="E10" s="52" t="s">
        <v>68</v>
      </c>
      <c r="F10" s="52">
        <v>167365</v>
      </c>
      <c r="G10" s="52">
        <v>325136</v>
      </c>
      <c r="H10" s="52">
        <v>12</v>
      </c>
      <c r="I10" s="53">
        <v>9439</v>
      </c>
      <c r="J10" s="54">
        <v>12.7946560803249</v>
      </c>
      <c r="K10" s="50"/>
      <c r="L10" s="55">
        <v>59598801</v>
      </c>
    </row>
    <row r="11" spans="2:14" ht="15.75" hidden="1" x14ac:dyDescent="0.25">
      <c r="B11" s="50">
        <v>6</v>
      </c>
      <c r="C11" s="52" t="s">
        <v>120</v>
      </c>
      <c r="D11" s="50" t="s">
        <v>35</v>
      </c>
      <c r="E11" s="52" t="s">
        <v>68</v>
      </c>
      <c r="F11" s="52">
        <v>179534</v>
      </c>
      <c r="G11" s="52">
        <v>325136</v>
      </c>
      <c r="H11" s="52">
        <v>13</v>
      </c>
      <c r="I11" s="53">
        <v>16119</v>
      </c>
      <c r="J11" s="54">
        <v>15.3358237964616</v>
      </c>
      <c r="K11" s="50"/>
      <c r="L11" s="55">
        <v>59598801</v>
      </c>
    </row>
    <row r="12" spans="2:14" ht="15.75" hidden="1" x14ac:dyDescent="0.25">
      <c r="B12" s="50">
        <v>6</v>
      </c>
      <c r="C12" s="52" t="s">
        <v>120</v>
      </c>
      <c r="D12" s="50" t="s">
        <v>35</v>
      </c>
      <c r="E12" s="52" t="s">
        <v>68</v>
      </c>
      <c r="F12" s="52">
        <v>228312</v>
      </c>
      <c r="G12" s="52">
        <v>325136</v>
      </c>
      <c r="H12" s="52">
        <v>16</v>
      </c>
      <c r="I12" s="53">
        <v>12169</v>
      </c>
      <c r="J12" s="54">
        <v>11.782064827118401</v>
      </c>
      <c r="K12" s="50"/>
      <c r="L12" s="55">
        <v>59598801</v>
      </c>
    </row>
    <row r="13" spans="2:14" ht="15.75" hidden="1" x14ac:dyDescent="0.25">
      <c r="B13" s="50">
        <v>6</v>
      </c>
      <c r="C13" s="52" t="s">
        <v>120</v>
      </c>
      <c r="D13" s="50" t="s">
        <v>35</v>
      </c>
      <c r="E13" s="52" t="s">
        <v>68</v>
      </c>
      <c r="F13" s="52">
        <v>241403</v>
      </c>
      <c r="G13" s="52">
        <v>325136</v>
      </c>
      <c r="H13" s="52">
        <v>17</v>
      </c>
      <c r="I13" s="53">
        <v>11925</v>
      </c>
      <c r="J13" s="54">
        <v>14.182885911372701</v>
      </c>
      <c r="K13" s="50"/>
      <c r="L13" s="55">
        <v>59598801</v>
      </c>
    </row>
    <row r="14" spans="2:14" ht="15.75" hidden="1" x14ac:dyDescent="0.25">
      <c r="B14" s="50">
        <v>6</v>
      </c>
      <c r="C14" s="52" t="s">
        <v>120</v>
      </c>
      <c r="D14" s="50" t="s">
        <v>35</v>
      </c>
      <c r="E14" s="52" t="s">
        <v>68</v>
      </c>
      <c r="F14" s="52">
        <v>249656</v>
      </c>
      <c r="G14" s="52">
        <v>325136</v>
      </c>
      <c r="H14" s="52">
        <v>18</v>
      </c>
      <c r="I14" s="53">
        <v>20659</v>
      </c>
      <c r="J14" s="54">
        <v>16.472241596292299</v>
      </c>
      <c r="K14" s="50"/>
      <c r="L14" s="55">
        <v>59598801</v>
      </c>
    </row>
    <row r="15" spans="2:14" ht="15.75" hidden="1" x14ac:dyDescent="0.25">
      <c r="B15" s="50">
        <v>6</v>
      </c>
      <c r="C15" s="52" t="s">
        <v>120</v>
      </c>
      <c r="D15" s="50" t="s">
        <v>35</v>
      </c>
      <c r="E15" s="52" t="s">
        <v>68</v>
      </c>
      <c r="F15" s="52">
        <v>254840</v>
      </c>
      <c r="G15" s="52">
        <v>325136</v>
      </c>
      <c r="H15" s="52">
        <v>19</v>
      </c>
      <c r="I15" s="53">
        <v>16194</v>
      </c>
      <c r="J15" s="54">
        <v>12.6112163022121</v>
      </c>
      <c r="K15" s="50"/>
      <c r="L15" s="55">
        <v>59598801</v>
      </c>
    </row>
    <row r="16" spans="2:14" ht="15.75" hidden="1" x14ac:dyDescent="0.25">
      <c r="B16" s="50">
        <v>6</v>
      </c>
      <c r="C16" s="52" t="s">
        <v>120</v>
      </c>
      <c r="D16" s="50" t="s">
        <v>35</v>
      </c>
      <c r="E16" s="52" t="s">
        <v>68</v>
      </c>
      <c r="F16" s="52">
        <v>262595</v>
      </c>
      <c r="G16" s="52">
        <v>325136</v>
      </c>
      <c r="H16" s="52">
        <v>20</v>
      </c>
      <c r="I16" s="53">
        <v>13091</v>
      </c>
      <c r="J16" s="54">
        <v>10.2120063695852</v>
      </c>
      <c r="K16" s="50"/>
      <c r="L16" s="55">
        <v>59598801</v>
      </c>
    </row>
    <row r="17" spans="2:14" ht="15.75" x14ac:dyDescent="0.25">
      <c r="B17" s="50">
        <v>5</v>
      </c>
      <c r="C17" s="52" t="s">
        <v>81</v>
      </c>
      <c r="D17" s="50" t="s">
        <v>33</v>
      </c>
      <c r="E17" s="52" t="s">
        <v>67</v>
      </c>
      <c r="F17" s="52">
        <v>118331</v>
      </c>
      <c r="G17" s="52">
        <v>119589</v>
      </c>
      <c r="H17" s="52">
        <v>24</v>
      </c>
      <c r="I17" s="53">
        <v>9664</v>
      </c>
      <c r="J17" s="54">
        <v>13.437653474101101</v>
      </c>
      <c r="K17" s="50">
        <v>1</v>
      </c>
      <c r="L17" s="55">
        <v>50515743.002852157</v>
      </c>
    </row>
    <row r="18" spans="2:14" ht="15.75" x14ac:dyDescent="0.25">
      <c r="B18" s="50">
        <v>19</v>
      </c>
      <c r="C18" s="52" t="s">
        <v>86</v>
      </c>
      <c r="D18" s="50" t="s">
        <v>26</v>
      </c>
      <c r="E18" s="52" t="s">
        <v>67</v>
      </c>
      <c r="F18" s="52">
        <v>115874</v>
      </c>
      <c r="G18" s="52">
        <v>118826</v>
      </c>
      <c r="H18" s="52">
        <v>22</v>
      </c>
      <c r="I18" s="53">
        <v>45498</v>
      </c>
      <c r="J18" s="54">
        <v>10.782618534144</v>
      </c>
      <c r="K18" s="50">
        <v>1</v>
      </c>
      <c r="L18" s="55">
        <v>49708209.600000001</v>
      </c>
    </row>
    <row r="19" spans="2:14" ht="15.75" x14ac:dyDescent="0.25">
      <c r="B19" s="27">
        <v>22</v>
      </c>
      <c r="C19" s="28" t="s">
        <v>125</v>
      </c>
      <c r="D19" s="27" t="s">
        <v>53</v>
      </c>
      <c r="E19" s="28" t="s">
        <v>68</v>
      </c>
      <c r="F19" s="28">
        <v>161069</v>
      </c>
      <c r="G19" s="28">
        <v>176878</v>
      </c>
      <c r="H19" s="28">
        <v>18</v>
      </c>
      <c r="I19" s="44">
        <v>9337</v>
      </c>
      <c r="J19" s="45">
        <v>10.1809173247469</v>
      </c>
      <c r="K19" s="27">
        <v>1</v>
      </c>
      <c r="L19" s="30">
        <v>48519554.688000001</v>
      </c>
    </row>
    <row r="20" spans="2:14" ht="15.75" x14ac:dyDescent="0.25">
      <c r="B20" s="27">
        <v>2</v>
      </c>
      <c r="C20" s="28" t="s">
        <v>119</v>
      </c>
      <c r="D20" s="27" t="s">
        <v>28</v>
      </c>
      <c r="E20" s="28" t="s">
        <v>68</v>
      </c>
      <c r="F20" s="28">
        <v>121379</v>
      </c>
      <c r="G20" s="28">
        <v>131542</v>
      </c>
      <c r="H20" s="28">
        <v>6</v>
      </c>
      <c r="I20" s="44">
        <v>10147</v>
      </c>
      <c r="J20" s="45">
        <v>14.638</v>
      </c>
      <c r="K20" s="27">
        <v>2</v>
      </c>
      <c r="L20" s="30">
        <v>45773164.799999997</v>
      </c>
      <c r="N20" s="33"/>
    </row>
    <row r="21" spans="2:14" ht="15.75" x14ac:dyDescent="0.25">
      <c r="B21" s="27">
        <v>17</v>
      </c>
      <c r="C21" s="28" t="s">
        <v>126</v>
      </c>
      <c r="D21" s="27" t="s">
        <v>28</v>
      </c>
      <c r="E21" s="28" t="s">
        <v>68</v>
      </c>
      <c r="F21" s="28">
        <v>166573</v>
      </c>
      <c r="G21" s="28">
        <v>173094</v>
      </c>
      <c r="H21" s="28">
        <v>7</v>
      </c>
      <c r="I21" s="44">
        <v>9013</v>
      </c>
      <c r="J21" s="45">
        <v>11.9289833744307</v>
      </c>
      <c r="K21" s="27">
        <v>1</v>
      </c>
      <c r="L21" s="30">
        <v>33301044.26148187</v>
      </c>
    </row>
    <row r="22" spans="2:14" ht="15.75" x14ac:dyDescent="0.25">
      <c r="B22" s="27">
        <v>25</v>
      </c>
      <c r="C22" s="28" t="s">
        <v>127</v>
      </c>
      <c r="D22" s="27" t="s">
        <v>28</v>
      </c>
      <c r="E22" s="28" t="s">
        <v>68</v>
      </c>
      <c r="F22" s="28">
        <v>133126</v>
      </c>
      <c r="G22" s="28">
        <v>138085</v>
      </c>
      <c r="H22" s="28">
        <v>6</v>
      </c>
      <c r="I22" s="44">
        <v>19344</v>
      </c>
      <c r="J22" s="45">
        <v>12.5681702052732</v>
      </c>
      <c r="K22" s="27">
        <v>1</v>
      </c>
      <c r="L22" s="30">
        <v>23438149.035840001</v>
      </c>
    </row>
    <row r="23" spans="2:14" ht="15.75" x14ac:dyDescent="0.25">
      <c r="B23" s="27">
        <v>9</v>
      </c>
      <c r="C23" s="28" t="s">
        <v>121</v>
      </c>
      <c r="D23" s="27" t="s">
        <v>33</v>
      </c>
      <c r="E23" s="28" t="s">
        <v>68</v>
      </c>
      <c r="F23" s="28">
        <v>88353</v>
      </c>
      <c r="G23" s="28">
        <v>193455</v>
      </c>
      <c r="H23" s="28">
        <v>4</v>
      </c>
      <c r="I23" s="44">
        <v>13612</v>
      </c>
      <c r="J23" s="45">
        <v>10.028</v>
      </c>
      <c r="K23" s="27">
        <v>2</v>
      </c>
      <c r="L23" s="30">
        <v>13323005.11970208</v>
      </c>
    </row>
    <row r="24" spans="2:14" ht="15.75" x14ac:dyDescent="0.25">
      <c r="B24" s="27">
        <v>24</v>
      </c>
      <c r="C24" s="28" t="s">
        <v>128</v>
      </c>
      <c r="D24" s="27" t="s">
        <v>56</v>
      </c>
      <c r="E24" s="28" t="s">
        <v>68</v>
      </c>
      <c r="F24" s="28">
        <v>165348</v>
      </c>
      <c r="G24" s="28">
        <v>171130</v>
      </c>
      <c r="H24" s="28">
        <v>4</v>
      </c>
      <c r="I24" s="44">
        <v>29125</v>
      </c>
      <c r="J24" s="45">
        <v>11.712999999999999</v>
      </c>
      <c r="K24" s="27">
        <v>3</v>
      </c>
      <c r="L24" s="30">
        <v>7349940</v>
      </c>
      <c r="N24" s="33"/>
    </row>
    <row r="25" spans="2:14" ht="15.75" x14ac:dyDescent="0.25">
      <c r="B25" s="27"/>
      <c r="C25" s="28"/>
      <c r="D25" s="27"/>
      <c r="E25" s="28"/>
      <c r="F25" s="28"/>
      <c r="G25" s="28"/>
      <c r="H25" s="28"/>
      <c r="I25" s="44"/>
      <c r="J25" s="45"/>
      <c r="K25" s="27"/>
      <c r="L25" s="30"/>
    </row>
    <row r="26" spans="2:14" ht="15.75" x14ac:dyDescent="0.25">
      <c r="B26" s="27"/>
      <c r="C26" s="28"/>
      <c r="D26" s="27"/>
      <c r="E26" s="28"/>
      <c r="F26" s="28"/>
      <c r="G26" s="28"/>
      <c r="H26" s="28"/>
      <c r="I26" s="44"/>
      <c r="J26" s="45"/>
      <c r="K26" s="50" t="s">
        <v>113</v>
      </c>
      <c r="L26" s="51">
        <v>49113882.144000001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D4C26-1916-48FF-A07C-33EAFCDE6116}">
  <dimension ref="B2:Q10"/>
  <sheetViews>
    <sheetView showGridLines="0" workbookViewId="0">
      <selection activeCell="M12" sqref="M12"/>
    </sheetView>
  </sheetViews>
  <sheetFormatPr defaultRowHeight="15" x14ac:dyDescent="0.25"/>
  <cols>
    <col min="2" max="2" width="8.85546875" style="20" bestFit="1" customWidth="1"/>
    <col min="3" max="3" width="10.5703125" customWidth="1"/>
    <col min="4" max="4" width="12" customWidth="1"/>
    <col min="5" max="5" width="9.140625" customWidth="1"/>
    <col min="6" max="6" width="11.140625" customWidth="1"/>
    <col min="7" max="7" width="9.28515625" style="19" bestFit="1" customWidth="1"/>
    <col min="8" max="8" width="13.85546875" style="18" customWidth="1"/>
    <col min="11" max="11" width="11.7109375" customWidth="1"/>
    <col min="12" max="12" width="10.140625" customWidth="1"/>
    <col min="14" max="14" width="8.7109375" style="37"/>
    <col min="15" max="15" width="14.42578125" style="20" customWidth="1"/>
    <col min="16" max="16" width="10.28515625" style="37" customWidth="1"/>
    <col min="17" max="17" width="13.7109375" style="20" customWidth="1"/>
  </cols>
  <sheetData>
    <row r="2" spans="2:17" ht="15.75" x14ac:dyDescent="0.25">
      <c r="B2" s="24" t="s">
        <v>74</v>
      </c>
      <c r="C2" s="24" t="s">
        <v>75</v>
      </c>
      <c r="D2" s="24" t="s">
        <v>76</v>
      </c>
      <c r="E2" s="24" t="s">
        <v>8</v>
      </c>
      <c r="F2" s="24" t="s">
        <v>9</v>
      </c>
      <c r="G2" s="25" t="s">
        <v>77</v>
      </c>
      <c r="H2" s="26" t="s">
        <v>78</v>
      </c>
    </row>
    <row r="3" spans="2:17" ht="15.75" x14ac:dyDescent="0.25">
      <c r="B3" s="27">
        <v>5</v>
      </c>
      <c r="C3" s="28" t="s">
        <v>81</v>
      </c>
      <c r="D3" s="28" t="s">
        <v>79</v>
      </c>
      <c r="E3" s="29">
        <v>14230</v>
      </c>
      <c r="F3" s="29">
        <v>293147</v>
      </c>
      <c r="G3" s="29">
        <v>79396</v>
      </c>
      <c r="H3" s="30">
        <v>50515743.002852157</v>
      </c>
      <c r="J3" s="21"/>
      <c r="K3" s="23" t="s">
        <v>90</v>
      </c>
      <c r="L3" s="23" t="s">
        <v>91</v>
      </c>
      <c r="N3" s="40" t="s">
        <v>114</v>
      </c>
      <c r="O3" s="35" t="s">
        <v>115</v>
      </c>
      <c r="P3" s="38" t="s">
        <v>116</v>
      </c>
      <c r="Q3" s="36" t="s">
        <v>115</v>
      </c>
    </row>
    <row r="4" spans="2:17" ht="15.75" x14ac:dyDescent="0.25">
      <c r="B4" s="27">
        <v>7</v>
      </c>
      <c r="C4" s="28" t="s">
        <v>82</v>
      </c>
      <c r="D4" s="28" t="s">
        <v>80</v>
      </c>
      <c r="E4" s="29">
        <v>0</v>
      </c>
      <c r="F4" s="29">
        <v>157488</v>
      </c>
      <c r="G4" s="29">
        <v>220211</v>
      </c>
      <c r="H4" s="30">
        <v>114432912</v>
      </c>
      <c r="J4" s="21"/>
      <c r="K4" t="s">
        <v>92</v>
      </c>
      <c r="L4" t="s">
        <v>93</v>
      </c>
      <c r="N4" s="37" t="s">
        <v>110</v>
      </c>
      <c r="O4" s="34">
        <v>0.30306392467933502</v>
      </c>
      <c r="P4" s="39" t="s">
        <v>110</v>
      </c>
      <c r="Q4" s="34">
        <v>1.63317076510535</v>
      </c>
    </row>
    <row r="5" spans="2:17" ht="15.75" x14ac:dyDescent="0.25">
      <c r="B5" s="27">
        <v>13</v>
      </c>
      <c r="C5" s="28" t="s">
        <v>83</v>
      </c>
      <c r="D5" s="28" t="s">
        <v>80</v>
      </c>
      <c r="E5" s="29">
        <v>533489</v>
      </c>
      <c r="F5" s="29">
        <v>457214</v>
      </c>
      <c r="G5" s="29">
        <v>339178</v>
      </c>
      <c r="H5" s="30">
        <v>220855520.16</v>
      </c>
      <c r="J5" s="21"/>
      <c r="K5" t="s">
        <v>94</v>
      </c>
      <c r="L5" t="s">
        <v>95</v>
      </c>
      <c r="N5" s="37" t="s">
        <v>111</v>
      </c>
      <c r="O5" s="34">
        <v>3.3334474605101501</v>
      </c>
      <c r="P5" s="39" t="s">
        <v>111</v>
      </c>
      <c r="Q5" s="34">
        <v>4.6991666261427101</v>
      </c>
    </row>
    <row r="6" spans="2:17" ht="15.75" x14ac:dyDescent="0.25">
      <c r="B6" s="27">
        <v>14</v>
      </c>
      <c r="C6" s="28" t="s">
        <v>84</v>
      </c>
      <c r="D6" s="28" t="s">
        <v>80</v>
      </c>
      <c r="E6" s="29">
        <v>918494</v>
      </c>
      <c r="F6" s="29">
        <v>2468957</v>
      </c>
      <c r="G6" s="29">
        <v>367812</v>
      </c>
      <c r="H6" s="30">
        <v>720778329.52416003</v>
      </c>
      <c r="J6" s="21"/>
      <c r="K6" t="s">
        <v>96</v>
      </c>
      <c r="L6" t="s">
        <v>97</v>
      </c>
      <c r="N6" s="37" t="s">
        <v>112</v>
      </c>
      <c r="O6" s="34">
        <v>1.3315569486218488</v>
      </c>
      <c r="P6" s="39" t="s">
        <v>112</v>
      </c>
      <c r="Q6" s="34">
        <v>2.7105566562219683</v>
      </c>
    </row>
    <row r="7" spans="2:17" ht="15.75" x14ac:dyDescent="0.25">
      <c r="B7" s="27">
        <v>15</v>
      </c>
      <c r="C7" s="28" t="s">
        <v>85</v>
      </c>
      <c r="D7" s="28" t="s">
        <v>80</v>
      </c>
      <c r="E7" s="29">
        <v>16000</v>
      </c>
      <c r="F7" s="29">
        <v>203437</v>
      </c>
      <c r="G7" s="29">
        <v>167252</v>
      </c>
      <c r="H7" s="30">
        <v>84680354.88000001</v>
      </c>
      <c r="J7" s="22"/>
      <c r="K7" t="s">
        <v>98</v>
      </c>
      <c r="L7" t="s">
        <v>99</v>
      </c>
      <c r="N7" s="37" t="s">
        <v>113</v>
      </c>
      <c r="O7" s="34">
        <v>1.14829849748292</v>
      </c>
      <c r="P7" s="39" t="s">
        <v>113</v>
      </c>
      <c r="Q7" s="34">
        <v>2.5041820167968698</v>
      </c>
    </row>
    <row r="8" spans="2:17" ht="15.75" x14ac:dyDescent="0.25">
      <c r="B8" s="27">
        <v>19</v>
      </c>
      <c r="C8" s="28" t="s">
        <v>86</v>
      </c>
      <c r="D8" s="28" t="s">
        <v>80</v>
      </c>
      <c r="E8" s="29">
        <v>199785</v>
      </c>
      <c r="F8" s="29">
        <v>60171</v>
      </c>
      <c r="G8" s="29">
        <v>191600</v>
      </c>
      <c r="H8" s="30">
        <v>49708209.600000001</v>
      </c>
    </row>
    <row r="9" spans="2:17" ht="15.75" x14ac:dyDescent="0.25">
      <c r="B9" s="27">
        <v>28</v>
      </c>
      <c r="C9" s="28" t="s">
        <v>87</v>
      </c>
      <c r="D9" s="28" t="s">
        <v>79</v>
      </c>
      <c r="E9" s="29">
        <v>521</v>
      </c>
      <c r="F9" s="29">
        <v>495017</v>
      </c>
      <c r="G9" s="29">
        <v>124544</v>
      </c>
      <c r="H9" s="30">
        <v>41159664</v>
      </c>
    </row>
    <row r="10" spans="2:17" ht="15.75" x14ac:dyDescent="0.25">
      <c r="B10" s="27">
        <v>29</v>
      </c>
      <c r="C10" s="28" t="s">
        <v>88</v>
      </c>
      <c r="D10" s="28" t="s">
        <v>89</v>
      </c>
      <c r="E10" s="29">
        <v>2205</v>
      </c>
      <c r="F10" s="29">
        <v>7652</v>
      </c>
      <c r="G10" s="29">
        <v>116316</v>
      </c>
      <c r="H10" s="30">
        <v>3776286.0959999999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700mb+90%growth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Stephanie Overla</cp:lastModifiedBy>
  <dcterms:created xsi:type="dcterms:W3CDTF">2025-09-16T20:38:31Z</dcterms:created>
  <dcterms:modified xsi:type="dcterms:W3CDTF">2026-05-18T03:53:55Z</dcterms:modified>
</cp:coreProperties>
</file>